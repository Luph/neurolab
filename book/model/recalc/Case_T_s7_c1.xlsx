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<sst xmlns="http://schemas.openxmlformats.org/spreadsheetml/2006/main" count="1500" uniqueCount="767">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</sst>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7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0.9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36.784358664007</v>
      </c>
      <c r="K11" s="16" t="n">
        <f aca="false">K7*K9*K10*Inputs!$F$218</f>
        <v>36.784358664007</v>
      </c>
      <c r="L11" s="16" t="n">
        <f aca="false">L7*L9*L10*Inputs!$F$218</f>
        <v>36.784358664007</v>
      </c>
      <c r="M11" s="16" t="n">
        <f aca="false">M7*M9*M10*Inputs!$F$218</f>
        <v>38.0350268585833</v>
      </c>
      <c r="N11" s="16" t="n">
        <f aca="false">N7*N9*N10*Inputs!$F$218</f>
        <v>38.0350268585833</v>
      </c>
      <c r="O11" s="16" t="n">
        <f aca="false">O7*O9*O10*Inputs!$F$218</f>
        <v>38.0350268585833</v>
      </c>
      <c r="P11" s="16" t="n">
        <f aca="false">P7*P9*P10*Inputs!$F$218</f>
        <v>38.0350268585833</v>
      </c>
      <c r="Q11" s="16" t="n">
        <f aca="false">Q7*Q9*Q10*Inputs!$F$218</f>
        <v>39.3282177717751</v>
      </c>
      <c r="R11" s="16" t="n">
        <f aca="false">R7*R9*R10*Inputs!$F$218</f>
        <v>39.3282177717751</v>
      </c>
      <c r="S11" s="16" t="n">
        <f aca="false">S7*S9*S10*Inputs!$F$218</f>
        <v>39.3282177717751</v>
      </c>
      <c r="T11" s="16" t="n">
        <f aca="false">T7*T9*T10*Inputs!$F$218</f>
        <v>39.3282177717751</v>
      </c>
      <c r="U11" s="16" t="n">
        <f aca="false">U7*U9*U10*Inputs!$F$218</f>
        <v>40.6653771760155</v>
      </c>
      <c r="V11" s="16" t="n">
        <f aca="false">V7*V9*V10*Inputs!$F$218</f>
        <v>40.6653771760155</v>
      </c>
      <c r="W11" s="16" t="n">
        <f aca="false">W7*W9*W10*Inputs!$F$218</f>
        <v>40.6653771760155</v>
      </c>
      <c r="X11" s="16" t="n">
        <f aca="false">X7*X9*X10*Inputs!$F$218</f>
        <v>40.6653771760155</v>
      </c>
      <c r="Y11" s="16" t="n">
        <f aca="false">Y7*Y9*Y10*Inputs!$F$218</f>
        <v>42.048</v>
      </c>
      <c r="Z11" s="16" t="n">
        <f aca="false">Z7*Z9*Z10*Inputs!$F$218</f>
        <v>42.048</v>
      </c>
      <c r="AA11" s="16" t="n">
        <f aca="false">AA7*AA9*AA10*Inputs!$F$218</f>
        <v>42.048</v>
      </c>
      <c r="AB11" s="16" t="n">
        <f aca="false">AB7*AB9*AB10*Inputs!$F$218</f>
        <v>48.912336</v>
      </c>
      <c r="AC11" s="16" t="n">
        <f aca="false">AC7*AC9*AC10*Inputs!$F$218</f>
        <v>48.912336</v>
      </c>
      <c r="AD11" s="16" t="n">
        <f aca="false">AD7*AD9*AD10*Inputs!$F$218</f>
        <v>53.9470457856</v>
      </c>
      <c r="AE11" s="16" t="n">
        <f aca="false">AE7*AE9*AE10*Inputs!$F$218</f>
        <v>53.9470457856</v>
      </c>
      <c r="AF11" s="16" t="n">
        <f aca="false">AF7*AF9*AF10*Inputs!$F$218</f>
        <v>58.10546389824</v>
      </c>
      <c r="AG11" s="16" t="n">
        <f aca="false">AG7*AG9*AG10*Inputs!$F$218</f>
        <v>58.10546389824</v>
      </c>
      <c r="AH11" s="16" t="n">
        <f aca="false">AH7*AH9*AH10*Inputs!$F$218</f>
        <v>60.0810496707802</v>
      </c>
      <c r="AI11" s="16" t="n">
        <f aca="false">AI7*AI9*AI10*Inputs!$F$218</f>
        <v>60.0810496707802</v>
      </c>
      <c r="AJ11" s="16" t="n">
        <f aca="false">AJ7*AJ9*AJ10*Inputs!$F$218</f>
        <v>62.1238053595867</v>
      </c>
      <c r="AK11" s="16" t="n">
        <f aca="false">AK7*AK9*AK10*Inputs!$F$218</f>
        <v>62.1238053595867</v>
      </c>
      <c r="AL11" s="16" t="n">
        <f aca="false">AL7*AL9*AL10*Inputs!$F$218</f>
        <v>64.2360147418127</v>
      </c>
      <c r="AM11" s="16" t="n">
        <f aca="false">AM7*AM9*AM10*Inputs!$F$218</f>
        <v>64.2360147418127</v>
      </c>
      <c r="AN11" s="16" t="n">
        <f aca="false">AN7*AN9*AN10*Inputs!$F$218</f>
        <v>66.4200392430343</v>
      </c>
      <c r="AO11" s="16" t="n">
        <f aca="false">AO7*AO9*AO10*Inputs!$F$218</f>
        <v>66.4200392430343</v>
      </c>
      <c r="AP11" s="16" t="n">
        <f aca="false">AP7*AP9*AP10*Inputs!$F$218</f>
        <v>68.6783205772974</v>
      </c>
      <c r="AQ11" s="16" t="n">
        <f aca="false">AQ7*AQ9*AQ10*Inputs!$F$218</f>
        <v>68.6783205772974</v>
      </c>
      <c r="AR11" s="16" t="n">
        <f aca="false">AR7*AR9*AR10*Inputs!$F$218</f>
        <v>71.0133834769256</v>
      </c>
      <c r="AS11" s="16" t="n">
        <f aca="false">AS7*AS9*AS10*Inputs!$F$218</f>
        <v>71.0133834769256</v>
      </c>
      <c r="AT11" s="16" t="n">
        <f aca="false">AT7*AT9*AT10*Inputs!$F$218</f>
        <v>73.427838515141</v>
      </c>
      <c r="AU11" s="16" t="n">
        <f aca="false">AU7*AU9*AU10*Inputs!$F$218</f>
        <v>73.427838515141</v>
      </c>
      <c r="AV11" s="16" t="n">
        <f aca="false">AV7*AV9*AV10*Inputs!$F$218</f>
        <v>75.9243850246558</v>
      </c>
      <c r="AW11" s="16" t="n">
        <f aca="false">AW7*AW9*AW10*Inputs!$F$218</f>
        <v>75.9243850246558</v>
      </c>
      <c r="AX11" s="16" t="n">
        <f aca="false">AX7*AX9*AX10*Inputs!$F$218</f>
        <v>77.6706458802229</v>
      </c>
      <c r="AY11" s="16" t="n">
        <f aca="false">AY7*AY9*AY10*Inputs!$F$218</f>
        <v>77.6706458802229</v>
      </c>
      <c r="AZ11" s="16" t="n">
        <f aca="false">AZ7*AZ9*AZ10*Inputs!$F$218</f>
        <v>79.457070735468</v>
      </c>
      <c r="BA11" s="16" t="n">
        <f aca="false">BA7*BA9*BA10*Inputs!$F$218</f>
        <v>79.457070735468</v>
      </c>
      <c r="BB11" s="16" t="n">
        <f aca="false">BB7*BB9*BB10*Inputs!$F$218</f>
        <v>81.2845833623838</v>
      </c>
      <c r="BC11" s="16" t="n">
        <f aca="false">BC7*BC9*BC10*Inputs!$F$218</f>
        <v>81.2845833623838</v>
      </c>
      <c r="BD11" s="16" t="n">
        <f aca="false">BD7*BD9*BD10*Inputs!$F$218</f>
        <v>83.1541287797186</v>
      </c>
      <c r="BE11" s="16" t="n">
        <f aca="false">BE7*BE9*BE10*Inputs!$F$218</f>
        <v>83.1541287797186</v>
      </c>
      <c r="BF11" s="16" t="n">
        <f aca="false">BF7*BF9*BF10*Inputs!$F$218</f>
        <v>85.0666737416521</v>
      </c>
      <c r="BG11" s="16" t="n">
        <f aca="false">BG7*BG9*BG10*Inputs!$F$218</f>
        <v>85.0666737416521</v>
      </c>
      <c r="BH11" s="16" t="n">
        <f aca="false">BH7*BH9*BH10*Inputs!$F$218</f>
        <v>87.0232072377101</v>
      </c>
      <c r="BI11" s="16" t="n">
        <f aca="false">BI7*BI9*BI10*Inputs!$F$218</f>
        <v>87.0232072377101</v>
      </c>
      <c r="BJ11" s="16" t="n">
        <f aca="false">BJ7*BJ9*BJ10*Inputs!$F$218</f>
        <v>89.0247410041774</v>
      </c>
      <c r="BK11" s="16" t="n">
        <f aca="false">BK7*BK9*BK10*Inputs!$F$218</f>
        <v>89.0247410041774</v>
      </c>
      <c r="BL11" s="16" t="n">
        <f aca="false">BL7*BL9*BL10*Inputs!$F$218</f>
        <v>91.0723100472735</v>
      </c>
      <c r="BM11" s="16" t="n">
        <f aca="false">BM7*BM9*BM10*Inputs!$F$218</f>
        <v>91.0723100472735</v>
      </c>
      <c r="BN11" s="16" t="n">
        <f aca="false">BN7*BN9*BN10*Inputs!$F$218</f>
        <v>93.1669731783608</v>
      </c>
      <c r="BO11" s="16" t="n">
        <f aca="false">BO7*BO9*BO10*Inputs!$F$218</f>
        <v>93.1669731783608</v>
      </c>
      <c r="BP11" s="16" t="n">
        <f aca="false">BP7*BP9*BP10*Inputs!$F$218</f>
        <v>95.3098135614631</v>
      </c>
      <c r="BQ11" s="16" t="n">
        <f aca="false">BQ7*BQ9*BQ10*Inputs!$F$218</f>
        <v>95.3098135614631</v>
      </c>
      <c r="BR11" s="16" t="n">
        <f aca="false">BR7*BR9*BR10*Inputs!$F$218</f>
        <v>96.4535313242006</v>
      </c>
      <c r="BS11" s="16" t="n">
        <f aca="false">BS7*BS9*BS10*Inputs!$F$218</f>
        <v>96.4535313242006</v>
      </c>
      <c r="BT11" s="16" t="n">
        <f aca="false">BT7*BT9*BT10*Inputs!$F$218</f>
        <v>97.610973700091</v>
      </c>
      <c r="BU11" s="16" t="n">
        <f aca="false">BU7*BU9*BU10*Inputs!$F$218</f>
        <v>97.610973700091</v>
      </c>
      <c r="BV11" s="16" t="n">
        <f aca="false">BV7*BV9*BV10*Inputs!$F$218</f>
        <v>98.7823053844921</v>
      </c>
      <c r="BW11" s="16" t="n">
        <f aca="false">BW7*BW9*BW10*Inputs!$F$218</f>
        <v>98.7823053844921</v>
      </c>
      <c r="BX11" s="16" t="n">
        <f aca="false">BX7*BX9*BX10*Inputs!$F$218</f>
        <v>99.967693049106</v>
      </c>
      <c r="BY11" s="16" t="n">
        <f aca="false">BY7*BY9*BY10*Inputs!$F$218</f>
        <v>99.967693049106</v>
      </c>
      <c r="BZ11" s="16" t="n">
        <f aca="false">BZ7*BZ9*BZ10*Inputs!$F$218</f>
        <v>101.167305365695</v>
      </c>
      <c r="CA11" s="16" t="n">
        <f aca="false">CA7*CA9*CA10*Inputs!$F$218</f>
        <v>101.167305365695</v>
      </c>
      <c r="CB11" s="16" t="n">
        <f aca="false">CB7*CB9*CB10*Inputs!$F$218</f>
        <v>102.381313030084</v>
      </c>
      <c r="CC11" s="16" t="n">
        <f aca="false">CC7*CC9*CC10*Inputs!$F$218</f>
        <v>102.381313030084</v>
      </c>
      <c r="CD11" s="16" t="n">
        <f aca="false">CD7*CD9*CD10*Inputs!$F$218</f>
        <v>103.609888786445</v>
      </c>
      <c r="CE11" s="16" t="n">
        <f aca="false">CE7*CE9*CE10*Inputs!$F$218</f>
        <v>103.609888786445</v>
      </c>
      <c r="CF11" s="16" t="n">
        <f aca="false">CF7*CF9*CF10*Inputs!$F$218</f>
        <v>104.853207451882</v>
      </c>
      <c r="CG11" s="16" t="n">
        <f aca="false">CG7*CG9*CG10*Inputs!$F$218</f>
        <v>104.853207451882</v>
      </c>
      <c r="CH11" s="16" t="n">
        <f aca="false">CH7*CH9*CH10*Inputs!$F$218</f>
        <v>106.111445941305</v>
      </c>
      <c r="CI11" s="16" t="n">
        <f aca="false">CI7*CI9*CI10*Inputs!$F$218</f>
        <v>106.111445941305</v>
      </c>
      <c r="CJ11" s="16" t="n">
        <f aca="false">CJ7*CJ9*CJ10*Inputs!$F$218</f>
        <v>107.3847832926</v>
      </c>
      <c r="CK11" s="16" t="n">
        <f aca="false">CK7*CK9*CK10*Inputs!$F$218</f>
        <v>107.3847832926</v>
      </c>
      <c r="CL11" s="16" t="n">
        <f aca="false">CL7*CL9*CL10*Inputs!$F$218</f>
        <v>108.673400692111</v>
      </c>
      <c r="CM11" s="16" t="n">
        <f aca="false">CM7*CM9*CM10*Inputs!$F$218</f>
        <v>108.673400692111</v>
      </c>
      <c r="CN11" s="16" t="n">
        <f aca="false">CN7*CN9*CN10*Inputs!$F$218</f>
        <v>109.977481500417</v>
      </c>
      <c r="CO11" s="16" t="n">
        <f aca="false">CO7*CO9*CO10*Inputs!$F$218</f>
        <v>109.977481500417</v>
      </c>
      <c r="CP11" s="16" t="n">
        <f aca="false">CP7*CP9*CP10*Inputs!$F$218</f>
        <v>111.297211278422</v>
      </c>
      <c r="CQ11" s="16" t="n">
        <f aca="false">CQ7*CQ9*CQ10*Inputs!$F$218</f>
        <v>111.297211278422</v>
      </c>
      <c r="CR11" s="16" t="n">
        <f aca="false">CR7*CR9*CR10*Inputs!$F$218</f>
        <v>112.632777813763</v>
      </c>
      <c r="CS11" s="16" t="n">
        <f aca="false">CS7*CS9*CS10*Inputs!$F$218</f>
        <v>112.632777813763</v>
      </c>
      <c r="CT11" s="16" t="n">
        <f aca="false">CT7*CT9*CT10*Inputs!$F$218</f>
        <v>113.984371147528</v>
      </c>
      <c r="CU11" s="16" t="n">
        <f aca="false">CU7*CU9*CU10*Inputs!$F$218</f>
        <v>113.984371147528</v>
      </c>
      <c r="CV11" s="16" t="n">
        <f aca="false">CV7*CV9*CV10*Inputs!$F$218</f>
        <v>115.352183601298</v>
      </c>
      <c r="CW11" s="16" t="n">
        <f aca="false">CW7*CW9*CW10*Inputs!$F$218</f>
        <v>115.352183601298</v>
      </c>
      <c r="CX11" s="16" t="n">
        <f aca="false">CX7*CX9*CX10*Inputs!$F$218</f>
        <v>116.736409804514</v>
      </c>
      <c r="CY11" s="16" t="n">
        <f aca="false">CY7*CY9*CY10*Inputs!$F$218</f>
        <v>116.736409804514</v>
      </c>
      <c r="CZ11" s="16" t="n">
        <f aca="false">CZ7*CZ9*CZ10*Inputs!$F$218</f>
        <v>118.137246722168</v>
      </c>
      <c r="DA11" s="16" t="n">
        <f aca="false">DA7*DA9*DA10*Inputs!$F$218</f>
        <v>118.137246722168</v>
      </c>
      <c r="DB11" s="16" t="n">
        <f aca="false">DB7*DB9*DB10*Inputs!$F$218</f>
        <v>119.554893682834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42.048</v>
      </c>
      <c r="AA13" s="16" t="n">
        <f aca="false">IF(Time!AA39=1,AA12,AA11)*Time!AA26</f>
        <v>42.048</v>
      </c>
      <c r="AB13" s="16" t="n">
        <f aca="false">IF(Time!AB39=1,AB12,AB11)*Time!AB26</f>
        <v>48.912336</v>
      </c>
      <c r="AC13" s="16" t="n">
        <f aca="false">IF(Time!AC39=1,AC12,AC11)*Time!AC26</f>
        <v>48.912336</v>
      </c>
      <c r="AD13" s="16" t="n">
        <f aca="false">IF(Time!AD39=1,AD12,AD11)*Time!AD26</f>
        <v>53.9470457856</v>
      </c>
      <c r="AE13" s="16" t="n">
        <f aca="false">IF(Time!AE39=1,AE12,AE11)*Time!AE26</f>
        <v>53.9470457856</v>
      </c>
      <c r="AF13" s="16" t="n">
        <f aca="false">IF(Time!AF39=1,AF12,AF11)*Time!AF26</f>
        <v>58.10546389824</v>
      </c>
      <c r="AG13" s="16" t="n">
        <f aca="false">IF(Time!AG39=1,AG12,AG11)*Time!AG26</f>
        <v>58.10546389824</v>
      </c>
      <c r="AH13" s="16" t="n">
        <f aca="false">IF(Time!AH39=1,AH12,AH11)*Time!AH26</f>
        <v>60.0810496707802</v>
      </c>
      <c r="AI13" s="16" t="n">
        <f aca="false">IF(Time!AI39=1,AI12,AI11)*Time!AI26</f>
        <v>60.0810496707802</v>
      </c>
      <c r="AJ13" s="16" t="n">
        <f aca="false">IF(Time!AJ39=1,AJ12,AJ11)*Time!AJ26</f>
        <v>62.1238053595867</v>
      </c>
      <c r="AK13" s="16" t="n">
        <f aca="false">IF(Time!AK39=1,AK12,AK11)*Time!AK26</f>
        <v>62.1238053595867</v>
      </c>
      <c r="AL13" s="16" t="n">
        <f aca="false">IF(Time!AL39=1,AL12,AL11)*Time!AL26</f>
        <v>64.2360147418127</v>
      </c>
      <c r="AM13" s="16" t="n">
        <f aca="false">IF(Time!AM39=1,AM12,AM11)*Time!AM26</f>
        <v>64.2360147418127</v>
      </c>
      <c r="AN13" s="16" t="n">
        <f aca="false">IF(Time!AN39=1,AN12,AN11)*Time!AN26</f>
        <v>66.4200392430343</v>
      </c>
      <c r="AO13" s="16" t="n">
        <f aca="false">IF(Time!AO39=1,AO12,AO11)*Time!AO26</f>
        <v>66.4200392430343</v>
      </c>
      <c r="AP13" s="16" t="n">
        <f aca="false">IF(Time!AP39=1,AP12,AP11)*Time!AP26</f>
        <v>68.6783205772974</v>
      </c>
      <c r="AQ13" s="16" t="n">
        <f aca="false">IF(Time!AQ39=1,AQ12,AQ11)*Time!AQ26</f>
        <v>68.6783205772974</v>
      </c>
      <c r="AR13" s="16" t="n">
        <f aca="false">IF(Time!AR39=1,AR12,AR11)*Time!AR26</f>
        <v>71.0133834769256</v>
      </c>
      <c r="AS13" s="16" t="n">
        <f aca="false">IF(Time!AS39=1,AS12,AS11)*Time!AS26</f>
        <v>71.0133834769256</v>
      </c>
      <c r="AT13" s="16" t="n">
        <f aca="false">IF(Time!AT39=1,AT12,AT11)*Time!AT26</f>
        <v>73.427838515141</v>
      </c>
      <c r="AU13" s="16" t="n">
        <f aca="false">IF(Time!AU39=1,AU12,AU11)*Time!AU26</f>
        <v>73.427838515141</v>
      </c>
      <c r="AV13" s="16" t="n">
        <f aca="false">IF(Time!AV39=1,AV12,AV11)*Time!AV26</f>
        <v>75.9243850246558</v>
      </c>
      <c r="AW13" s="16" t="n">
        <f aca="false">IF(Time!AW39=1,AW12,AW11)*Time!AW26</f>
        <v>75.9243850246558</v>
      </c>
      <c r="AX13" s="16" t="n">
        <f aca="false">IF(Time!AX39=1,AX12,AX11)*Time!AX26</f>
        <v>77.6706458802229</v>
      </c>
      <c r="AY13" s="16" t="n">
        <f aca="false">IF(Time!AY39=1,AY12,AY11)*Time!AY26</f>
        <v>77.6706458802229</v>
      </c>
      <c r="AZ13" s="16" t="n">
        <f aca="false">IF(Time!AZ39=1,AZ12,AZ11)*Time!AZ26</f>
        <v>79.457070735468</v>
      </c>
      <c r="BA13" s="16" t="n">
        <f aca="false">IF(Time!BA39=1,BA12,BA11)*Time!BA26</f>
        <v>79.457070735468</v>
      </c>
      <c r="BB13" s="16" t="n">
        <f aca="false">IF(Time!BB39=1,BB12,BB11)*Time!BB26</f>
        <v>81.2845833623838</v>
      </c>
      <c r="BC13" s="16" t="n">
        <f aca="false">IF(Time!BC39=1,BC12,BC11)*Time!BC26</f>
        <v>81.2845833623838</v>
      </c>
      <c r="BD13" s="16" t="n">
        <f aca="false">IF(Time!BD39=1,BD12,BD11)*Time!BD26</f>
        <v>83.1541287797186</v>
      </c>
      <c r="BE13" s="16" t="n">
        <f aca="false">IF(Time!BE39=1,BE12,BE11)*Time!BE26</f>
        <v>83.1541287797186</v>
      </c>
      <c r="BF13" s="16" t="n">
        <f aca="false">IF(Time!BF39=1,BF12,BF11)*Time!BF26</f>
        <v>85.0666737416521</v>
      </c>
      <c r="BG13" s="16" t="n">
        <f aca="false">IF(Time!BG39=1,BG12,BG11)*Time!BG26</f>
        <v>85.0666737416521</v>
      </c>
      <c r="BH13" s="16" t="n">
        <f aca="false">IF(Time!BH39=1,BH12,BH11)*Time!BH26</f>
        <v>87.0232072377101</v>
      </c>
      <c r="BI13" s="16" t="n">
        <f aca="false">IF(Time!BI39=1,BI12,BI11)*Time!BI26</f>
        <v>87.0232072377101</v>
      </c>
      <c r="BJ13" s="16" t="n">
        <f aca="false">IF(Time!BJ39=1,BJ12,BJ11)*Time!BJ26</f>
        <v>89.0247410041774</v>
      </c>
      <c r="BK13" s="16" t="n">
        <f aca="false">IF(Time!BK39=1,BK12,BK11)*Time!BK26</f>
        <v>89.0247410041774</v>
      </c>
      <c r="BL13" s="16" t="n">
        <f aca="false">IF(Time!BL39=1,BL12,BL11)*Time!BL26</f>
        <v>91.0723100472735</v>
      </c>
      <c r="BM13" s="16" t="n">
        <f aca="false">IF(Time!BM39=1,BM12,BM11)*Time!BM26</f>
        <v>91.0723100472735</v>
      </c>
      <c r="BN13" s="16" t="n">
        <f aca="false">IF(Time!BN39=1,BN12,BN11)*Time!BN26</f>
        <v>93.1669731783608</v>
      </c>
      <c r="BO13" s="16" t="n">
        <f aca="false">IF(Time!BO39=1,BO12,BO11)*Time!BO26</f>
        <v>93.1669731783608</v>
      </c>
      <c r="BP13" s="16" t="n">
        <f aca="false">IF(Time!BP39=1,BP12,BP11)*Time!BP26</f>
        <v>95.3098135614631</v>
      </c>
      <c r="BQ13" s="16" t="n">
        <f aca="false">IF(Time!BQ39=1,BQ12,BQ11)*Time!BQ26</f>
        <v>95.3098135614631</v>
      </c>
      <c r="BR13" s="16" t="n">
        <f aca="false">IF(Time!BR39=1,BR12,BR11)*Time!BR26</f>
        <v>96.4535313242006</v>
      </c>
      <c r="BS13" s="16" t="n">
        <f aca="false">IF(Time!BS39=1,BS12,BS11)*Time!BS26</f>
        <v>96.4535313242006</v>
      </c>
      <c r="BT13" s="16" t="n">
        <f aca="false">IF(Time!BT39=1,BT12,BT11)*Time!BT26</f>
        <v>97.610973700091</v>
      </c>
      <c r="BU13" s="16" t="n">
        <f aca="false">IF(Time!BU39=1,BU12,BU11)*Time!BU26</f>
        <v>97.610973700091</v>
      </c>
      <c r="BV13" s="16" t="n">
        <f aca="false">IF(Time!BV39=1,BV12,BV11)*Time!BV26</f>
        <v>98.7823053844921</v>
      </c>
      <c r="BW13" s="16" t="n">
        <f aca="false">IF(Time!BW39=1,BW12,BW11)*Time!BW26</f>
        <v>98.7823053844921</v>
      </c>
      <c r="BX13" s="16" t="n">
        <f aca="false">IF(Time!BX39=1,BX12,BX11)*Time!BX26</f>
        <v>99.967693049106</v>
      </c>
      <c r="BY13" s="16" t="n">
        <f aca="false">IF(Time!BY39=1,BY12,BY11)*Time!BY26</f>
        <v>99.967693049106</v>
      </c>
      <c r="BZ13" s="16" t="n">
        <f aca="false">IF(Time!BZ39=1,BZ12,BZ11)*Time!BZ26</f>
        <v>101.167305365695</v>
      </c>
      <c r="CA13" s="16" t="n">
        <f aca="false">IF(Time!CA39=1,CA12,CA11)*Time!CA26</f>
        <v>101.167305365695</v>
      </c>
      <c r="CB13" s="16" t="n">
        <f aca="false">IF(Time!CB39=1,CB12,CB11)*Time!CB26</f>
        <v>102.381313030084</v>
      </c>
      <c r="CC13" s="16" t="n">
        <f aca="false">IF(Time!CC39=1,CC12,CC11)*Time!CC26</f>
        <v>102.381313030084</v>
      </c>
      <c r="CD13" s="16" t="n">
        <f aca="false">IF(Time!CD39=1,CD12,CD11)*Time!CD26</f>
        <v>103.609888786445</v>
      </c>
      <c r="CE13" s="16" t="n">
        <f aca="false">IF(Time!CE39=1,CE12,CE11)*Time!CE26</f>
        <v>103.609888786445</v>
      </c>
      <c r="CF13" s="16" t="n">
        <f aca="false">IF(Time!CF39=1,CF12,CF11)*Time!CF26</f>
        <v>104.853207451882</v>
      </c>
      <c r="CG13" s="16" t="n">
        <f aca="false">IF(Time!CG39=1,CG12,CG11)*Time!CG26</f>
        <v>104.853207451882</v>
      </c>
      <c r="CH13" s="16" t="n">
        <f aca="false">IF(Time!CH39=1,CH12,CH11)*Time!CH26</f>
        <v>106.111445941305</v>
      </c>
      <c r="CI13" s="16" t="n">
        <f aca="false">IF(Time!CI39=1,CI12,CI11)*Time!CI26</f>
        <v>106.111445941305</v>
      </c>
      <c r="CJ13" s="16" t="n">
        <f aca="false">IF(Time!CJ39=1,CJ12,CJ11)*Time!CJ26</f>
        <v>107.3847832926</v>
      </c>
      <c r="CK13" s="16" t="n">
        <f aca="false">IF(Time!CK39=1,CK12,CK11)*Time!CK26</f>
        <v>107.3847832926</v>
      </c>
      <c r="CL13" s="16" t="n">
        <f aca="false">IF(Time!CL39=1,CL12,CL11)*Time!CL26</f>
        <v>108.673400692111</v>
      </c>
      <c r="CM13" s="16" t="n">
        <f aca="false">IF(Time!CM39=1,CM12,CM11)*Time!CM26</f>
        <v>108.673400692111</v>
      </c>
      <c r="CN13" s="16" t="n">
        <f aca="false">IF(Time!CN39=1,CN12,CN11)*Time!CN26</f>
        <v>109.977481500417</v>
      </c>
      <c r="CO13" s="16" t="n">
        <f aca="false">IF(Time!CO39=1,CO12,CO11)*Time!CO26</f>
        <v>109.977481500417</v>
      </c>
      <c r="CP13" s="16" t="n">
        <f aca="false">IF(Time!CP39=1,CP12,CP11)*Time!CP26</f>
        <v>111.297211278422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9514.71767980118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19.8362098974574</v>
      </c>
      <c r="AA18" s="19" t="n">
        <f aca="false">AA13*Inputs!$F$64*Time!AA25*Inputs!$F$127*Time!AA60*AA17/Inputs!$F$65</f>
        <v>41.3230780545086</v>
      </c>
      <c r="AB18" s="19" t="n">
        <f aca="false">AB13*Inputs!$F$64*Time!AB25*Inputs!$F$127*Time!AB60*AB17/Inputs!$F$65</f>
        <v>47.5465806496581</v>
      </c>
      <c r="AC18" s="19" t="n">
        <f aca="false">AC13*Inputs!$F$64*Time!AC25*Inputs!$F$127*Time!AC60*AC17/Inputs!$F$65</f>
        <v>49.5092405519868</v>
      </c>
      <c r="AD18" s="19" t="n">
        <f aca="false">AD13*Inputs!$F$64*Time!AD25*Inputs!$F$127*Time!AD60*AD17/Inputs!$F$65</f>
        <v>53.7150864131394</v>
      </c>
      <c r="AE18" s="19" t="n">
        <f aca="false">AE13*Inputs!$F$64*Time!AE25*Inputs!$F$127*Time!AE60*AE17/Inputs!$F$65</f>
        <v>56.2537432738388</v>
      </c>
      <c r="AF18" s="19" t="n">
        <f aca="false">AF13*Inputs!$F$64*Time!AF25*Inputs!$F$127*Time!AF60*AF17/Inputs!$F$65</f>
        <v>59.6020893833335</v>
      </c>
      <c r="AG18" s="19" t="n">
        <f aca="false">AG13*Inputs!$F$64*Time!AG25*Inputs!$F$127*Time!AG60*AG17/Inputs!$F$65</f>
        <v>62.3976615297981</v>
      </c>
      <c r="AH18" s="19" t="n">
        <f aca="false">AH13*Inputs!$F$64*Time!AH25*Inputs!$F$127*Time!AH60*AH17/Inputs!$F$65</f>
        <v>63.467238836673</v>
      </c>
      <c r="AI18" s="19" t="n">
        <f aca="false">AI13*Inputs!$F$64*Time!AI25*Inputs!$F$127*Time!AI60*AI17/Inputs!$F$65</f>
        <v>66.4550912599204</v>
      </c>
      <c r="AJ18" s="19" t="n">
        <f aca="false">AJ13*Inputs!$F$64*Time!AJ25*Inputs!$F$127*Time!AJ60*AJ17/Inputs!$F$65</f>
        <v>67.9676669240321</v>
      </c>
      <c r="AK18" s="19" t="n">
        <f aca="false">AK13*Inputs!$F$64*Time!AK25*Inputs!$F$127*Time!AK60*AK17/Inputs!$F$65</f>
        <v>70.7853196926248</v>
      </c>
      <c r="AL18" s="19" t="n">
        <f aca="false">AL13*Inputs!$F$64*Time!AL25*Inputs!$F$127*Time!AL60*AL17/Inputs!$F$65</f>
        <v>71.9986724008343</v>
      </c>
      <c r="AM18" s="19" t="n">
        <f aca="false">AM13*Inputs!$F$64*Time!AM25*Inputs!$F$127*Time!AM60*AM17/Inputs!$F$65</f>
        <v>75.4045536069594</v>
      </c>
      <c r="AN18" s="19" t="n">
        <f aca="false">AN13*Inputs!$F$64*Time!AN25*Inputs!$F$127*Time!AN60*AN17/Inputs!$F$65</f>
        <v>76.6970860095483</v>
      </c>
      <c r="AO18" s="19" t="n">
        <f aca="false">AO13*Inputs!$F$64*Time!AO25*Inputs!$F$127*Time!AO60*AO17/Inputs!$F$65</f>
        <v>80.2929669393284</v>
      </c>
      <c r="AP18" s="19" t="n">
        <f aca="false">AP13*Inputs!$F$64*Time!AP25*Inputs!$F$127*Time!AP60*AP17/Inputs!$F$65</f>
        <v>81.6692931226254</v>
      </c>
      <c r="AQ18" s="19" t="n">
        <f aca="false">AQ13*Inputs!$F$64*Time!AQ25*Inputs!$F$127*Time!AQ60*AQ17/Inputs!$F$65</f>
        <v>85.5029325523944</v>
      </c>
      <c r="AR18" s="19" t="n">
        <f aca="false">AR13*Inputs!$F$64*Time!AR25*Inputs!$F$127*Time!AR60*AR17/Inputs!$F$65</f>
        <v>87.449053647663</v>
      </c>
      <c r="AS18" s="19" t="n">
        <f aca="false">AS13*Inputs!$F$64*Time!AS25*Inputs!$F$127*Time!AS60*AS17/Inputs!$F$65</f>
        <v>91.0532594619267</v>
      </c>
      <c r="AT18" s="19" t="n">
        <f aca="false">AT13*Inputs!$F$64*Time!AT25*Inputs!$F$127*Time!AT60*AT17/Inputs!$F$65</f>
        <v>92.6140310942252</v>
      </c>
      <c r="AU18" s="19" t="n">
        <f aca="false">AU13*Inputs!$F$64*Time!AU25*Inputs!$F$127*Time!AU60*AU17/Inputs!$F$65</f>
        <v>96.9637521941914</v>
      </c>
      <c r="AV18" s="19" t="n">
        <f aca="false">AV13*Inputs!$F$64*Time!AV25*Inputs!$F$127*Time!AV60*AV17/Inputs!$F$65</f>
        <v>98.6258373812592</v>
      </c>
      <c r="AW18" s="19" t="n">
        <f aca="false">AW13*Inputs!$F$64*Time!AW25*Inputs!$F$127*Time!AW60*AW17/Inputs!$F$65</f>
        <v>102.749106502643</v>
      </c>
      <c r="AX18" s="19" t="n">
        <f aca="false">AX13*Inputs!$F$64*Time!AX25*Inputs!$F$127*Time!AX60*AX17/Inputs!$F$65</f>
        <v>103.398547866026</v>
      </c>
      <c r="AY18" s="19" t="n">
        <f aca="false">AY13*Inputs!$F$64*Time!AY25*Inputs!$F$127*Time!AY60*AY17/Inputs!$F$65</f>
        <v>107.744459307329</v>
      </c>
      <c r="AZ18" s="19" t="n">
        <f aca="false">AZ13*Inputs!$F$64*Time!AZ25*Inputs!$F$127*Time!AZ60*AZ17/Inputs!$F$65</f>
        <v>109.024510329317</v>
      </c>
      <c r="BA18" s="19" t="n">
        <f aca="false">BA13*Inputs!$F$64*Time!BA25*Inputs!$F$127*Time!BA60*BA17/Inputs!$F$65</f>
        <v>112.959386066842</v>
      </c>
      <c r="BB18" s="19" t="n">
        <f aca="false">BB13*Inputs!$F$64*Time!BB25*Inputs!$F$127*Time!BB60*BB17/Inputs!$F$65</f>
        <v>113.67336305595</v>
      </c>
      <c r="BC18" s="19" t="n">
        <f aca="false">BC13*Inputs!$F$64*Time!BC25*Inputs!$F$127*Time!BC60*BC17/Inputs!$F$65</f>
        <v>118.44751717677</v>
      </c>
      <c r="BD18" s="19" t="n">
        <f aca="false">BD13*Inputs!$F$64*Time!BD25*Inputs!$F$127*Time!BD60*BD17/Inputs!$F$65</f>
        <v>119.196182733708</v>
      </c>
      <c r="BE18" s="19" t="n">
        <f aca="false">BE13*Inputs!$F$64*Time!BE25*Inputs!$F$127*Time!BE60*BE17/Inputs!$F$65</f>
        <v>124.220738575359</v>
      </c>
      <c r="BF18" s="19" t="n">
        <f aca="false">BF13*Inputs!$F$64*Time!BF25*Inputs!$F$127*Time!BF60*BF17/Inputs!$F$65</f>
        <v>125.00589465668</v>
      </c>
      <c r="BG18" s="19" t="n">
        <f aca="false">BG13*Inputs!$F$64*Time!BG25*Inputs!$F$127*Time!BG60*BG17/Inputs!$F$65</f>
        <v>130.244127813501</v>
      </c>
      <c r="BH18" s="19" t="n">
        <f aca="false">BH13*Inputs!$F$64*Time!BH25*Inputs!$F$127*Time!BH60*BH17/Inputs!$F$65</f>
        <v>131.791484679807</v>
      </c>
      <c r="BI18" s="19" t="n">
        <f aca="false">BI13*Inputs!$F$64*Time!BI25*Inputs!$F$127*Time!BI60*BI17/Inputs!$F$65</f>
        <v>136.575570855523</v>
      </c>
      <c r="BJ18" s="19" t="n">
        <f aca="false">BJ13*Inputs!$F$64*Time!BJ25*Inputs!$F$127*Time!BJ60*BJ17/Inputs!$F$65</f>
        <v>137.438817534354</v>
      </c>
      <c r="BK18" s="19" t="n">
        <f aca="false">BK13*Inputs!$F$64*Time!BK25*Inputs!$F$127*Time!BK60*BK17/Inputs!$F$65</f>
        <v>143.228275688899</v>
      </c>
      <c r="BL18" s="19" t="n">
        <f aca="false">BL13*Inputs!$F$64*Time!BL25*Inputs!$F$127*Time!BL60*BL17/Inputs!$F$65</f>
        <v>144.133571800998</v>
      </c>
      <c r="BM18" s="19" t="n">
        <f aca="false">BM13*Inputs!$F$64*Time!BM25*Inputs!$F$127*Time!BM60*BM17/Inputs!$F$65</f>
        <v>150.165351262527</v>
      </c>
      <c r="BN18" s="19" t="n">
        <f aca="false">BN13*Inputs!$F$64*Time!BN25*Inputs!$F$127*Time!BN60*BN17/Inputs!$F$65</f>
        <v>151.114494216431</v>
      </c>
      <c r="BO18" s="19" t="n">
        <f aca="false">BO13*Inputs!$F$64*Time!BO25*Inputs!$F$127*Time!BO60*BO17/Inputs!$F$65</f>
        <v>157.449281505068</v>
      </c>
      <c r="BP18" s="19" t="n">
        <f aca="false">BP13*Inputs!$F$64*Time!BP25*Inputs!$F$127*Time!BP60*BP17/Inputs!$F$65</f>
        <v>159.319847425557</v>
      </c>
      <c r="BQ18" s="19" t="n">
        <f aca="false">BQ13*Inputs!$F$64*Time!BQ25*Inputs!$F$127*Time!BQ60*BQ17/Inputs!$F$65</f>
        <v>165.094732908171</v>
      </c>
      <c r="BR18" s="19" t="n">
        <f aca="false">BR13*Inputs!$F$64*Time!BR25*Inputs!$F$127*Time!BR60*BR17/Inputs!$F$65</f>
        <v>164.351806610084</v>
      </c>
      <c r="BS18" s="19" t="n">
        <f aca="false">BS13*Inputs!$F$64*Time!BS25*Inputs!$F$127*Time!BS60*BS17/Inputs!$F$65</f>
        <v>171.255445661003</v>
      </c>
      <c r="BT18" s="19" t="n">
        <f aca="false">BT13*Inputs!$F$64*Time!BT25*Inputs!$F$127*Time!BT60*BT17/Inputs!$F$65</f>
        <v>170.484796155529</v>
      </c>
      <c r="BU18" s="19" t="n">
        <f aca="false">BU13*Inputs!$F$64*Time!BU25*Inputs!$F$127*Time!BU60*BU17/Inputs!$F$65</f>
        <v>177.648696516043</v>
      </c>
      <c r="BV18" s="19" t="n">
        <f aca="false">BV13*Inputs!$F$64*Time!BV25*Inputs!$F$127*Time!BV60*BV17/Inputs!$F$65</f>
        <v>176.849277381721</v>
      </c>
      <c r="BW18" s="19" t="n">
        <f aca="false">BW13*Inputs!$F$64*Time!BW25*Inputs!$F$127*Time!BW60*BW17/Inputs!$F$65</f>
        <v>184.280480700758</v>
      </c>
      <c r="BX18" s="19" t="n">
        <f aca="false">BX13*Inputs!$F$64*Time!BX25*Inputs!$F$127*Time!BX60*BX17/Inputs!$F$65</f>
        <v>184.464761181458</v>
      </c>
      <c r="BY18" s="19" t="n">
        <f aca="false">BY13*Inputs!$F$64*Time!BY25*Inputs!$F$127*Time!BY60*BY17/Inputs!$F$65</f>
        <v>191.156919460057</v>
      </c>
      <c r="BZ18" s="19" t="n">
        <f aca="false">BZ13*Inputs!$F$64*Time!BZ25*Inputs!$F$127*Time!BZ60*BZ17/Inputs!$F$65</f>
        <v>190.296713322487</v>
      </c>
      <c r="CA18" s="19" t="n">
        <f aca="false">CA13*Inputs!$F$64*Time!CA25*Inputs!$F$127*Time!CA60*CA17/Inputs!$F$65</f>
        <v>198.284262404806</v>
      </c>
      <c r="CB18" s="19" t="n">
        <f aca="false">CB13*Inputs!$F$64*Time!CB25*Inputs!$F$127*Time!CB60*CB17/Inputs!$F$65</f>
        <v>197.391983223984</v>
      </c>
      <c r="CC18" s="19" t="n">
        <f aca="false">CC13*Inputs!$F$64*Time!CC25*Inputs!$F$127*Time!CC60*CC17/Inputs!$F$65</f>
        <v>205.668889900807</v>
      </c>
      <c r="CD18" s="19" t="n">
        <f aca="false">CD13*Inputs!$F$64*Time!CD25*Inputs!$F$127*Time!CD60*CD17/Inputs!$F$65</f>
        <v>204.743379896254</v>
      </c>
      <c r="CE18" s="19" t="n">
        <f aca="false">CE13*Inputs!$F$64*Time!CE25*Inputs!$F$127*Time!CE60*CE17/Inputs!$F$65</f>
        <v>213.317315498911</v>
      </c>
      <c r="CF18" s="19" t="n">
        <f aca="false">CF13*Inputs!$F$64*Time!CF25*Inputs!$F$127*Time!CF60*CF17/Inputs!$F$65</f>
        <v>213.530632814409</v>
      </c>
      <c r="CG18" s="19" t="n">
        <f aca="false">CG13*Inputs!$F$64*Time!CG25*Inputs!$F$127*Time!CG60*CG17/Inputs!$F$65</f>
        <v>221.294439114767</v>
      </c>
      <c r="CH18" s="19" t="n">
        <f aca="false">CH13*Inputs!$F$64*Time!CH25*Inputs!$F$127*Time!CH60*CH17/Inputs!$F$65</f>
        <v>220.29861413875</v>
      </c>
      <c r="CI18" s="19" t="n">
        <f aca="false">CI13*Inputs!$F$64*Time!CI25*Inputs!$F$127*Time!CI60*CI17/Inputs!$F$65</f>
        <v>229.550195436656</v>
      </c>
      <c r="CJ18" s="19" t="n">
        <f aca="false">CJ13*Inputs!$F$64*Time!CJ25*Inputs!$F$127*Time!CJ60*CJ17/Inputs!$F$65</f>
        <v>228.517219557191</v>
      </c>
      <c r="CK18" s="19" t="n">
        <f aca="false">CK13*Inputs!$F$64*Time!CK25*Inputs!$F$127*Time!CK60*CK17/Inputs!$F$65</f>
        <v>238.091537736915</v>
      </c>
      <c r="CL18" s="19" t="n">
        <f aca="false">CL13*Inputs!$F$64*Time!CL25*Inputs!$F$127*Time!CL60*CL17/Inputs!$F$65</f>
        <v>237.020125817099</v>
      </c>
      <c r="CM18" s="19" t="n">
        <f aca="false">CM13*Inputs!$F$64*Time!CM25*Inputs!$F$127*Time!CM60*CM17/Inputs!$F$65</f>
        <v>246.985936019118</v>
      </c>
      <c r="CN18" s="19" t="n">
        <f aca="false">CN13*Inputs!$F$64*Time!CN25*Inputs!$F$127*Time!CN60*CN17/Inputs!$F$65</f>
        <v>247.232921955137</v>
      </c>
      <c r="CO18" s="19" t="n">
        <f aca="false">CO13*Inputs!$F$64*Time!CO25*Inputs!$F$127*Time!CO60*CO17/Inputs!$F$65</f>
        <v>256.181709627206</v>
      </c>
      <c r="CP18" s="19" t="n">
        <f aca="false">CP13*Inputs!$F$64*Time!CP25*Inputs!$F$127*Time!CP60*CP17/Inputs!$F$65</f>
        <v>205.713912830646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171.264918236421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0.357051778154233</v>
      </c>
      <c r="AA19" s="19" t="n">
        <f aca="false">AA18*Inputs!$F$128</f>
        <v>0.743815404981154</v>
      </c>
      <c r="AB19" s="19" t="n">
        <f aca="false">AB18*Inputs!$F$128</f>
        <v>0.855838451693846</v>
      </c>
      <c r="AC19" s="19" t="n">
        <f aca="false">AC18*Inputs!$F$128</f>
        <v>0.891166329935763</v>
      </c>
      <c r="AD19" s="19" t="n">
        <f aca="false">AD18*Inputs!$F$128</f>
        <v>0.966871555436509</v>
      </c>
      <c r="AE19" s="19" t="n">
        <f aca="false">AE18*Inputs!$F$128</f>
        <v>1.0125673789291</v>
      </c>
      <c r="AF19" s="19" t="n">
        <f aca="false">AF18*Inputs!$F$128</f>
        <v>1.0728376089</v>
      </c>
      <c r="AG19" s="19" t="n">
        <f aca="false">AG18*Inputs!$F$128</f>
        <v>1.12315790753637</v>
      </c>
      <c r="AH19" s="19" t="n">
        <f aca="false">AH18*Inputs!$F$128</f>
        <v>1.14241029906011</v>
      </c>
      <c r="AI19" s="19" t="n">
        <f aca="false">AI18*Inputs!$F$128</f>
        <v>1.19619164267857</v>
      </c>
      <c r="AJ19" s="19" t="n">
        <f aca="false">AJ18*Inputs!$F$128</f>
        <v>1.22341800463258</v>
      </c>
      <c r="AK19" s="19" t="n">
        <f aca="false">AK18*Inputs!$F$128</f>
        <v>1.27413575446725</v>
      </c>
      <c r="AL19" s="19" t="n">
        <f aca="false">AL18*Inputs!$F$128</f>
        <v>1.29597610321502</v>
      </c>
      <c r="AM19" s="19" t="n">
        <f aca="false">AM18*Inputs!$F$128</f>
        <v>1.35728196492527</v>
      </c>
      <c r="AN19" s="19" t="n">
        <f aca="false">AN18*Inputs!$F$128</f>
        <v>1.38054754817187</v>
      </c>
      <c r="AO19" s="19" t="n">
        <f aca="false">AO18*Inputs!$F$128</f>
        <v>1.44527340490791</v>
      </c>
      <c r="AP19" s="19" t="n">
        <f aca="false">AP18*Inputs!$F$128</f>
        <v>1.47004727620726</v>
      </c>
      <c r="AQ19" s="19" t="n">
        <f aca="false">AQ18*Inputs!$F$128</f>
        <v>1.5390527859431</v>
      </c>
      <c r="AR19" s="19" t="n">
        <f aca="false">AR18*Inputs!$F$128</f>
        <v>1.57408296565793</v>
      </c>
      <c r="AS19" s="19" t="n">
        <f aca="false">AS18*Inputs!$F$128</f>
        <v>1.63895867031468</v>
      </c>
      <c r="AT19" s="19" t="n">
        <f aca="false">AT18*Inputs!$F$128</f>
        <v>1.66705255969605</v>
      </c>
      <c r="AU19" s="19" t="n">
        <f aca="false">AU18*Inputs!$F$128</f>
        <v>1.74534753949545</v>
      </c>
      <c r="AV19" s="19" t="n">
        <f aca="false">AV18*Inputs!$F$128</f>
        <v>1.77526507286267</v>
      </c>
      <c r="AW19" s="19" t="n">
        <f aca="false">AW18*Inputs!$F$128</f>
        <v>1.84948391704757</v>
      </c>
      <c r="AX19" s="19" t="n">
        <f aca="false">AX18*Inputs!$F$128</f>
        <v>1.86117386158847</v>
      </c>
      <c r="AY19" s="19" t="n">
        <f aca="false">AY18*Inputs!$F$128</f>
        <v>1.93940026753191</v>
      </c>
      <c r="AZ19" s="19" t="n">
        <f aca="false">AZ18*Inputs!$F$128</f>
        <v>1.9624411859277</v>
      </c>
      <c r="BA19" s="19" t="n">
        <f aca="false">BA18*Inputs!$F$128</f>
        <v>2.03326894920316</v>
      </c>
      <c r="BB19" s="19" t="n">
        <f aca="false">BB18*Inputs!$F$128</f>
        <v>2.04612053500709</v>
      </c>
      <c r="BC19" s="19" t="n">
        <f aca="false">BC18*Inputs!$F$128</f>
        <v>2.13205530918186</v>
      </c>
      <c r="BD19" s="19" t="n">
        <f aca="false">BD18*Inputs!$F$128</f>
        <v>2.14553128920674</v>
      </c>
      <c r="BE19" s="19" t="n">
        <f aca="false">BE18*Inputs!$F$128</f>
        <v>2.23597329435645</v>
      </c>
      <c r="BF19" s="19" t="n">
        <f aca="false">BF18*Inputs!$F$128</f>
        <v>2.25010610382024</v>
      </c>
      <c r="BG19" s="19" t="n">
        <f aca="false">BG18*Inputs!$F$128</f>
        <v>2.34439430064301</v>
      </c>
      <c r="BH19" s="19" t="n">
        <f aca="false">BH18*Inputs!$F$128</f>
        <v>2.37224672423652</v>
      </c>
      <c r="BI19" s="19" t="n">
        <f aca="false">BI18*Inputs!$F$128</f>
        <v>2.45836027539941</v>
      </c>
      <c r="BJ19" s="19" t="n">
        <f aca="false">BJ18*Inputs!$F$128</f>
        <v>2.47389871561838</v>
      </c>
      <c r="BK19" s="19" t="n">
        <f aca="false">BK18*Inputs!$F$128</f>
        <v>2.57810896240018</v>
      </c>
      <c r="BL19" s="19" t="n">
        <f aca="false">BL18*Inputs!$F$128</f>
        <v>2.59440429241796</v>
      </c>
      <c r="BM19" s="19" t="n">
        <f aca="false">BM18*Inputs!$F$128</f>
        <v>2.70297632272549</v>
      </c>
      <c r="BN19" s="19" t="n">
        <f aca="false">BN18*Inputs!$F$128</f>
        <v>2.72006089589576</v>
      </c>
      <c r="BO19" s="19" t="n">
        <f aca="false">BO18*Inputs!$F$128</f>
        <v>2.83408706709122</v>
      </c>
      <c r="BP19" s="19" t="n">
        <f aca="false">BP18*Inputs!$F$128</f>
        <v>2.86775725366003</v>
      </c>
      <c r="BQ19" s="19" t="n">
        <f aca="false">BQ18*Inputs!$F$128</f>
        <v>2.97170519234708</v>
      </c>
      <c r="BR19" s="19" t="n">
        <f aca="false">BR18*Inputs!$F$128</f>
        <v>2.95833251898152</v>
      </c>
      <c r="BS19" s="19" t="n">
        <f aca="false">BS18*Inputs!$F$128</f>
        <v>3.08259802189806</v>
      </c>
      <c r="BT19" s="19" t="n">
        <f aca="false">BT18*Inputs!$F$128</f>
        <v>3.06872633079952</v>
      </c>
      <c r="BU19" s="19" t="n">
        <f aca="false">BU18*Inputs!$F$128</f>
        <v>3.19767653728877</v>
      </c>
      <c r="BV19" s="19" t="n">
        <f aca="false">BV18*Inputs!$F$128</f>
        <v>3.18328699287097</v>
      </c>
      <c r="BW19" s="19" t="n">
        <f aca="false">BW18*Inputs!$F$128</f>
        <v>3.31704865261364</v>
      </c>
      <c r="BX19" s="19" t="n">
        <f aca="false">BX18*Inputs!$F$128</f>
        <v>3.32036570126625</v>
      </c>
      <c r="BY19" s="19" t="n">
        <f aca="false">BY18*Inputs!$F$128</f>
        <v>3.44082455028103</v>
      </c>
      <c r="BZ19" s="19" t="n">
        <f aca="false">BZ18*Inputs!$F$128</f>
        <v>3.42534083980476</v>
      </c>
      <c r="CA19" s="19" t="n">
        <f aca="false">CA18*Inputs!$F$128</f>
        <v>3.56911672328651</v>
      </c>
      <c r="CB19" s="19" t="n">
        <f aca="false">CB18*Inputs!$F$128</f>
        <v>3.55305569803172</v>
      </c>
      <c r="CC19" s="19" t="n">
        <f aca="false">CC18*Inputs!$F$128</f>
        <v>3.70204001821453</v>
      </c>
      <c r="CD19" s="19" t="n">
        <f aca="false">CD18*Inputs!$F$128</f>
        <v>3.68538083813257</v>
      </c>
      <c r="CE19" s="19" t="n">
        <f aca="false">CE18*Inputs!$F$128</f>
        <v>3.83971167898039</v>
      </c>
      <c r="CF19" s="19" t="n">
        <f aca="false">CF18*Inputs!$F$128</f>
        <v>3.84355139065937</v>
      </c>
      <c r="CG19" s="19" t="n">
        <f aca="false">CG18*Inputs!$F$128</f>
        <v>3.9832999040658</v>
      </c>
      <c r="CH19" s="19" t="n">
        <f aca="false">CH18*Inputs!$F$128</f>
        <v>3.9653750544975</v>
      </c>
      <c r="CI19" s="19" t="n">
        <f aca="false">CI18*Inputs!$F$128</f>
        <v>4.13190351785981</v>
      </c>
      <c r="CJ19" s="19" t="n">
        <f aca="false">CJ18*Inputs!$F$128</f>
        <v>4.11330995202944</v>
      </c>
      <c r="CK19" s="19" t="n">
        <f aca="false">CK18*Inputs!$F$128</f>
        <v>4.28564767926447</v>
      </c>
      <c r="CL19" s="19" t="n">
        <f aca="false">CL18*Inputs!$F$128</f>
        <v>4.26636226470778</v>
      </c>
      <c r="CM19" s="19" t="n">
        <f aca="false">CM18*Inputs!$F$128</f>
        <v>4.44574684834412</v>
      </c>
      <c r="CN19" s="19" t="n">
        <f aca="false">CN18*Inputs!$F$128</f>
        <v>4.45019259519247</v>
      </c>
      <c r="CO19" s="19" t="n">
        <f aca="false">CO18*Inputs!$F$128</f>
        <v>4.61127077328971</v>
      </c>
      <c r="CP19" s="19" t="n">
        <f aca="false">CP18*Inputs!$F$128</f>
        <v>3.70285043095163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9343.45276156476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19.4791581193032</v>
      </c>
      <c r="AA20" s="19" t="n">
        <f aca="false">AA18-AA19</f>
        <v>40.5792626495274</v>
      </c>
      <c r="AB20" s="19" t="n">
        <f aca="false">AB18-AB19</f>
        <v>46.6907421979642</v>
      </c>
      <c r="AC20" s="19" t="n">
        <f aca="false">AC18-AC19</f>
        <v>48.6180742220511</v>
      </c>
      <c r="AD20" s="19" t="n">
        <f aca="false">AD18-AD19</f>
        <v>52.7482148577029</v>
      </c>
      <c r="AE20" s="19" t="n">
        <f aca="false">AE18-AE19</f>
        <v>55.2411758949097</v>
      </c>
      <c r="AF20" s="19" t="n">
        <f aca="false">AF18-AF19</f>
        <v>58.5292517744335</v>
      </c>
      <c r="AG20" s="19" t="n">
        <f aca="false">AG18-AG19</f>
        <v>61.2745036222617</v>
      </c>
      <c r="AH20" s="19" t="n">
        <f aca="false">AH18-AH19</f>
        <v>62.3248285376129</v>
      </c>
      <c r="AI20" s="19" t="n">
        <f aca="false">AI18-AI19</f>
        <v>65.2588996172418</v>
      </c>
      <c r="AJ20" s="19" t="n">
        <f aca="false">AJ18-AJ19</f>
        <v>66.7442489193995</v>
      </c>
      <c r="AK20" s="19" t="n">
        <f aca="false">AK18-AK19</f>
        <v>69.5111839381576</v>
      </c>
      <c r="AL20" s="19" t="n">
        <f aca="false">AL18-AL19</f>
        <v>70.7026962976193</v>
      </c>
      <c r="AM20" s="19" t="n">
        <f aca="false">AM18-AM19</f>
        <v>74.0472716420342</v>
      </c>
      <c r="AN20" s="19" t="n">
        <f aca="false">AN18-AN19</f>
        <v>75.3165384613764</v>
      </c>
      <c r="AO20" s="19" t="n">
        <f aca="false">AO18-AO19</f>
        <v>78.8476935344205</v>
      </c>
      <c r="AP20" s="19" t="n">
        <f aca="false">AP18-AP19</f>
        <v>80.1992458464181</v>
      </c>
      <c r="AQ20" s="19" t="n">
        <f aca="false">AQ18-AQ19</f>
        <v>83.9638797664513</v>
      </c>
      <c r="AR20" s="19" t="n">
        <f aca="false">AR18-AR19</f>
        <v>85.8749706820051</v>
      </c>
      <c r="AS20" s="19" t="n">
        <f aca="false">AS18-AS19</f>
        <v>89.414300791612</v>
      </c>
      <c r="AT20" s="19" t="n">
        <f aca="false">AT18-AT19</f>
        <v>90.9469785345291</v>
      </c>
      <c r="AU20" s="19" t="n">
        <f aca="false">AU18-AU19</f>
        <v>95.218404654696</v>
      </c>
      <c r="AV20" s="19" t="n">
        <f aca="false">AV18-AV19</f>
        <v>96.8505723083966</v>
      </c>
      <c r="AW20" s="19" t="n">
        <f aca="false">AW18-AW19</f>
        <v>100.899622585595</v>
      </c>
      <c r="AX20" s="19" t="n">
        <f aca="false">AX18-AX19</f>
        <v>101.537374004438</v>
      </c>
      <c r="AY20" s="19" t="n">
        <f aca="false">AY18-AY19</f>
        <v>105.805059039797</v>
      </c>
      <c r="AZ20" s="19" t="n">
        <f aca="false">AZ18-AZ19</f>
        <v>107.062069143389</v>
      </c>
      <c r="BA20" s="19" t="n">
        <f aca="false">BA18-BA19</f>
        <v>110.926117117639</v>
      </c>
      <c r="BB20" s="19" t="n">
        <f aca="false">BB18-BB19</f>
        <v>111.627242520942</v>
      </c>
      <c r="BC20" s="19" t="n">
        <f aca="false">BC18-BC19</f>
        <v>116.315461867588</v>
      </c>
      <c r="BD20" s="19" t="n">
        <f aca="false">BD18-BD19</f>
        <v>117.050651444501</v>
      </c>
      <c r="BE20" s="19" t="n">
        <f aca="false">BE18-BE19</f>
        <v>121.984765281002</v>
      </c>
      <c r="BF20" s="19" t="n">
        <f aca="false">BF18-BF19</f>
        <v>122.75578855286</v>
      </c>
      <c r="BG20" s="19" t="n">
        <f aca="false">BG18-BG19</f>
        <v>127.899733512858</v>
      </c>
      <c r="BH20" s="19" t="n">
        <f aca="false">BH18-BH19</f>
        <v>129.41923795557</v>
      </c>
      <c r="BI20" s="19" t="n">
        <f aca="false">BI18-BI19</f>
        <v>134.117210580124</v>
      </c>
      <c r="BJ20" s="19" t="n">
        <f aca="false">BJ18-BJ19</f>
        <v>134.964918818736</v>
      </c>
      <c r="BK20" s="19" t="n">
        <f aca="false">BK18-BK19</f>
        <v>140.650166726499</v>
      </c>
      <c r="BL20" s="19" t="n">
        <f aca="false">BL18-BL19</f>
        <v>141.53916750858</v>
      </c>
      <c r="BM20" s="19" t="n">
        <f aca="false">BM18-BM19</f>
        <v>147.462374939802</v>
      </c>
      <c r="BN20" s="19" t="n">
        <f aca="false">BN18-BN19</f>
        <v>148.394433320535</v>
      </c>
      <c r="BO20" s="19" t="n">
        <f aca="false">BO18-BO19</f>
        <v>154.615194437977</v>
      </c>
      <c r="BP20" s="19" t="n">
        <f aca="false">BP18-BP19</f>
        <v>156.452090171897</v>
      </c>
      <c r="BQ20" s="19" t="n">
        <f aca="false">BQ18-BQ19</f>
        <v>162.123027715824</v>
      </c>
      <c r="BR20" s="19" t="n">
        <f aca="false">BR18-BR19</f>
        <v>161.393474091103</v>
      </c>
      <c r="BS20" s="19" t="n">
        <f aca="false">BS18-BS19</f>
        <v>168.172847639105</v>
      </c>
      <c r="BT20" s="19" t="n">
        <f aca="false">BT18-BT19</f>
        <v>167.416069824729</v>
      </c>
      <c r="BU20" s="19" t="n">
        <f aca="false">BU18-BU19</f>
        <v>174.451019978754</v>
      </c>
      <c r="BV20" s="19" t="n">
        <f aca="false">BV18-BV19</f>
        <v>173.66599038885</v>
      </c>
      <c r="BW20" s="19" t="n">
        <f aca="false">BW18-BW19</f>
        <v>180.963432048144</v>
      </c>
      <c r="BX20" s="19" t="n">
        <f aca="false">BX18-BX19</f>
        <v>181.144395480192</v>
      </c>
      <c r="BY20" s="19" t="n">
        <f aca="false">BY18-BY19</f>
        <v>187.716094909776</v>
      </c>
      <c r="BZ20" s="19" t="n">
        <f aca="false">BZ18-BZ19</f>
        <v>186.871372482682</v>
      </c>
      <c r="CA20" s="19" t="n">
        <f aca="false">CA18-CA19</f>
        <v>194.71514568152</v>
      </c>
      <c r="CB20" s="19" t="n">
        <f aca="false">CB18-CB19</f>
        <v>193.838927525953</v>
      </c>
      <c r="CC20" s="19" t="n">
        <f aca="false">CC18-CC19</f>
        <v>201.966849882593</v>
      </c>
      <c r="CD20" s="19" t="n">
        <f aca="false">CD18-CD19</f>
        <v>201.057999058121</v>
      </c>
      <c r="CE20" s="19" t="n">
        <f aca="false">CE18-CE19</f>
        <v>209.47760381993</v>
      </c>
      <c r="CF20" s="19" t="n">
        <f aca="false">CF18-CF19</f>
        <v>209.68708142375</v>
      </c>
      <c r="CG20" s="19" t="n">
        <f aca="false">CG18-CG19</f>
        <v>217.311139210701</v>
      </c>
      <c r="CH20" s="19" t="n">
        <f aca="false">CH18-CH19</f>
        <v>216.333239084253</v>
      </c>
      <c r="CI20" s="19" t="n">
        <f aca="false">CI18-CI19</f>
        <v>225.418291918796</v>
      </c>
      <c r="CJ20" s="19" t="n">
        <f aca="false">CJ18-CJ19</f>
        <v>224.403909605162</v>
      </c>
      <c r="CK20" s="19" t="n">
        <f aca="false">CK18-CK19</f>
        <v>233.80589005765</v>
      </c>
      <c r="CL20" s="19" t="n">
        <f aca="false">CL18-CL19</f>
        <v>232.753763552391</v>
      </c>
      <c r="CM20" s="19" t="n">
        <f aca="false">CM18-CM19</f>
        <v>242.540189170774</v>
      </c>
      <c r="CN20" s="19" t="n">
        <f aca="false">CN18-CN19</f>
        <v>242.782729359945</v>
      </c>
      <c r="CO20" s="19" t="n">
        <f aca="false">CO18-CO19</f>
        <v>251.570438853916</v>
      </c>
      <c r="CP20" s="19" t="n">
        <f aca="false">CP18-CP19</f>
        <v>202.011062399695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579.294071217015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1.2077078033968</v>
      </c>
      <c r="AA26" s="19" t="n">
        <f aca="false">Inputs!$F$143*AA20*Inputs!$F$221</f>
        <v>2.5159142842707</v>
      </c>
      <c r="AB26" s="19" t="n">
        <f aca="false">Inputs!$F$143*AB20*Inputs!$F$221</f>
        <v>2.89482601627378</v>
      </c>
      <c r="AC26" s="19" t="n">
        <f aca="false">Inputs!$F$143*AC20*Inputs!$F$221</f>
        <v>3.01432060176717</v>
      </c>
      <c r="AD26" s="19" t="n">
        <f aca="false">Inputs!$F$143*AD20*Inputs!$F$221</f>
        <v>3.27038932117758</v>
      </c>
      <c r="AE26" s="19" t="n">
        <f aca="false">Inputs!$F$143*AE20*Inputs!$F$221</f>
        <v>3.4249529054844</v>
      </c>
      <c r="AF26" s="19" t="n">
        <f aca="false">Inputs!$F$143*AF20*Inputs!$F$221</f>
        <v>3.62881361001488</v>
      </c>
      <c r="AG26" s="19" t="n">
        <f aca="false">Inputs!$F$143*AG20*Inputs!$F$221</f>
        <v>3.79901922458023</v>
      </c>
      <c r="AH26" s="19" t="n">
        <f aca="false">Inputs!$F$143*AH20*Inputs!$F$221</f>
        <v>3.864139369332</v>
      </c>
      <c r="AI26" s="19" t="n">
        <f aca="false">Inputs!$F$143*AI20*Inputs!$F$221</f>
        <v>4.04605177626899</v>
      </c>
      <c r="AJ26" s="19" t="n">
        <f aca="false">Inputs!$F$143*AJ20*Inputs!$F$221</f>
        <v>4.13814343300277</v>
      </c>
      <c r="AK26" s="19" t="n">
        <f aca="false">Inputs!$F$143*AK20*Inputs!$F$221</f>
        <v>4.30969340416577</v>
      </c>
      <c r="AL26" s="19" t="n">
        <f aca="false">Inputs!$F$143*AL20*Inputs!$F$221</f>
        <v>4.38356717045239</v>
      </c>
      <c r="AM26" s="19" t="n">
        <f aca="false">Inputs!$F$143*AM20*Inputs!$F$221</f>
        <v>4.59093084180612</v>
      </c>
      <c r="AN26" s="19" t="n">
        <f aca="false">Inputs!$F$143*AN20*Inputs!$F$221</f>
        <v>4.66962538460534</v>
      </c>
      <c r="AO26" s="19" t="n">
        <f aca="false">Inputs!$F$143*AO20*Inputs!$F$221</f>
        <v>4.88855699913407</v>
      </c>
      <c r="AP26" s="19" t="n">
        <f aca="false">Inputs!$F$143*AP20*Inputs!$F$221</f>
        <v>4.97235324247793</v>
      </c>
      <c r="AQ26" s="19" t="n">
        <f aca="false">Inputs!$F$143*AQ20*Inputs!$F$221</f>
        <v>5.20576054551998</v>
      </c>
      <c r="AR26" s="19" t="n">
        <f aca="false">Inputs!$F$143*AR20*Inputs!$F$221</f>
        <v>5.32424818228432</v>
      </c>
      <c r="AS26" s="19" t="n">
        <f aca="false">Inputs!$F$143*AS20*Inputs!$F$221</f>
        <v>5.54368664907995</v>
      </c>
      <c r="AT26" s="19" t="n">
        <f aca="false">Inputs!$F$143*AT20*Inputs!$F$221</f>
        <v>5.63871266914081</v>
      </c>
      <c r="AU26" s="19" t="n">
        <f aca="false">Inputs!$F$143*AU20*Inputs!$F$221</f>
        <v>5.90354108859115</v>
      </c>
      <c r="AV26" s="19" t="n">
        <f aca="false">Inputs!$F$143*AV20*Inputs!$F$221</f>
        <v>6.00473548312059</v>
      </c>
      <c r="AW26" s="19" t="n">
        <f aca="false">Inputs!$F$143*AW20*Inputs!$F$221</f>
        <v>6.25577660030691</v>
      </c>
      <c r="AX26" s="19" t="n">
        <f aca="false">Inputs!$F$143*AX20*Inputs!$F$221</f>
        <v>6.29531718827515</v>
      </c>
      <c r="AY26" s="19" t="n">
        <f aca="false">Inputs!$F$143*AY20*Inputs!$F$221</f>
        <v>6.55991366046739</v>
      </c>
      <c r="AZ26" s="19" t="n">
        <f aca="false">Inputs!$F$143*AZ20*Inputs!$F$221</f>
        <v>6.63784828689012</v>
      </c>
      <c r="BA26" s="19" t="n">
        <f aca="false">Inputs!$F$143*BA20*Inputs!$F$221</f>
        <v>6.87741926129363</v>
      </c>
      <c r="BB26" s="19" t="n">
        <f aca="false">Inputs!$F$143*BB20*Inputs!$F$221</f>
        <v>6.92088903629843</v>
      </c>
      <c r="BC26" s="19" t="n">
        <f aca="false">Inputs!$F$143*BC20*Inputs!$F$221</f>
        <v>7.21155863579045</v>
      </c>
      <c r="BD26" s="19" t="n">
        <f aca="false">Inputs!$F$143*BD20*Inputs!$F$221</f>
        <v>7.25714038955906</v>
      </c>
      <c r="BE26" s="19" t="n">
        <f aca="false">Inputs!$F$143*BE20*Inputs!$F$221</f>
        <v>7.56305544742213</v>
      </c>
      <c r="BF26" s="19" t="n">
        <f aca="false">Inputs!$F$143*BF20*Inputs!$F$221</f>
        <v>7.6108588902773</v>
      </c>
      <c r="BG26" s="19" t="n">
        <f aca="false">Inputs!$F$143*BG20*Inputs!$F$221</f>
        <v>7.92978347779717</v>
      </c>
      <c r="BH26" s="19" t="n">
        <f aca="false">Inputs!$F$143*BH20*Inputs!$F$221</f>
        <v>8.02399275324535</v>
      </c>
      <c r="BI26" s="19" t="n">
        <f aca="false">Inputs!$F$143*BI20*Inputs!$F$221</f>
        <v>8.31526705596766</v>
      </c>
      <c r="BJ26" s="19" t="n">
        <f aca="false">Inputs!$F$143*BJ20*Inputs!$F$221</f>
        <v>8.36782496676163</v>
      </c>
      <c r="BK26" s="19" t="n">
        <f aca="false">Inputs!$F$143*BK20*Inputs!$F$221</f>
        <v>8.72031033704292</v>
      </c>
      <c r="BL26" s="19" t="n">
        <f aca="false">Inputs!$F$143*BL20*Inputs!$F$221</f>
        <v>8.77542838553194</v>
      </c>
      <c r="BM26" s="19" t="n">
        <f aca="false">Inputs!$F$143*BM20*Inputs!$F$221</f>
        <v>9.1426672462677</v>
      </c>
      <c r="BN26" s="19" t="n">
        <f aca="false">Inputs!$F$143*BN20*Inputs!$F$221</f>
        <v>9.20045486587319</v>
      </c>
      <c r="BO26" s="19" t="n">
        <f aca="false">Inputs!$F$143*BO20*Inputs!$F$221</f>
        <v>9.58614205515455</v>
      </c>
      <c r="BP26" s="19" t="n">
        <f aca="false">Inputs!$F$143*BP20*Inputs!$F$221</f>
        <v>9.70002959065764</v>
      </c>
      <c r="BQ26" s="19" t="n">
        <f aca="false">Inputs!$F$143*BQ20*Inputs!$F$221</f>
        <v>10.0516277183811</v>
      </c>
      <c r="BR26" s="19" t="n">
        <f aca="false">Inputs!$F$143*BR20*Inputs!$F$221</f>
        <v>10.0063953936484</v>
      </c>
      <c r="BS26" s="19" t="n">
        <f aca="false">Inputs!$F$143*BS20*Inputs!$F$221</f>
        <v>10.4267165536245</v>
      </c>
      <c r="BT26" s="19" t="n">
        <f aca="false">Inputs!$F$143*BT20*Inputs!$F$221</f>
        <v>10.3797963291332</v>
      </c>
      <c r="BU26" s="19" t="n">
        <f aca="false">Inputs!$F$143*BU20*Inputs!$F$221</f>
        <v>10.8159632386827</v>
      </c>
      <c r="BV26" s="19" t="n">
        <f aca="false">Inputs!$F$143*BV20*Inputs!$F$221</f>
        <v>10.7672914041087</v>
      </c>
      <c r="BW26" s="19" t="n">
        <f aca="false">Inputs!$F$143*BW20*Inputs!$F$221</f>
        <v>11.2197327869849</v>
      </c>
      <c r="BX26" s="19" t="n">
        <f aca="false">Inputs!$F$143*BX20*Inputs!$F$221</f>
        <v>11.2309525197719</v>
      </c>
      <c r="BY26" s="19" t="n">
        <f aca="false">Inputs!$F$143*BY20*Inputs!$F$221</f>
        <v>11.6383978844061</v>
      </c>
      <c r="BZ26" s="19" t="n">
        <f aca="false">Inputs!$F$143*BZ20*Inputs!$F$221</f>
        <v>11.5860250939263</v>
      </c>
      <c r="CA26" s="19" t="n">
        <f aca="false">Inputs!$F$143*CA20*Inputs!$F$221</f>
        <v>12.0723390322542</v>
      </c>
      <c r="CB26" s="19" t="n">
        <f aca="false">Inputs!$F$143*CB20*Inputs!$F$221</f>
        <v>12.0180135066091</v>
      </c>
      <c r="CC26" s="19" t="n">
        <f aca="false">Inputs!$F$143*CC20*Inputs!$F$221</f>
        <v>12.5219446927208</v>
      </c>
      <c r="CD26" s="19" t="n">
        <f aca="false">Inputs!$F$143*CD20*Inputs!$F$221</f>
        <v>12.4655959416035</v>
      </c>
      <c r="CE26" s="19" t="n">
        <f aca="false">Inputs!$F$143*CE20*Inputs!$F$221</f>
        <v>12.9876114368357</v>
      </c>
      <c r="CF26" s="19" t="n">
        <f aca="false">Inputs!$F$143*CF20*Inputs!$F$221</f>
        <v>13.0005990482725</v>
      </c>
      <c r="CG26" s="19" t="n">
        <f aca="false">Inputs!$F$143*CG20*Inputs!$F$221</f>
        <v>13.4732906310635</v>
      </c>
      <c r="CH26" s="19" t="n">
        <f aca="false">Inputs!$F$143*CH20*Inputs!$F$221</f>
        <v>13.4126608232237</v>
      </c>
      <c r="CI26" s="19" t="n">
        <f aca="false">Inputs!$F$143*CI20*Inputs!$F$221</f>
        <v>13.9759340989654</v>
      </c>
      <c r="CJ26" s="19" t="n">
        <f aca="false">Inputs!$F$143*CJ20*Inputs!$F$221</f>
        <v>13.91304239552</v>
      </c>
      <c r="CK26" s="19" t="n">
        <f aca="false">Inputs!$F$143*CK20*Inputs!$F$221</f>
        <v>14.4959651835743</v>
      </c>
      <c r="CL26" s="19" t="n">
        <f aca="false">Inputs!$F$143*CL20*Inputs!$F$221</f>
        <v>14.4307333402482</v>
      </c>
      <c r="CM26" s="19" t="n">
        <f aca="false">Inputs!$F$143*CM20*Inputs!$F$221</f>
        <v>15.037491728588</v>
      </c>
      <c r="CN26" s="19" t="n">
        <f aca="false">Inputs!$F$143*CN20*Inputs!$F$221</f>
        <v>15.0525292203166</v>
      </c>
      <c r="CO26" s="19" t="n">
        <f aca="false">Inputs!$F$143*CO20*Inputs!$F$221</f>
        <v>15.5973672089428</v>
      </c>
      <c r="CP26" s="19" t="n">
        <f aca="false">Inputs!$F$143*CP20*Inputs!$F$221</f>
        <v>12.5246858687811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1760.17923065824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6.72816336317847</v>
      </c>
      <c r="AA29" s="19" t="n">
        <f aca="false">AA24+AA25+AA26+AA27+AA28</f>
        <v>13.6781540974556</v>
      </c>
      <c r="AB29" s="19" t="n">
        <f aca="false">AB24+AB25+AB26+AB27+AB28</f>
        <v>14.2117599138262</v>
      </c>
      <c r="AC29" s="19" t="n">
        <f aca="false">AC24+AC25+AC26+AC27+AC28</f>
        <v>14.4556164102817</v>
      </c>
      <c r="AD29" s="19" t="n">
        <f aca="false">AD24+AD25+AD26+AD27+AD28</f>
        <v>14.8065110868007</v>
      </c>
      <c r="AE29" s="19" t="n">
        <f aca="false">AE24+AE25+AE26+AE27+AE28</f>
        <v>15.1522811092118</v>
      </c>
      <c r="AF29" s="19" t="n">
        <f aca="false">AF24+AF25+AF26+AF27+AF28</f>
        <v>15.4533384197786</v>
      </c>
      <c r="AG29" s="19" t="n">
        <f aca="false">AG24+AG25+AG26+AG27+AG28</f>
        <v>15.8195306334008</v>
      </c>
      <c r="AH29" s="19" t="n">
        <f aca="false">AH24+AH25+AH26+AH27+AH28</f>
        <v>15.9842772993398</v>
      </c>
      <c r="AI29" s="19" t="n">
        <f aca="false">AI24+AI25+AI26+AI27+AI28</f>
        <v>16.3670759703101</v>
      </c>
      <c r="AJ29" s="19" t="n">
        <f aca="false">AJ24+AJ25+AJ26+AJ27+AJ28</f>
        <v>16.6299209514722</v>
      </c>
      <c r="AK29" s="19" t="n">
        <f aca="false">AK24+AK25+AK26+AK27+AK28</f>
        <v>16.9387432030579</v>
      </c>
      <c r="AL29" s="19" t="n">
        <f aca="false">AL24+AL25+AL26+AL27+AL28</f>
        <v>17.1172870831669</v>
      </c>
      <c r="AM29" s="19" t="n">
        <f aca="false">AM24+AM25+AM26+AM27+AM28</f>
        <v>17.5357068856706</v>
      </c>
      <c r="AN29" s="19" t="n">
        <f aca="false">AN24+AN25+AN26+AN27+AN28</f>
        <v>17.7216882951377</v>
      </c>
      <c r="AO29" s="19" t="n">
        <f aca="false">AO24+AO25+AO26+AO27+AO28</f>
        <v>18.1569524440951</v>
      </c>
      <c r="AP29" s="19" t="n">
        <f aca="false">AP24+AP25+AP26+AP27+AP28</f>
        <v>18.3507177257736</v>
      </c>
      <c r="AQ29" s="19" t="n">
        <f aca="false">AQ24+AQ25+AQ26+AQ27+AQ28</f>
        <v>18.8058658766051</v>
      </c>
      <c r="AR29" s="19" t="n">
        <f aca="false">AR24+AR25+AR26+AR27+AR28</f>
        <v>19.1128332339904</v>
      </c>
      <c r="AS29" s="19" t="n">
        <f aca="false">AS24+AS25+AS26+AS27+AS28</f>
        <v>19.4837946134421</v>
      </c>
      <c r="AT29" s="19" t="n">
        <f aca="false">AT24+AT25+AT26+AT27+AT28</f>
        <v>19.6943568544033</v>
      </c>
      <c r="AU29" s="19" t="n">
        <f aca="false">AU24+AU25+AU26+AU27+AU28</f>
        <v>20.1921517520624</v>
      </c>
      <c r="AV29" s="19" t="n">
        <f aca="false">AV24+AV25+AV26+AV27+AV28</f>
        <v>20.4117707730146</v>
      </c>
      <c r="AW29" s="19" t="n">
        <f aca="false">AW24+AW25+AW26+AW27+AW28</f>
        <v>20.9016025303649</v>
      </c>
      <c r="AX29" s="19" t="n">
        <f aca="false">AX24+AX25+AX26+AX27+AX28</f>
        <v>21.0625283604165</v>
      </c>
      <c r="AY29" s="19" t="n">
        <f aca="false">AY24+AY25+AY26+AY27+AY28</f>
        <v>21.5718852387769</v>
      </c>
      <c r="AZ29" s="19" t="n">
        <f aca="false">AZ24+AZ25+AZ26+AZ27+AZ28</f>
        <v>21.8578662104425</v>
      </c>
      <c r="BA29" s="19" t="n">
        <f aca="false">BA24+BA25+BA26+BA27+BA28</f>
        <v>22.2646901290608</v>
      </c>
      <c r="BB29" s="19" t="n">
        <f aca="false">BB24+BB25+BB26+BB27+BB28</f>
        <v>22.4356902740295</v>
      </c>
      <c r="BC29" s="19" t="n">
        <f aca="false">BC24+BC25+BC26+BC27+BC28</f>
        <v>22.9835112752519</v>
      </c>
      <c r="BD29" s="19" t="n">
        <f aca="false">BD24+BD25+BD26+BD27+BD28</f>
        <v>23.1598116582334</v>
      </c>
      <c r="BE29" s="19" t="n">
        <f aca="false">BE24+BE25+BE26+BE27+BE28</f>
        <v>23.7293069028701</v>
      </c>
      <c r="BF29" s="19" t="n">
        <f aca="false">BF24+BF25+BF26+BF27+BF28</f>
        <v>23.9110969406685</v>
      </c>
      <c r="BG29" s="19" t="n">
        <f aca="false">BG24+BG25+BG26+BG27+BG28</f>
        <v>24.5001912196313</v>
      </c>
      <c r="BH29" s="19" t="n">
        <f aca="false">BH24+BH25+BH26+BH27+BH28</f>
        <v>24.824044732806</v>
      </c>
      <c r="BI29" s="19" t="n">
        <f aca="false">BI24+BI25+BI26+BI27+BI28</f>
        <v>25.2999349913476</v>
      </c>
      <c r="BJ29" s="19" t="n">
        <f aca="false">BJ24+BJ25+BJ26+BJ27+BJ28</f>
        <v>25.4932625684539</v>
      </c>
      <c r="BK29" s="19" t="n">
        <f aca="false">BK24+BK25+BK26+BK27+BK28</f>
        <v>26.1295949708074</v>
      </c>
      <c r="BL29" s="19" t="n">
        <f aca="false">BL24+BL25+BL26+BL27+BL28</f>
        <v>26.3290019272665</v>
      </c>
      <c r="BM29" s="19" t="n">
        <f aca="false">BM24+BM25+BM26+BM27+BM28</f>
        <v>26.9871839958763</v>
      </c>
      <c r="BN29" s="19" t="n">
        <f aca="false">BN24+BN25+BN26+BN27+BN28</f>
        <v>27.1928677461511</v>
      </c>
      <c r="BO29" s="19" t="n">
        <f aca="false">BO24+BO25+BO26+BO27+BO28</f>
        <v>27.8767717235034</v>
      </c>
      <c r="BP29" s="19" t="n">
        <f aca="false">BP24+BP25+BP26+BP27+BP28</f>
        <v>28.2441435288667</v>
      </c>
      <c r="BQ29" s="19" t="n">
        <f aca="false">BQ24+BQ25+BQ26+BQ27+BQ28</f>
        <v>28.7995231284386</v>
      </c>
      <c r="BR29" s="19" t="n">
        <f aca="false">BR24+BR25+BR26+BR27+BR28</f>
        <v>28.9096741759903</v>
      </c>
      <c r="BS29" s="19" t="n">
        <f aca="false">BS24+BS25+BS26+BS27+BS28</f>
        <v>29.6433093489335</v>
      </c>
      <c r="BT29" s="19" t="n">
        <f aca="false">BT24+BT25+BT26+BT27+BT28</f>
        <v>29.7556570810337</v>
      </c>
      <c r="BU29" s="19" t="n">
        <f aca="false">BU24+BU25+BU26+BU27+BU28</f>
        <v>30.5129708538744</v>
      </c>
      <c r="BV29" s="19" t="n">
        <f aca="false">BV24+BV25+BV26+BV27+BV28</f>
        <v>30.6275486748067</v>
      </c>
      <c r="BW29" s="19" t="n">
        <f aca="false">BW24+BW25+BW26+BW27+BW28</f>
        <v>31.4091655925564</v>
      </c>
      <c r="BX29" s="19" t="n">
        <f aca="false">BX24+BX25+BX26+BX27+BX28</f>
        <v>31.7001845299858</v>
      </c>
      <c r="BY29" s="19" t="n">
        <f aca="false">BY24+BY25+BY26+BY27+BY28</f>
        <v>32.3325665101169</v>
      </c>
      <c r="BZ29" s="19" t="n">
        <f aca="false">BZ24+BZ25+BZ26+BZ27+BZ28</f>
        <v>32.4517078889534</v>
      </c>
      <c r="CA29" s="19" t="n">
        <f aca="false">CA24+CA25+CA26+CA27+CA28</f>
        <v>33.2838618736077</v>
      </c>
      <c r="CB29" s="19" t="n">
        <f aca="false">CB24+CB25+CB26+CB27+CB28</f>
        <v>33.4053383715118</v>
      </c>
      <c r="CC29" s="19" t="n">
        <f aca="false">CC24+CC25+CC26+CC27+CC28</f>
        <v>34.2637556051081</v>
      </c>
      <c r="CD29" s="19" t="n">
        <f aca="false">CD24+CD25+CD26+CD27+CD28</f>
        <v>34.3876039281289</v>
      </c>
      <c r="CE29" s="19" t="n">
        <f aca="false">CE24+CE25+CE26+CE27+CE28</f>
        <v>35.2729676220327</v>
      </c>
      <c r="CF29" s="19" t="n">
        <f aca="false">CF24+CF25+CF26+CF27+CF28</f>
        <v>35.5948012023405</v>
      </c>
      <c r="CG29" s="19" t="n">
        <f aca="false">CG24+CG25+CG26+CG27+CG28</f>
        <v>36.3157807208904</v>
      </c>
      <c r="CH29" s="19" t="n">
        <f aca="false">CH24+CH25+CH26+CH27+CH28</f>
        <v>36.4444704640669</v>
      </c>
      <c r="CI29" s="19" t="n">
        <f aca="false">CI24+CI25+CI26+CI27+CI28</f>
        <v>37.389486441038</v>
      </c>
      <c r="CJ29" s="19" t="n">
        <f aca="false">CJ24+CJ25+CJ26+CJ27+CJ28</f>
        <v>37.5206472773843</v>
      </c>
      <c r="CK29" s="19" t="n">
        <f aca="false">CK24+CK25+CK26+CK27+CK28</f>
        <v>38.4948563341988</v>
      </c>
      <c r="CL29" s="19" t="n">
        <f aca="false">CL24+CL25+CL26+CL27+CL28</f>
        <v>38.6285283441591</v>
      </c>
      <c r="CM29" s="19" t="n">
        <f aca="false">CM24+CM25+CM26+CM27+CM28</f>
        <v>39.636355157978</v>
      </c>
      <c r="CN29" s="19" t="n">
        <f aca="false">CN24+CN25+CN26+CN27+CN28</f>
        <v>39.9923008113639</v>
      </c>
      <c r="CO29" s="19" t="n">
        <f aca="false">CO24+CO25+CO26+CO27+CO28</f>
        <v>40.8112022240676</v>
      </c>
      <c r="CP29" s="19" t="n">
        <f aca="false">CP24+CP25+CP26+CP27+CP28</f>
        <v>33.0314815753758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7583.27353090652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12.7509947561247</v>
      </c>
      <c r="AA32" s="19" t="n">
        <f aca="false">AA20+AA21-AA29-AA30-AA31</f>
        <v>26.9011085520718</v>
      </c>
      <c r="AB32" s="19" t="n">
        <f aca="false">AB20+AB21-AB29-AB30-AB31</f>
        <v>32.478982284138</v>
      </c>
      <c r="AC32" s="19" t="n">
        <f aca="false">AC20+AC21-AC29-AC30-AC31</f>
        <v>34.1624578117693</v>
      </c>
      <c r="AD32" s="19" t="n">
        <f aca="false">AD20+AD21-AD29-AD30-AD31</f>
        <v>37.9417037709021</v>
      </c>
      <c r="AE32" s="19" t="n">
        <f aca="false">AE20+AE21-AE29-AE30-AE31</f>
        <v>40.0888947856979</v>
      </c>
      <c r="AF32" s="19" t="n">
        <f aca="false">AF20+AF21-AF29-AF30-AF31</f>
        <v>43.0759133546549</v>
      </c>
      <c r="AG32" s="19" t="n">
        <f aca="false">AG20+AG21-AG29-AG30-AG31</f>
        <v>45.4549729888609</v>
      </c>
      <c r="AH32" s="19" t="n">
        <f aca="false">AH20+AH21-AH29-AH30-AH31</f>
        <v>46.340551238273</v>
      </c>
      <c r="AI32" s="19" t="n">
        <f aca="false">AI20+AI21-AI29-AI30-AI31</f>
        <v>48.8918236469317</v>
      </c>
      <c r="AJ32" s="19" t="n">
        <f aca="false">AJ20+AJ21-AJ29-AJ30-AJ31</f>
        <v>50.1143279679273</v>
      </c>
      <c r="AK32" s="19" t="n">
        <f aca="false">AK20+AK21-AK29-AK30-AK31</f>
        <v>52.5724407350997</v>
      </c>
      <c r="AL32" s="19" t="n">
        <f aca="false">AL20+AL21-AL29-AL30-AL31</f>
        <v>53.5854092144524</v>
      </c>
      <c r="AM32" s="19" t="n">
        <f aca="false">AM20+AM21-AM29-AM30-AM31</f>
        <v>56.5115647563636</v>
      </c>
      <c r="AN32" s="19" t="n">
        <f aca="false">AN20+AN21-AN29-AN30-AN31</f>
        <v>57.5948501662387</v>
      </c>
      <c r="AO32" s="19" t="n">
        <f aca="false">AO20+AO21-AO29-AO30-AO31</f>
        <v>60.6907410903254</v>
      </c>
      <c r="AP32" s="19" t="n">
        <f aca="false">AP20+AP21-AP29-AP30-AP31</f>
        <v>61.8485281206446</v>
      </c>
      <c r="AQ32" s="19" t="n">
        <f aca="false">AQ20+AQ21-AQ29-AQ30-AQ31</f>
        <v>65.1580138898463</v>
      </c>
      <c r="AR32" s="19" t="n">
        <f aca="false">AR20+AR21-AR29-AR30-AR31</f>
        <v>66.7621374480147</v>
      </c>
      <c r="AS32" s="19" t="n">
        <f aca="false">AS20+AS21-AS29-AS30-AS31</f>
        <v>69.9305061781699</v>
      </c>
      <c r="AT32" s="19" t="n">
        <f aca="false">AT20+AT21-AT29-AT30-AT31</f>
        <v>71.2526216801258</v>
      </c>
      <c r="AU32" s="19" t="n">
        <f aca="false">AU20+AU21-AU29-AU30-AU31</f>
        <v>75.0262529026336</v>
      </c>
      <c r="AV32" s="19" t="n">
        <f aca="false">AV20+AV21-AV29-AV30-AV31</f>
        <v>76.4388015353819</v>
      </c>
      <c r="AW32" s="19" t="n">
        <f aca="false">AW20+AW21-AW29-AW30-AW31</f>
        <v>79.9980200552303</v>
      </c>
      <c r="AX32" s="19" t="n">
        <f aca="false">AX20+AX21-AX29-AX30-AX31</f>
        <v>80.4748456440213</v>
      </c>
      <c r="AY32" s="19" t="n">
        <f aca="false">AY20+AY21-AY29-AY30-AY31</f>
        <v>84.2331738010198</v>
      </c>
      <c r="AZ32" s="19" t="n">
        <f aca="false">AZ20+AZ21-AZ29-AZ30-AZ31</f>
        <v>85.2042029329465</v>
      </c>
      <c r="BA32" s="19" t="n">
        <f aca="false">BA20+BA21-BA29-BA30-BA31</f>
        <v>88.6614269885783</v>
      </c>
      <c r="BB32" s="19" t="n">
        <f aca="false">BB20+BB21-BB29-BB30-BB31</f>
        <v>89.191552246913</v>
      </c>
      <c r="BC32" s="19" t="n">
        <f aca="false">BC20+BC21-BC29-BC30-BC31</f>
        <v>93.3319505923361</v>
      </c>
      <c r="BD32" s="19" t="n">
        <f aca="false">BD20+BD21-BD29-BD30-BD31</f>
        <v>93.8908397862676</v>
      </c>
      <c r="BE32" s="19" t="n">
        <f aca="false">BE20+BE21-BE29-BE30-BE31</f>
        <v>98.2554583781321</v>
      </c>
      <c r="BF32" s="19" t="n">
        <f aca="false">BF20+BF21-BF29-BF30-BF31</f>
        <v>98.8446916121912</v>
      </c>
      <c r="BG32" s="19" t="n">
        <f aca="false">BG20+BG21-BG29-BG30-BG31</f>
        <v>103.399542293226</v>
      </c>
      <c r="BH32" s="19" t="n">
        <f aca="false">BH20+BH21-BH29-BH30-BH31</f>
        <v>104.595193222764</v>
      </c>
      <c r="BI32" s="19" t="n">
        <f aca="false">BI20+BI21-BI29-BI30-BI31</f>
        <v>108.817275588776</v>
      </c>
      <c r="BJ32" s="19" t="n">
        <f aca="false">BJ20+BJ21-BJ29-BJ30-BJ31</f>
        <v>109.471656250282</v>
      </c>
      <c r="BK32" s="19" t="n">
        <f aca="false">BK20+BK21-BK29-BK30-BK31</f>
        <v>114.520571755691</v>
      </c>
      <c r="BL32" s="19" t="n">
        <f aca="false">BL20+BL21-BL29-BL30-BL31</f>
        <v>115.210165581313</v>
      </c>
      <c r="BM32" s="19" t="n">
        <f aca="false">BM20+BM21-BM29-BM30-BM31</f>
        <v>120.475190943925</v>
      </c>
      <c r="BN32" s="19" t="n">
        <f aca="false">BN20+BN21-BN29-BN30-BN31</f>
        <v>121.201565574384</v>
      </c>
      <c r="BO32" s="19" t="n">
        <f aca="false">BO20+BO21-BO29-BO30-BO31</f>
        <v>126.738422714473</v>
      </c>
      <c r="BP32" s="19" t="n">
        <f aca="false">BP20+BP21-BP29-BP30-BP31</f>
        <v>128.207946643031</v>
      </c>
      <c r="BQ32" s="19" t="n">
        <f aca="false">BQ20+BQ21-BQ29-BQ30-BQ31</f>
        <v>133.323504587385</v>
      </c>
      <c r="BR32" s="19" t="n">
        <f aca="false">BR20+BR21-BR29-BR30-BR31</f>
        <v>132.483799915112</v>
      </c>
      <c r="BS32" s="19" t="n">
        <f aca="false">BS20+BS21-BS29-BS30-BS31</f>
        <v>138.529538290172</v>
      </c>
      <c r="BT32" s="19" t="n">
        <f aca="false">BT20+BT21-BT29-BT30-BT31</f>
        <v>137.660412743696</v>
      </c>
      <c r="BU32" s="19" t="n">
        <f aca="false">BU20+BU21-BU29-BU30-BU31</f>
        <v>143.93804912488</v>
      </c>
      <c r="BV32" s="19" t="n">
        <f aca="false">BV20+BV21-BV29-BV30-BV31</f>
        <v>143.038441714043</v>
      </c>
      <c r="BW32" s="19" t="n">
        <f aca="false">BW20+BW21-BW29-BW30-BW31</f>
        <v>149.554266455588</v>
      </c>
      <c r="BX32" s="19" t="n">
        <f aca="false">BX20+BX21-BX29-BX30-BX31</f>
        <v>149.444210950206</v>
      </c>
      <c r="BY32" s="19" t="n">
        <f aca="false">BY20+BY21-BY29-BY30-BY31</f>
        <v>155.383528399659</v>
      </c>
      <c r="BZ32" s="19" t="n">
        <f aca="false">BZ20+BZ21-BZ29-BZ30-BZ31</f>
        <v>154.419664593729</v>
      </c>
      <c r="CA32" s="19" t="n">
        <f aca="false">CA20+CA21-CA29-CA30-CA31</f>
        <v>161.431283807912</v>
      </c>
      <c r="CB32" s="19" t="n">
        <f aca="false">CB20+CB21-CB29-CB30-CB31</f>
        <v>160.433589154441</v>
      </c>
      <c r="CC32" s="19" t="n">
        <f aca="false">CC20+CC21-CC29-CC30-CC31</f>
        <v>167.703094277485</v>
      </c>
      <c r="CD32" s="19" t="n">
        <f aca="false">CD20+CD21-CD29-CD30-CD31</f>
        <v>166.670395129992</v>
      </c>
      <c r="CE32" s="19" t="n">
        <f aca="false">CE20+CE21-CE29-CE30-CE31</f>
        <v>174.204636197897</v>
      </c>
      <c r="CF32" s="19" t="n">
        <f aca="false">CF20+CF21-CF29-CF30-CF31</f>
        <v>174.09228022141</v>
      </c>
      <c r="CG32" s="19" t="n">
        <f aca="false">CG20+CG21-CG29-CG30-CG31</f>
        <v>180.99535848981</v>
      </c>
      <c r="CH32" s="19" t="n">
        <f aca="false">CH20+CH21-CH29-CH30-CH31</f>
        <v>179.888768620186</v>
      </c>
      <c r="CI32" s="19" t="n">
        <f aca="false">CI20+CI21-CI29-CI30-CI31</f>
        <v>188.028805477758</v>
      </c>
      <c r="CJ32" s="19" t="n">
        <f aca="false">CJ20+CJ21-CJ29-CJ30-CJ31</f>
        <v>186.883262327777</v>
      </c>
      <c r="CK32" s="19" t="n">
        <f aca="false">CK20+CK21-CK29-CK30-CK31</f>
        <v>195.311033723452</v>
      </c>
      <c r="CL32" s="19" t="n">
        <f aca="false">CL20+CL21-CL29-CL30-CL31</f>
        <v>194.125235208232</v>
      </c>
      <c r="CM32" s="19" t="n">
        <f aca="false">CM20+CM21-CM29-CM30-CM31</f>
        <v>202.903834012796</v>
      </c>
      <c r="CN32" s="19" t="n">
        <f aca="false">CN20+CN21-CN29-CN30-CN31</f>
        <v>202.790428548581</v>
      </c>
      <c r="CO32" s="19" t="n">
        <f aca="false">CO20+CO21-CO29-CO30-CO31</f>
        <v>210.759236629849</v>
      </c>
      <c r="CP32" s="19" t="n">
        <f aca="false">CP20+CP21-CP29-CP30-CP31</f>
        <v>168.979580824319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2.99679355681587</v>
      </c>
      <c r="AA41" s="19" t="n">
        <f aca="false">IF(AND(Time!AA26=1,Time!AA28=0),AA20/Time!AA25*Inputs!$F$156,0)</f>
        <v>3.08755259289882</v>
      </c>
      <c r="AB41" s="19" t="n">
        <f aca="false">IF(AND(Time!AB26=1,Time!AB28=0),AB20/Time!AB25*Inputs!$F$156,0)</f>
        <v>3.59159555368956</v>
      </c>
      <c r="AC41" s="19" t="n">
        <f aca="false">IF(AND(Time!AC26=1,Time!AC28=0),AC20/Time!AC25*Inputs!$F$156,0)</f>
        <v>3.69920129950389</v>
      </c>
      <c r="AD41" s="19" t="n">
        <f aca="false">IF(AND(Time!AD26=1,Time!AD28=0),AD20/Time!AD25*Inputs!$F$156,0)</f>
        <v>4.07997241993282</v>
      </c>
      <c r="AE41" s="19" t="n">
        <f aca="false">IF(AND(Time!AE26=1,Time!AE28=0),AE20/Time!AE25*Inputs!$F$156,0)</f>
        <v>4.20313294852574</v>
      </c>
      <c r="AF41" s="19" t="n">
        <f aca="false">IF(AND(Time!AF26=1,Time!AF28=0),AF20/Time!AF25*Inputs!$F$156,0)</f>
        <v>4.52712444664127</v>
      </c>
      <c r="AG41" s="19" t="n">
        <f aca="false">IF(AND(Time!AG26=1,Time!AG28=0),AG20/Time!AG25*Inputs!$F$156,0)</f>
        <v>4.66219049299817</v>
      </c>
      <c r="AH41" s="19" t="n">
        <f aca="false">IF(AND(Time!AH26=1,Time!AH28=0),AH20/Time!AH25*Inputs!$F$156,0)</f>
        <v>4.82070496976011</v>
      </c>
      <c r="AI41" s="19" t="n">
        <f aca="false">IF(AND(Time!AI26=1,Time!AI28=0),AI20/Time!AI25*Inputs!$F$156,0)</f>
        <v>4.96535105783362</v>
      </c>
      <c r="AJ41" s="19" t="n">
        <f aca="false">IF(AND(Time!AJ26=1,Time!AJ28=0),AJ20/Time!AJ25*Inputs!$F$156,0)</f>
        <v>5.13417299379996</v>
      </c>
      <c r="AK41" s="19" t="n">
        <f aca="false">IF(AND(Time!AK26=1,Time!AK28=0),AK20/Time!AK25*Inputs!$F$156,0)</f>
        <v>5.28889443007721</v>
      </c>
      <c r="AL41" s="19" t="n">
        <f aca="false">IF(AND(Time!AL26=1,Time!AL28=0),AL20/Time!AL25*Inputs!$F$156,0)</f>
        <v>5.46871684069983</v>
      </c>
      <c r="AM41" s="19" t="n">
        <f aca="false">IF(AND(Time!AM26=1,Time!AM28=0),AM20/Time!AM25*Inputs!$F$156,0)</f>
        <v>5.63403153798086</v>
      </c>
      <c r="AN41" s="19" t="n">
        <f aca="false">IF(AND(Time!AN26=1,Time!AN28=0),AN20/Time!AN25*Inputs!$F$156,0)</f>
        <v>5.82558861027221</v>
      </c>
      <c r="AO41" s="19" t="n">
        <f aca="false">IF(AND(Time!AO26=1,Time!AO28=0),AO20/Time!AO25*Inputs!$F$156,0)</f>
        <v>5.99928102979287</v>
      </c>
      <c r="AP41" s="19" t="n">
        <f aca="false">IF(AND(Time!AP26=1,Time!AP28=0),AP20/Time!AP25*Inputs!$F$156,0)</f>
        <v>6.20325658480582</v>
      </c>
      <c r="AQ41" s="19" t="n">
        <f aca="false">IF(AND(Time!AQ26=1,Time!AQ28=0),AQ20/Time!AQ25*Inputs!$F$156,0)</f>
        <v>6.38855606918651</v>
      </c>
      <c r="AR41" s="19" t="n">
        <f aca="false">IF(AND(Time!AR26=1,Time!AR28=0),AR20/Time!AR25*Inputs!$F$156,0)</f>
        <v>6.60576697553885</v>
      </c>
      <c r="AS41" s="19" t="n">
        <f aca="false">IF(AND(Time!AS26=1,Time!AS28=0),AS20/Time!AS25*Inputs!$F$156,0)</f>
        <v>6.80326201675309</v>
      </c>
      <c r="AT41" s="19" t="n">
        <f aca="false">IF(AND(Time!AT26=1,Time!AT28=0),AT20/Time!AT25*Inputs!$F$156,0)</f>
        <v>7.03457292532269</v>
      </c>
      <c r="AU41" s="19" t="n">
        <f aca="false">IF(AND(Time!AU26=1,Time!AU28=0),AU20/Time!AU25*Inputs!$F$156,0)</f>
        <v>7.24487861503122</v>
      </c>
      <c r="AV41" s="19" t="n">
        <f aca="false">IF(AND(Time!AV26=1,Time!AV28=0),AV20/Time!AV25*Inputs!$F$156,0)</f>
        <v>7.49120448794228</v>
      </c>
      <c r="AW41" s="19" t="n">
        <f aca="false">IF(AND(Time!AW26=1,Time!AW28=0),AW20/Time!AW25*Inputs!$F$156,0)</f>
        <v>7.67714519673008</v>
      </c>
      <c r="AX41" s="19" t="n">
        <f aca="false">IF(AND(Time!AX26=1,Time!AX28=0),AX20/Time!AX25*Inputs!$F$156,0)</f>
        <v>7.85371953625486</v>
      </c>
      <c r="AY41" s="19" t="n">
        <f aca="false">IF(AND(Time!AY26=1,Time!AY28=0),AY20/Time!AY25*Inputs!$F$156,0)</f>
        <v>8.05038492694105</v>
      </c>
      <c r="AZ41" s="19" t="n">
        <f aca="false">IF(AND(Time!AZ26=1,Time!AZ28=0),AZ20/Time!AZ25*Inputs!$F$156,0)</f>
        <v>8.23554378026069</v>
      </c>
      <c r="BA41" s="19" t="n">
        <f aca="false">IF(AND(Time!BA26=1,Time!BA28=0),BA20/Time!BA25*Inputs!$F$156,0)</f>
        <v>8.44003065025515</v>
      </c>
      <c r="BB41" s="19" t="n">
        <f aca="false">IF(AND(Time!BB26=1,Time!BB28=0),BB20/Time!BB25*Inputs!$F$156,0)</f>
        <v>8.63415135521102</v>
      </c>
      <c r="BC41" s="19" t="n">
        <f aca="false">IF(AND(Time!BC26=1,Time!BC28=0),BC20/Time!BC25*Inputs!$F$156,0)</f>
        <v>8.85008948992517</v>
      </c>
      <c r="BD41" s="19" t="n">
        <f aca="false">IF(AND(Time!BD26=1,Time!BD28=0),BD20/Time!BD25*Inputs!$F$156,0)</f>
        <v>9.05364154819345</v>
      </c>
      <c r="BE41" s="19" t="n">
        <f aca="false">IF(AND(Time!BE26=1,Time!BE28=0),BE20/Time!BE25*Inputs!$F$156,0)</f>
        <v>9.28144953225016</v>
      </c>
      <c r="BF41" s="19" t="n">
        <f aca="false">IF(AND(Time!BF26=1,Time!BF28=0),BF20/Time!BF25*Inputs!$F$156,0)</f>
        <v>9.49492287149191</v>
      </c>
      <c r="BG41" s="19" t="n">
        <f aca="false">IF(AND(Time!BG26=1,Time!BG28=0),BG20/Time!BG25*Inputs!$F$156,0)</f>
        <v>9.73150146293481</v>
      </c>
      <c r="BH41" s="19" t="n">
        <f aca="false">IF(AND(Time!BH26=1,Time!BH28=0),BH20/Time!BH25*Inputs!$F$156,0)</f>
        <v>9.95532599658231</v>
      </c>
      <c r="BI41" s="19" t="n">
        <f aca="false">IF(AND(Time!BI26=1,Time!BI28=0),BI20/Time!BI25*Inputs!$F$156,0)</f>
        <v>10.2045703702268</v>
      </c>
      <c r="BJ41" s="19" t="n">
        <f aca="false">IF(AND(Time!BJ26=1,Time!BJ28=0),BJ20/Time!BJ25*Inputs!$F$156,0)</f>
        <v>10.439275488742</v>
      </c>
      <c r="BK41" s="19" t="n">
        <f aca="false">IF(AND(Time!BK26=1,Time!BK28=0),BK20/Time!BK25*Inputs!$F$156,0)</f>
        <v>10.7016431204945</v>
      </c>
      <c r="BL41" s="19" t="n">
        <f aca="false">IF(AND(Time!BL26=1,Time!BL28=0),BL20/Time!BL25*Inputs!$F$156,0)</f>
        <v>10.9477809122658</v>
      </c>
      <c r="BM41" s="19" t="n">
        <f aca="false">IF(AND(Time!BM26=1,Time!BM28=0),BM20/Time!BM25*Inputs!$F$156,0)</f>
        <v>11.2199633106371</v>
      </c>
      <c r="BN41" s="19" t="n">
        <f aca="false">IF(AND(Time!BN26=1,Time!BN28=0),BN20/Time!BN25*Inputs!$F$156,0)</f>
        <v>11.4780224667817</v>
      </c>
      <c r="BO41" s="19" t="n">
        <f aca="false">IF(AND(Time!BO26=1,Time!BO28=0),BO20/Time!BO25*Inputs!$F$156,0)</f>
        <v>11.7641995768026</v>
      </c>
      <c r="BP41" s="19" t="n">
        <f aca="false">IF(AND(Time!BP26=1,Time!BP28=0),BP20/Time!BP25*Inputs!$F$156,0)</f>
        <v>12.034776167069</v>
      </c>
      <c r="BQ41" s="19" t="n">
        <f aca="false">IF(AND(Time!BQ26=1,Time!BQ28=0),BQ20/Time!BQ25*Inputs!$F$156,0)</f>
        <v>12.3354477609866</v>
      </c>
      <c r="BR41" s="19" t="n">
        <f aca="false">IF(AND(Time!BR26=1,Time!BR28=0),BR20/Time!BR25*Inputs!$F$156,0)</f>
        <v>12.4834731341184</v>
      </c>
      <c r="BS41" s="19" t="n">
        <f aca="false">IF(AND(Time!BS26=1,Time!BS28=0),BS20/Time!BS25*Inputs!$F$156,0)</f>
        <v>12.7957601464537</v>
      </c>
      <c r="BT41" s="19" t="n">
        <f aca="false">IF(AND(Time!BT26=1,Time!BT28=0),BT20/Time!BT25*Inputs!$F$156,0)</f>
        <v>12.9493092682111</v>
      </c>
      <c r="BU41" s="19" t="n">
        <f aca="false">IF(AND(Time!BU26=1,Time!BU28=0),BU20/Time!BU25*Inputs!$F$156,0)</f>
        <v>13.2734471722965</v>
      </c>
      <c r="BV41" s="19" t="n">
        <f aca="false">IF(AND(Time!BV26=1,Time!BV28=0),BV20/Time!BV25*Inputs!$F$156,0)</f>
        <v>13.4327285383641</v>
      </c>
      <c r="BW41" s="19" t="n">
        <f aca="false">IF(AND(Time!BW26=1,Time!BW28=0),BW20/Time!BW25*Inputs!$F$156,0)</f>
        <v>13.7689567862718</v>
      </c>
      <c r="BX41" s="19" t="n">
        <f aca="false">IF(AND(Time!BX26=1,Time!BX28=0),BX20/Time!BX25*Inputs!$F$156,0)</f>
        <v>13.9341842677071</v>
      </c>
      <c r="BY41" s="19" t="n">
        <f aca="false">IF(AND(Time!BY26=1,Time!BY28=0),BY20/Time!BY25*Inputs!$F$156,0)</f>
        <v>14.2827463518308</v>
      </c>
      <c r="BZ41" s="19" t="n">
        <f aca="false">IF(AND(Time!BZ26=1,Time!BZ28=0),BZ20/Time!BZ25*Inputs!$F$156,0)</f>
        <v>14.4541393080528</v>
      </c>
      <c r="CA41" s="19" t="n">
        <f aca="false">IF(AND(Time!CA26=1,Time!CA28=0),CA20/Time!CA25*Inputs!$F$156,0)</f>
        <v>14.8152828235939</v>
      </c>
      <c r="CB41" s="19" t="n">
        <f aca="false">IF(AND(Time!CB26=1,Time!CB28=0),CB20/Time!CB25*Inputs!$F$156,0)</f>
        <v>14.993066217477</v>
      </c>
      <c r="CC41" s="19" t="n">
        <f aca="false">IF(AND(Time!CC26=1,Time!CC28=0),CC20/Time!CC25*Inputs!$F$156,0)</f>
        <v>15.3670429258495</v>
      </c>
      <c r="CD41" s="19" t="n">
        <f aca="false">IF(AND(Time!CD26=1,Time!CD28=0),CD20/Time!CD25*Inputs!$F$156,0)</f>
        <v>15.5514474409596</v>
      </c>
      <c r="CE41" s="19" t="n">
        <f aca="false">IF(AND(Time!CE26=1,Time!CE28=0),CE20/Time!CE25*Inputs!$F$156,0)</f>
        <v>15.9385133341251</v>
      </c>
      <c r="CF41" s="19" t="n">
        <f aca="false">IF(AND(Time!CF26=1,Time!CF28=0),CF20/Time!CF25*Inputs!$F$156,0)</f>
        <v>16.1297754941346</v>
      </c>
      <c r="CG41" s="19" t="n">
        <f aca="false">IF(AND(Time!CG26=1,Time!CG28=0),CG20/Time!CG25*Inputs!$F$156,0)</f>
        <v>16.5345432008142</v>
      </c>
      <c r="CH41" s="19" t="n">
        <f aca="false">IF(AND(Time!CH26=1,Time!CH28=0),CH20/Time!CH25*Inputs!$F$156,0)</f>
        <v>16.732957719224</v>
      </c>
      <c r="CI41" s="19" t="n">
        <f aca="false">IF(AND(Time!CI26=1,Time!CI28=0),CI20/Time!CI25*Inputs!$F$156,0)</f>
        <v>17.1513917764302</v>
      </c>
      <c r="CJ41" s="19" t="n">
        <f aca="false">IF(AND(Time!CJ26=1,Time!CJ28=0),CJ20/Time!CJ25*Inputs!$F$156,0)</f>
        <v>17.3572084777473</v>
      </c>
      <c r="CK41" s="19" t="n">
        <f aca="false">IF(AND(Time!CK26=1,Time!CK28=0),CK20/Time!CK25*Inputs!$F$156,0)</f>
        <v>17.789578591343</v>
      </c>
      <c r="CL41" s="19" t="n">
        <f aca="false">IF(AND(Time!CL26=1,Time!CL28=0),CL20/Time!CL25*Inputs!$F$156,0)</f>
        <v>18.0030535344391</v>
      </c>
      <c r="CM41" s="19" t="n">
        <f aca="false">IF(AND(Time!CM26=1,Time!CM28=0),CM20/Time!CM25*Inputs!$F$156,0)</f>
        <v>18.454144828211</v>
      </c>
      <c r="CN41" s="19" t="n">
        <f aca="false">IF(AND(Time!CN26=1,Time!CN28=0),CN20/Time!CN25*Inputs!$F$156,0)</f>
        <v>18.6755945661496</v>
      </c>
      <c r="CO41" s="19" t="n">
        <f aca="false">IF(AND(Time!CO26=1,Time!CO28=0),CO20/Time!CO25*Inputs!$F$156,0)</f>
        <v>19.1412290432328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2.21807583401488</v>
      </c>
      <c r="AA42" s="19" t="n">
        <f aca="false">IF(AND(Time!AA26=1,Time!AA28=0),AA29/Time!AA25*Inputs!$F$157,0)</f>
        <v>2.23013382023733</v>
      </c>
      <c r="AB42" s="19" t="n">
        <f aca="false">IF(AND(Time!AB26=1,Time!AB28=0),AB29/Time!AB25*Inputs!$F$157,0)</f>
        <v>2.34259778799333</v>
      </c>
      <c r="AC42" s="19" t="n">
        <f aca="false">IF(AND(Time!AC26=1,Time!AC28=0),AC29/Time!AC25*Inputs!$F$157,0)</f>
        <v>2.35689397993724</v>
      </c>
      <c r="AD42" s="19" t="n">
        <f aca="false">IF(AND(Time!AD26=1,Time!AD28=0),AD29/Time!AD25*Inputs!$F$157,0)</f>
        <v>2.45411785969073</v>
      </c>
      <c r="AE42" s="19" t="n">
        <f aca="false">IF(AND(Time!AE26=1,Time!AE28=0),AE29/Time!AE25*Inputs!$F$157,0)</f>
        <v>2.47048061563236</v>
      </c>
      <c r="AF42" s="19" t="n">
        <f aca="false">IF(AND(Time!AF26=1,Time!AF28=0),AF29/Time!AF25*Inputs!$F$157,0)</f>
        <v>2.56132680990806</v>
      </c>
      <c r="AG42" s="19" t="n">
        <f aca="false">IF(AND(Time!AG26=1,Time!AG28=0),AG29/Time!AG25*Inputs!$F$157,0)</f>
        <v>2.57927129892405</v>
      </c>
      <c r="AH42" s="19" t="n">
        <f aca="false">IF(AND(Time!AH26=1,Time!AH28=0),AH29/Time!AH25*Inputs!$F$157,0)</f>
        <v>2.64932772917235</v>
      </c>
      <c r="AI42" s="19" t="n">
        <f aca="false">IF(AND(Time!AI26=1,Time!AI28=0),AI29/Time!AI25*Inputs!$F$157,0)</f>
        <v>2.66854499515926</v>
      </c>
      <c r="AJ42" s="19" t="n">
        <f aca="false">IF(AND(Time!AJ26=1,Time!AJ28=0),AJ29/Time!AJ25*Inputs!$F$157,0)</f>
        <v>2.74119576123168</v>
      </c>
      <c r="AK42" s="19" t="n">
        <f aca="false">IF(AND(Time!AK26=1,Time!AK28=0),AK29/Time!AK25*Inputs!$F$157,0)</f>
        <v>2.76175160919422</v>
      </c>
      <c r="AL42" s="19" t="n">
        <f aca="false">IF(AND(Time!AL26=1,Time!AL28=0),AL29/Time!AL25*Inputs!$F$157,0)</f>
        <v>2.83711940604976</v>
      </c>
      <c r="AM42" s="19" t="n">
        <f aca="false">IF(AND(Time!AM26=1,Time!AM28=0),AM29/Time!AM25*Inputs!$F$157,0)</f>
        <v>2.85908264440281</v>
      </c>
      <c r="AN42" s="19" t="n">
        <f aca="false">IF(AND(Time!AN26=1,Time!AN28=0),AN29/Time!AN25*Inputs!$F$157,0)</f>
        <v>2.93729640250901</v>
      </c>
      <c r="AO42" s="19" t="n">
        <f aca="false">IF(AND(Time!AO26=1,Time!AO28=0),AO29/Time!AO25*Inputs!$F$157,0)</f>
        <v>2.96037268110247</v>
      </c>
      <c r="AP42" s="19" t="n">
        <f aca="false">IF(AND(Time!AP26=1,Time!AP28=0),AP29/Time!AP25*Inputs!$F$157,0)</f>
        <v>3.04155542416137</v>
      </c>
      <c r="AQ42" s="19" t="n">
        <f aca="false">IF(AND(Time!AQ26=1,Time!AQ28=0),AQ29/Time!AQ25*Inputs!$F$157,0)</f>
        <v>3.06617378422909</v>
      </c>
      <c r="AR42" s="19" t="n">
        <f aca="false">IF(AND(Time!AR26=1,Time!AR28=0),AR29/Time!AR25*Inputs!$F$157,0)</f>
        <v>3.15046701659182</v>
      </c>
      <c r="AS42" s="19" t="n">
        <f aca="false">IF(AND(Time!AS26=1,Time!AS28=0),AS29/Time!AS25*Inputs!$F$157,0)</f>
        <v>3.176705643496</v>
      </c>
      <c r="AT42" s="19" t="n">
        <f aca="false">IF(AND(Time!AT26=1,Time!AT28=0),AT29/Time!AT25*Inputs!$F$157,0)</f>
        <v>3.26425804216629</v>
      </c>
      <c r="AU42" s="19" t="n">
        <f aca="false">IF(AND(Time!AU26=1,Time!AU28=0),AU29/Time!AU25*Inputs!$F$157,0)</f>
        <v>3.29219865522757</v>
      </c>
      <c r="AV42" s="19" t="n">
        <f aca="false">IF(AND(Time!AV26=1,Time!AV28=0),AV29/Time!AV25*Inputs!$F$157,0)</f>
        <v>3.38316642646651</v>
      </c>
      <c r="AW42" s="19" t="n">
        <f aca="false">IF(AND(Time!AW26=1,Time!AW28=0),AW29/Time!AW25*Inputs!$F$157,0)</f>
        <v>3.40786997777689</v>
      </c>
      <c r="AX42" s="19" t="n">
        <f aca="false">IF(AND(Time!AX26=1,Time!AX28=0),AX29/Time!AX25*Inputs!$F$157,0)</f>
        <v>3.49102680006904</v>
      </c>
      <c r="AY42" s="19" t="n">
        <f aca="false">IF(AND(Time!AY26=1,Time!AY28=0),AY29/Time!AY25*Inputs!$F$157,0)</f>
        <v>3.51715520197449</v>
      </c>
      <c r="AZ42" s="19" t="n">
        <f aca="false">IF(AND(Time!AZ26=1,Time!AZ28=0),AZ29/Time!AZ25*Inputs!$F$157,0)</f>
        <v>3.60294497974326</v>
      </c>
      <c r="BA42" s="19" t="n">
        <f aca="false">IF(AND(Time!BA26=1,Time!BA28=0),BA29/Time!BA25*Inputs!$F$157,0)</f>
        <v>3.63011252104253</v>
      </c>
      <c r="BB42" s="19" t="n">
        <f aca="false">IF(AND(Time!BB26=1,Time!BB28=0),BB29/Time!BB25*Inputs!$F$157,0)</f>
        <v>3.71862269735295</v>
      </c>
      <c r="BC42" s="19" t="n">
        <f aca="false">IF(AND(Time!BC26=1,Time!BC28=0),BC29/Time!BC25*Inputs!$F$157,0)</f>
        <v>3.74731162096498</v>
      </c>
      <c r="BD42" s="19" t="n">
        <f aca="false">IF(AND(Time!BD26=1,Time!BD28=0),BD29/Time!BD25*Inputs!$F$157,0)</f>
        <v>3.83864281628178</v>
      </c>
      <c r="BE42" s="19" t="n">
        <f aca="false">IF(AND(Time!BE26=1,Time!BE28=0),BE29/Time!BE25*Inputs!$F$157,0)</f>
        <v>3.8689087341636</v>
      </c>
      <c r="BF42" s="19" t="n">
        <f aca="false">IF(AND(Time!BF26=1,Time!BF28=0),BF29/Time!BF25*Inputs!$F$157,0)</f>
        <v>3.96316523878483</v>
      </c>
      <c r="BG42" s="19" t="n">
        <f aca="false">IF(AND(Time!BG26=1,Time!BG28=0),BG29/Time!BG25*Inputs!$F$157,0)</f>
        <v>3.9945963945051</v>
      </c>
      <c r="BH42" s="19" t="n">
        <f aca="false">IF(AND(Time!BH26=1,Time!BH28=0),BH29/Time!BH25*Inputs!$F$157,0)</f>
        <v>4.09187550540758</v>
      </c>
      <c r="BI42" s="19" t="n">
        <f aca="false">IF(AND(Time!BI26=1,Time!BI28=0),BI29/Time!BI25*Inputs!$F$157,0)</f>
        <v>4.1249894007632</v>
      </c>
      <c r="BJ42" s="19" t="n">
        <f aca="false">IF(AND(Time!BJ26=1,Time!BJ28=0),BJ29/Time!BJ25*Inputs!$F$157,0)</f>
        <v>4.22540263565534</v>
      </c>
      <c r="BK42" s="19" t="n">
        <f aca="false">IF(AND(Time!BK26=1,Time!BK28=0),BK29/Time!BK25*Inputs!$F$157,0)</f>
        <v>4.26026004958816</v>
      </c>
      <c r="BL42" s="19" t="n">
        <f aca="false">IF(AND(Time!BL26=1,Time!BL28=0),BL29/Time!BL25*Inputs!$F$157,0)</f>
        <v>4.36392297137014</v>
      </c>
      <c r="BM42" s="19" t="n">
        <f aca="false">IF(AND(Time!BM26=1,Time!BM28=0),BM29/Time!BM25*Inputs!$F$157,0)</f>
        <v>4.40008434715374</v>
      </c>
      <c r="BN42" s="19" t="n">
        <f aca="false">IF(AND(Time!BN26=1,Time!BN28=0),BN29/Time!BN25*Inputs!$F$157,0)</f>
        <v>4.50710515129576</v>
      </c>
      <c r="BO42" s="19" t="n">
        <f aca="false">IF(AND(Time!BO26=1,Time!BO28=0),BO29/Time!BO25*Inputs!$F$157,0)</f>
        <v>4.54512582448424</v>
      </c>
      <c r="BP42" s="19" t="n">
        <f aca="false">IF(AND(Time!BP26=1,Time!BP28=0),BP29/Time!BP25*Inputs!$F$157,0)</f>
        <v>4.6556280542088</v>
      </c>
      <c r="BQ42" s="19" t="n">
        <f aca="false">IF(AND(Time!BQ26=1,Time!BQ28=0),BQ29/Time!BQ25*Inputs!$F$157,0)</f>
        <v>4.69557442311499</v>
      </c>
      <c r="BR42" s="19" t="n">
        <f aca="false">IF(AND(Time!BR26=1,Time!BR28=0),BR29/Time!BR25*Inputs!$F$157,0)</f>
        <v>4.79165870320282</v>
      </c>
      <c r="BS42" s="19" t="n">
        <f aca="false">IF(AND(Time!BS26=1,Time!BS28=0),BS29/Time!BS25*Inputs!$F$157,0)</f>
        <v>4.83314826341307</v>
      </c>
      <c r="BT42" s="19" t="n">
        <f aca="false">IF(AND(Time!BT26=1,Time!BT28=0),BT29/Time!BT25*Inputs!$F$157,0)</f>
        <v>4.93187686425973</v>
      </c>
      <c r="BU42" s="19" t="n">
        <f aca="false">IF(AND(Time!BU26=1,Time!BU28=0),BU29/Time!BU25*Inputs!$F$157,0)</f>
        <v>4.97494090008822</v>
      </c>
      <c r="BV42" s="19" t="n">
        <f aca="false">IF(AND(Time!BV26=1,Time!BV28=0),BV29/Time!BV25*Inputs!$F$157,0)</f>
        <v>5.07638928311713</v>
      </c>
      <c r="BW42" s="19" t="n">
        <f aca="false">IF(AND(Time!BW26=1,Time!BW28=0),BW29/Time!BW25*Inputs!$F$157,0)</f>
        <v>5.12105960748202</v>
      </c>
      <c r="BX42" s="19" t="n">
        <f aca="false">IF(AND(Time!BX26=1,Time!BX28=0),BX29/Time!BX25*Inputs!$F$157,0)</f>
        <v>5.22530514230535</v>
      </c>
      <c r="BY42" s="19" t="n">
        <f aca="false">IF(AND(Time!BY26=1,Time!BY28=0),BY29/Time!BY25*Inputs!$F$157,0)</f>
        <v>5.27161410491036</v>
      </c>
      <c r="BZ42" s="19" t="n">
        <f aca="false">IF(AND(Time!BZ26=1,Time!BZ28=0),BZ29/Time!BZ25*Inputs!$F$157,0)</f>
        <v>5.37873611419117</v>
      </c>
      <c r="CA42" s="19" t="n">
        <f aca="false">IF(AND(Time!CA26=1,Time!CA28=0),CA29/Time!CA25*Inputs!$F$157,0)</f>
        <v>5.42671660982735</v>
      </c>
      <c r="CB42" s="19" t="n">
        <f aca="false">IF(AND(Time!CB26=1,Time!CB28=0),CB29/Time!CB25*Inputs!$F$157,0)</f>
        <v>5.53679641516771</v>
      </c>
      <c r="CC42" s="19" t="n">
        <f aca="false">IF(AND(Time!CC26=1,Time!CC28=0),CC29/Time!CC25*Inputs!$F$157,0)</f>
        <v>5.58648189213719</v>
      </c>
      <c r="CD42" s="19" t="n">
        <f aca="false">IF(AND(Time!CD26=1,Time!CD28=0),CD29/Time!CD25*Inputs!$F$157,0)</f>
        <v>5.69960286101583</v>
      </c>
      <c r="CE42" s="19" t="n">
        <f aca="false">IF(AND(Time!CE26=1,Time!CE28=0),CE29/Time!CE25*Inputs!$F$157,0)</f>
        <v>5.75102732967925</v>
      </c>
      <c r="CF42" s="19" t="n">
        <f aca="false">IF(AND(Time!CF26=1,Time!CF28=0),CF29/Time!CF25*Inputs!$F$157,0)</f>
        <v>5.86727492346271</v>
      </c>
      <c r="CG42" s="19" t="n">
        <f aca="false">IF(AND(Time!CG26=1,Time!CG28=0),CG29/Time!CG25*Inputs!$F$157,0)</f>
        <v>5.921051204493</v>
      </c>
      <c r="CH42" s="19" t="n">
        <f aca="false">IF(AND(Time!CH26=1,Time!CH28=0),CH29/Time!CH25*Inputs!$F$157,0)</f>
        <v>6.04051996641992</v>
      </c>
      <c r="CI42" s="19" t="n">
        <f aca="false">IF(AND(Time!CI26=1,Time!CI28=0),CI29/Time!CI25*Inputs!$F$157,0)</f>
        <v>6.09611191973446</v>
      </c>
      <c r="CJ42" s="19" t="n">
        <f aca="false">IF(AND(Time!CJ26=1,Time!CJ28=0),CJ29/Time!CJ25*Inputs!$F$157,0)</f>
        <v>6.2188918139311</v>
      </c>
      <c r="CK42" s="19" t="n">
        <f aca="false">IF(AND(Time!CK26=1,Time!CK28=0),CK29/Time!CK25*Inputs!$F$157,0)</f>
        <v>6.27633527188023</v>
      </c>
      <c r="CL42" s="19" t="n">
        <f aca="false">IF(AND(Time!CL26=1,Time!CL28=0),CL29/Time!CL25*Inputs!$F$157,0)</f>
        <v>6.40251851008162</v>
      </c>
      <c r="CM42" s="19" t="n">
        <f aca="false">IF(AND(Time!CM26=1,Time!CM28=0),CM29/Time!CM25*Inputs!$F$157,0)</f>
        <v>6.4624492105399</v>
      </c>
      <c r="CN42" s="19" t="n">
        <f aca="false">IF(AND(Time!CN26=1,Time!CN28=0),CN29/Time!CN25*Inputs!$F$157,0)</f>
        <v>6.59213749637867</v>
      </c>
      <c r="CO42" s="19" t="n">
        <f aca="false">IF(AND(Time!CO26=1,Time!CO28=0),CO29/Time!CO25*Inputs!$F$157,0)</f>
        <v>6.65400036261972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0.778717722800992</v>
      </c>
      <c r="AA43" s="19" t="n">
        <f aca="false">AA41-AA42</f>
        <v>0.857418772661494</v>
      </c>
      <c r="AB43" s="19" t="n">
        <f aca="false">AB41-AB42</f>
        <v>1.24899776569622</v>
      </c>
      <c r="AC43" s="19" t="n">
        <f aca="false">AC41-AC42</f>
        <v>1.34230731956665</v>
      </c>
      <c r="AD43" s="19" t="n">
        <f aca="false">AD41-AD42</f>
        <v>1.62585456024209</v>
      </c>
      <c r="AE43" s="19" t="n">
        <f aca="false">AE41-AE42</f>
        <v>1.73265233289338</v>
      </c>
      <c r="AF43" s="19" t="n">
        <f aca="false">AF41-AF42</f>
        <v>1.96579763673321</v>
      </c>
      <c r="AG43" s="19" t="n">
        <f aca="false">AG41-AG42</f>
        <v>2.08291919407413</v>
      </c>
      <c r="AH43" s="19" t="n">
        <f aca="false">AH41-AH42</f>
        <v>2.17137724058776</v>
      </c>
      <c r="AI43" s="19" t="n">
        <f aca="false">AI41-AI42</f>
        <v>2.29680606267436</v>
      </c>
      <c r="AJ43" s="19" t="n">
        <f aca="false">AJ41-AJ42</f>
        <v>2.39297723256828</v>
      </c>
      <c r="AK43" s="19" t="n">
        <f aca="false">AK41-AK42</f>
        <v>2.52714282088298</v>
      </c>
      <c r="AL43" s="19" t="n">
        <f aca="false">AL41-AL42</f>
        <v>2.63159743465008</v>
      </c>
      <c r="AM43" s="19" t="n">
        <f aca="false">AM41-AM42</f>
        <v>2.77494889357805</v>
      </c>
      <c r="AN43" s="19" t="n">
        <f aca="false">AN41-AN42</f>
        <v>2.8882922077632</v>
      </c>
      <c r="AO43" s="19" t="n">
        <f aca="false">AO41-AO42</f>
        <v>3.0389083486904</v>
      </c>
      <c r="AP43" s="19" t="n">
        <f aca="false">AP41-AP42</f>
        <v>3.16170116064446</v>
      </c>
      <c r="AQ43" s="19" t="n">
        <f aca="false">AQ41-AQ42</f>
        <v>3.32238228495743</v>
      </c>
      <c r="AR43" s="19" t="n">
        <f aca="false">AR41-AR42</f>
        <v>3.45529995894703</v>
      </c>
      <c r="AS43" s="19" t="n">
        <f aca="false">AS41-AS42</f>
        <v>3.62655637325709</v>
      </c>
      <c r="AT43" s="19" t="n">
        <f aca="false">AT41-AT42</f>
        <v>3.7703148831564</v>
      </c>
      <c r="AU43" s="19" t="n">
        <f aca="false">AU41-AU42</f>
        <v>3.95267995980365</v>
      </c>
      <c r="AV43" s="19" t="n">
        <f aca="false">AV41-AV42</f>
        <v>4.10803806147576</v>
      </c>
      <c r="AW43" s="19" t="n">
        <f aca="false">AW41-AW42</f>
        <v>4.26927521895318</v>
      </c>
      <c r="AX43" s="19" t="n">
        <f aca="false">AX41-AX42</f>
        <v>4.36269273618582</v>
      </c>
      <c r="AY43" s="19" t="n">
        <f aca="false">AY41-AY42</f>
        <v>4.53322972496656</v>
      </c>
      <c r="AZ43" s="19" t="n">
        <f aca="false">AZ41-AZ42</f>
        <v>4.63259880051743</v>
      </c>
      <c r="BA43" s="19" t="n">
        <f aca="false">BA41-BA42</f>
        <v>4.80991812921262</v>
      </c>
      <c r="BB43" s="19" t="n">
        <f aca="false">BB41-BB42</f>
        <v>4.91552865785807</v>
      </c>
      <c r="BC43" s="19" t="n">
        <f aca="false">BC41-BC42</f>
        <v>5.10277786896019</v>
      </c>
      <c r="BD43" s="19" t="n">
        <f aca="false">BD41-BD42</f>
        <v>5.21499873191167</v>
      </c>
      <c r="BE43" s="19" t="n">
        <f aca="false">BE41-BE42</f>
        <v>5.41254079808657</v>
      </c>
      <c r="BF43" s="19" t="n">
        <f aca="false">BF41-BF42</f>
        <v>5.53175763270708</v>
      </c>
      <c r="BG43" s="19" t="n">
        <f aca="false">BG41-BG42</f>
        <v>5.73690506842971</v>
      </c>
      <c r="BH43" s="19" t="n">
        <f aca="false">BH41-BH42</f>
        <v>5.86345049117474</v>
      </c>
      <c r="BI43" s="19" t="n">
        <f aca="false">BI41-BI42</f>
        <v>6.07958096946359</v>
      </c>
      <c r="BJ43" s="19" t="n">
        <f aca="false">BJ41-BJ42</f>
        <v>6.21387285308667</v>
      </c>
      <c r="BK43" s="19" t="n">
        <f aca="false">BK41-BK42</f>
        <v>6.4413830709063</v>
      </c>
      <c r="BL43" s="19" t="n">
        <f aca="false">BL41-BL42</f>
        <v>6.5838579408957</v>
      </c>
      <c r="BM43" s="19" t="n">
        <f aca="false">BM41-BM42</f>
        <v>6.81987896348334</v>
      </c>
      <c r="BN43" s="19" t="n">
        <f aca="false">BN41-BN42</f>
        <v>6.97091731548597</v>
      </c>
      <c r="BO43" s="19" t="n">
        <f aca="false">BO41-BO42</f>
        <v>7.21907375231833</v>
      </c>
      <c r="BP43" s="19" t="n">
        <f aca="false">BP41-BP42</f>
        <v>7.37914811286023</v>
      </c>
      <c r="BQ43" s="19" t="n">
        <f aca="false">BQ41-BQ42</f>
        <v>7.63987333787161</v>
      </c>
      <c r="BR43" s="19" t="n">
        <f aca="false">BR41-BR42</f>
        <v>7.69181443091562</v>
      </c>
      <c r="BS43" s="19" t="n">
        <f aca="false">BS41-BS42</f>
        <v>7.9626118830406</v>
      </c>
      <c r="BT43" s="19" t="n">
        <f aca="false">BT41-BT42</f>
        <v>8.01743240395138</v>
      </c>
      <c r="BU43" s="19" t="n">
        <f aca="false">BU41-BU42</f>
        <v>8.29850627220828</v>
      </c>
      <c r="BV43" s="19" t="n">
        <f aca="false">BV41-BV42</f>
        <v>8.35633925524693</v>
      </c>
      <c r="BW43" s="19" t="n">
        <f aca="false">BW41-BW42</f>
        <v>8.64789717878981</v>
      </c>
      <c r="BX43" s="19" t="n">
        <f aca="false">BX41-BX42</f>
        <v>8.70887912540173</v>
      </c>
      <c r="BY43" s="19" t="n">
        <f aca="false">BY41-BY42</f>
        <v>9.01113224692043</v>
      </c>
      <c r="BZ43" s="19" t="n">
        <f aca="false">BZ41-BZ42</f>
        <v>9.07540319386159</v>
      </c>
      <c r="CA43" s="19" t="n">
        <f aca="false">CA41-CA42</f>
        <v>9.38856621376653</v>
      </c>
      <c r="CB43" s="19" t="n">
        <f aca="false">CB41-CB42</f>
        <v>9.4562698023093</v>
      </c>
      <c r="CC43" s="19" t="n">
        <f aca="false">CC41-CC42</f>
        <v>9.78056103371226</v>
      </c>
      <c r="CD43" s="19" t="n">
        <f aca="false">CD41-CD42</f>
        <v>9.85184457994381</v>
      </c>
      <c r="CE43" s="19" t="n">
        <f aca="false">CE41-CE42</f>
        <v>10.1874860044459</v>
      </c>
      <c r="CF43" s="19" t="n">
        <f aca="false">CF41-CF42</f>
        <v>10.2625005706719</v>
      </c>
      <c r="CG43" s="19" t="n">
        <f aca="false">CG41-CG42</f>
        <v>10.6134919963212</v>
      </c>
      <c r="CH43" s="19" t="n">
        <f aca="false">CH41-CH42</f>
        <v>10.6924377528041</v>
      </c>
      <c r="CI43" s="19" t="n">
        <f aca="false">CI41-CI42</f>
        <v>11.0552798566957</v>
      </c>
      <c r="CJ43" s="19" t="n">
        <f aca="false">CJ41-CJ42</f>
        <v>11.1383166638162</v>
      </c>
      <c r="CK43" s="19" t="n">
        <f aca="false">CK41-CK42</f>
        <v>11.5132433194627</v>
      </c>
      <c r="CL43" s="19" t="n">
        <f aca="false">CL41-CL42</f>
        <v>11.6005350243575</v>
      </c>
      <c r="CM43" s="19" t="n">
        <f aca="false">CM41-CM42</f>
        <v>11.9916956176712</v>
      </c>
      <c r="CN43" s="19" t="n">
        <f aca="false">CN41-CN42</f>
        <v>12.0834570697709</v>
      </c>
      <c r="CO43" s="19" t="n">
        <f aca="false">CO41-CO42</f>
        <v>12.487228680613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0.778717722800992</v>
      </c>
      <c r="AA44" s="19" t="n">
        <f aca="false">AA43-Z43</f>
        <v>0.0787010498605012</v>
      </c>
      <c r="AB44" s="19" t="n">
        <f aca="false">AB43-AA43</f>
        <v>0.39157899303473</v>
      </c>
      <c r="AC44" s="19" t="n">
        <f aca="false">AC43-AB43</f>
        <v>0.0933095538704247</v>
      </c>
      <c r="AD44" s="19" t="n">
        <f aca="false">AD43-AC43</f>
        <v>0.28354724067544</v>
      </c>
      <c r="AE44" s="19" t="n">
        <f aca="false">AE43-AD43</f>
        <v>0.106797772651291</v>
      </c>
      <c r="AF44" s="19" t="n">
        <f aca="false">AF43-AE43</f>
        <v>0.23314530383983</v>
      </c>
      <c r="AG44" s="19" t="n">
        <f aca="false">AG43-AF43</f>
        <v>0.117121557340917</v>
      </c>
      <c r="AH44" s="19" t="n">
        <f aca="false">AH43-AG43</f>
        <v>0.0884580465136362</v>
      </c>
      <c r="AI44" s="19" t="n">
        <f aca="false">AI43-AH43</f>
        <v>0.125428822086596</v>
      </c>
      <c r="AJ44" s="19" t="n">
        <f aca="false">AJ43-AI43</f>
        <v>0.0961711698939252</v>
      </c>
      <c r="AK44" s="19" t="n">
        <f aca="false">AK43-AJ43</f>
        <v>0.134165588314698</v>
      </c>
      <c r="AL44" s="19" t="n">
        <f aca="false">AL43-AK43</f>
        <v>0.104454613767093</v>
      </c>
      <c r="AM44" s="19" t="n">
        <f aca="false">AM43-AL43</f>
        <v>0.143351458927976</v>
      </c>
      <c r="AN44" s="19" t="n">
        <f aca="false">AN43-AM43</f>
        <v>0.113343314185151</v>
      </c>
      <c r="AO44" s="19" t="n">
        <f aca="false">AO43-AN43</f>
        <v>0.150616140927198</v>
      </c>
      <c r="AP44" s="19" t="n">
        <f aca="false">AP43-AO43</f>
        <v>0.122792811954059</v>
      </c>
      <c r="AQ44" s="19" t="n">
        <f aca="false">AQ43-AP43</f>
        <v>0.16068112431297</v>
      </c>
      <c r="AR44" s="19" t="n">
        <f aca="false">AR43-AQ43</f>
        <v>0.132917673989599</v>
      </c>
      <c r="AS44" s="19" t="n">
        <f aca="false">AS43-AR43</f>
        <v>0.17125641431006</v>
      </c>
      <c r="AT44" s="19" t="n">
        <f aca="false">AT43-AS43</f>
        <v>0.143758509899316</v>
      </c>
      <c r="AU44" s="19" t="n">
        <f aca="false">AU43-AT43</f>
        <v>0.182365076647247</v>
      </c>
      <c r="AV44" s="19" t="n">
        <f aca="false">AV43-AU43</f>
        <v>0.155358101672113</v>
      </c>
      <c r="AW44" s="19" t="n">
        <f aca="false">AW43-AV43</f>
        <v>0.161237157477421</v>
      </c>
      <c r="AX44" s="19" t="n">
        <f aca="false">AX43-AW43</f>
        <v>0.0934175172326413</v>
      </c>
      <c r="AY44" s="19" t="n">
        <f aca="false">AY43-AX43</f>
        <v>0.170536988780734</v>
      </c>
      <c r="AZ44" s="19" t="n">
        <f aca="false">AZ43-AY43</f>
        <v>0.0993690755508698</v>
      </c>
      <c r="BA44" s="19" t="n">
        <f aca="false">BA43-AZ43</f>
        <v>0.177319328695193</v>
      </c>
      <c r="BB44" s="19" t="n">
        <f aca="false">BB43-BA43</f>
        <v>0.105610528645446</v>
      </c>
      <c r="BC44" s="19" t="n">
        <f aca="false">BC43-BB43</f>
        <v>0.187249211102126</v>
      </c>
      <c r="BD44" s="19" t="n">
        <f aca="false">BD43-BC43</f>
        <v>0.112220862951478</v>
      </c>
      <c r="BE44" s="19" t="n">
        <f aca="false">BE43-BD43</f>
        <v>0.197542066174894</v>
      </c>
      <c r="BF44" s="19" t="n">
        <f aca="false">BF43-BE43</f>
        <v>0.119216834620516</v>
      </c>
      <c r="BG44" s="19" t="n">
        <f aca="false">BG43-BF43</f>
        <v>0.205147435722631</v>
      </c>
      <c r="BH44" s="19" t="n">
        <f aca="false">BH43-BG43</f>
        <v>0.126545422745024</v>
      </c>
      <c r="BI44" s="19" t="n">
        <f aca="false">BI43-BH43</f>
        <v>0.216130478288854</v>
      </c>
      <c r="BJ44" s="19" t="n">
        <f aca="false">BJ43-BI43</f>
        <v>0.13429188362308</v>
      </c>
      <c r="BK44" s="19" t="n">
        <f aca="false">BK43-BJ43</f>
        <v>0.227510217819631</v>
      </c>
      <c r="BL44" s="19" t="n">
        <f aca="false">BL43-BK43</f>
        <v>0.142474869989401</v>
      </c>
      <c r="BM44" s="19" t="n">
        <f aca="false">BM43-BL43</f>
        <v>0.236021022587638</v>
      </c>
      <c r="BN44" s="19" t="n">
        <f aca="false">BN43-BM43</f>
        <v>0.151038352002635</v>
      </c>
      <c r="BO44" s="19" t="n">
        <f aca="false">BO43-BN43</f>
        <v>0.248156436832358</v>
      </c>
      <c r="BP44" s="19" t="n">
        <f aca="false">BP43-BO43</f>
        <v>0.160074360541901</v>
      </c>
      <c r="BQ44" s="19" t="n">
        <f aca="false">BQ43-BP43</f>
        <v>0.260725225011379</v>
      </c>
      <c r="BR44" s="19" t="n">
        <f aca="false">BR43-BQ43</f>
        <v>0.0519410930440127</v>
      </c>
      <c r="BS44" s="19" t="n">
        <f aca="false">BS43-BR43</f>
        <v>0.270797452124974</v>
      </c>
      <c r="BT44" s="19" t="n">
        <f aca="false">BT43-BS43</f>
        <v>0.0548205209107806</v>
      </c>
      <c r="BU44" s="19" t="n">
        <f aca="false">BU43-BT43</f>
        <v>0.281073868256899</v>
      </c>
      <c r="BV44" s="19" t="n">
        <f aca="false">BV43-BU43</f>
        <v>0.0578329830386508</v>
      </c>
      <c r="BW44" s="19" t="n">
        <f aca="false">BW43-BV43</f>
        <v>0.291557923542877</v>
      </c>
      <c r="BX44" s="19" t="n">
        <f aca="false">BX43-BW43</f>
        <v>0.0609819466119266</v>
      </c>
      <c r="BY44" s="19" t="n">
        <f aca="false">BY43-BX43</f>
        <v>0.302253121518701</v>
      </c>
      <c r="BZ44" s="19" t="n">
        <f aca="false">BZ43-BY43</f>
        <v>0.0642709469411553</v>
      </c>
      <c r="CA44" s="19" t="n">
        <f aca="false">CA43-BZ43</f>
        <v>0.313163019904943</v>
      </c>
      <c r="CB44" s="19" t="n">
        <f aca="false">CB43-CA43</f>
        <v>0.0677035885427646</v>
      </c>
      <c r="CC44" s="19" t="n">
        <f aca="false">CC43-CB43</f>
        <v>0.324291231402963</v>
      </c>
      <c r="CD44" s="19" t="n">
        <f aca="false">CD43-CC43</f>
        <v>0.07128354623155</v>
      </c>
      <c r="CE44" s="19" t="n">
        <f aca="false">CE43-CD43</f>
        <v>0.335641424502064</v>
      </c>
      <c r="CF44" s="19" t="n">
        <f aca="false">CF43-CE43</f>
        <v>0.0750145662260326</v>
      </c>
      <c r="CG44" s="19" t="n">
        <f aca="false">CG43-CF43</f>
        <v>0.350991425649287</v>
      </c>
      <c r="CH44" s="19" t="n">
        <f aca="false">CH43-CG43</f>
        <v>0.0789457564828577</v>
      </c>
      <c r="CI44" s="19" t="n">
        <f aca="false">CI43-CH43</f>
        <v>0.362842103891644</v>
      </c>
      <c r="CJ44" s="19" t="n">
        <f aca="false">CJ43-CI43</f>
        <v>0.0830368071205214</v>
      </c>
      <c r="CK44" s="19" t="n">
        <f aca="false">CK43-CJ43</f>
        <v>0.374926655646519</v>
      </c>
      <c r="CL44" s="19" t="n">
        <f aca="false">CL43-CK43</f>
        <v>0.0872917048947279</v>
      </c>
      <c r="CM44" s="19" t="n">
        <f aca="false">CM43-CL43</f>
        <v>0.391160593313689</v>
      </c>
      <c r="CN44" s="19" t="n">
        <f aca="false">CN43-CM43</f>
        <v>0.0917614520997603</v>
      </c>
      <c r="CO44" s="19" t="n">
        <f aca="false">CO43-CN43</f>
        <v>0.403771610842124</v>
      </c>
      <c r="CP44" s="19" t="n">
        <f aca="false">CP43-CO43</f>
        <v>-12.487228680613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765.871507712898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0</v>
      </c>
      <c r="BR47" s="29" t="n">
        <f aca="false">Tax!BR23</f>
        <v>0</v>
      </c>
      <c r="BS47" s="29" t="n">
        <f aca="false">Tax!BS23</f>
        <v>0</v>
      </c>
      <c r="BT47" s="29" t="n">
        <f aca="false">Tax!BT23</f>
        <v>0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6.39841961373486</v>
      </c>
      <c r="BX47" s="29" t="n">
        <f aca="false">Tax!BX23</f>
        <v>31.6086244867567</v>
      </c>
      <c r="BY47" s="29" t="n">
        <f aca="false">Tax!BY23</f>
        <v>33.642862499349</v>
      </c>
      <c r="BZ47" s="29" t="n">
        <f aca="false">Tax!BZ23</f>
        <v>33.9411035642519</v>
      </c>
      <c r="CA47" s="29" t="n">
        <f aca="false">Tax!CA23</f>
        <v>36.2763224827381</v>
      </c>
      <c r="CB47" s="29" t="n">
        <f aca="false">Tax!CB23</f>
        <v>36.5513754924097</v>
      </c>
      <c r="CC47" s="29" t="n">
        <f aca="false">Tax!CC23</f>
        <v>38.9660229426784</v>
      </c>
      <c r="CD47" s="29" t="n">
        <f aca="false">Tax!CD23</f>
        <v>39.2618776787724</v>
      </c>
      <c r="CE47" s="29" t="n">
        <f aca="false">Tax!CE23</f>
        <v>41.8040193051331</v>
      </c>
      <c r="CF47" s="29" t="n">
        <f aca="false">Tax!CF23</f>
        <v>42.3355958064563</v>
      </c>
      <c r="CG47" s="29" t="n">
        <f aca="false">Tax!CG23</f>
        <v>23.094946788508</v>
      </c>
      <c r="CH47" s="29" t="n">
        <f aca="false">Tax!CH23</f>
        <v>44.9785307551068</v>
      </c>
      <c r="CI47" s="29" t="n">
        <f aca="false">Tax!CI23</f>
        <v>47.3763337279496</v>
      </c>
      <c r="CJ47" s="29" t="n">
        <f aca="false">Tax!CJ23</f>
        <v>47.2897917858988</v>
      </c>
      <c r="CK47" s="29" t="n">
        <f aca="false">Tax!CK23</f>
        <v>39.3190590750735</v>
      </c>
      <c r="CL47" s="29" t="n">
        <f aca="false">Tax!CL23</f>
        <v>49.7084772400635</v>
      </c>
      <c r="CM47" s="29" t="n">
        <f aca="false">Tax!CM23</f>
        <v>52.3275820960415</v>
      </c>
      <c r="CN47" s="29" t="n">
        <f aca="false">Tax!CN23</f>
        <v>52.5195977862541</v>
      </c>
      <c r="CO47" s="29" t="n">
        <f aca="false">Tax!CO23</f>
        <v>54.9549674735227</v>
      </c>
      <c r="CP47" s="29" t="n">
        <f aca="false">Tax!CP23</f>
        <v>13.5159971121986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6342.18648053102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11.9722770333237</v>
      </c>
      <c r="AA48" s="19" t="n">
        <f aca="false">(AA32-AA44-AA47-AA37-AA39)*(1-Time!AA20)</f>
        <v>26.8224075022113</v>
      </c>
      <c r="AB48" s="19" t="n">
        <f aca="false">(AB32-AB44-AB47-AB37-AB39)*(1-Time!AB20)</f>
        <v>32.0874032911033</v>
      </c>
      <c r="AC48" s="19" t="n">
        <f aca="false">(AC32-AC44-AC47-AC37-AC39)*(1-Time!AC20)</f>
        <v>34.0691482578989</v>
      </c>
      <c r="AD48" s="19" t="n">
        <f aca="false">(AD32-AD44-AD47-AD37-AD39)*(1-Time!AD20)</f>
        <v>37.6581565302267</v>
      </c>
      <c r="AE48" s="19" t="n">
        <f aca="false">(AE32-AE44-AE47-AE37-AE39)*(1-Time!AE20)</f>
        <v>39.9820970130466</v>
      </c>
      <c r="AF48" s="19" t="n">
        <f aca="false">(AF32-AF44-AF47-AF37-AF39)*(1-Time!AF20)</f>
        <v>42.8427680508151</v>
      </c>
      <c r="AG48" s="19" t="n">
        <f aca="false">(AG32-AG44-AG47-AG37-AG39)*(1-Time!AG20)</f>
        <v>45.33785143152</v>
      </c>
      <c r="AH48" s="19" t="n">
        <f aca="false">(AH32-AH44-AH47-AH37-AH39)*(1-Time!AH20)</f>
        <v>46.2520931917594</v>
      </c>
      <c r="AI48" s="19" t="n">
        <f aca="false">(AI32-AI44-AI47-AI37-AI39)*(1-Time!AI20)</f>
        <v>45.551782513232</v>
      </c>
      <c r="AJ48" s="19" t="n">
        <f aca="false">(AJ32-AJ44-AJ47-AJ37-AJ39)*(1-Time!AJ20)</f>
        <v>46.8035444864203</v>
      </c>
      <c r="AK48" s="19" t="n">
        <f aca="false">(AK32-AK44-AK47-AK37-AK39)*(1-Time!AK20)</f>
        <v>49.2236628351718</v>
      </c>
      <c r="AL48" s="19" t="n">
        <f aca="false">(AL32-AL44-AL47-AL37-AL39)*(1-Time!AL20)</f>
        <v>50.2663422890722</v>
      </c>
      <c r="AM48" s="19" t="n">
        <f aca="false">(AM32-AM44-AM47-AM37-AM39)*(1-Time!AM20)</f>
        <v>53.1536009858225</v>
      </c>
      <c r="AN48" s="19" t="n">
        <f aca="false">(AN32-AN44-AN47-AN37-AN39)*(1-Time!AN20)</f>
        <v>54.2668945404405</v>
      </c>
      <c r="AO48" s="19" t="n">
        <f aca="false">(AO32-AO44-AO47-AO37-AO39)*(1-Time!AO20)</f>
        <v>60.5401249493982</v>
      </c>
      <c r="AP48" s="19" t="n">
        <f aca="false">(AP32-AP44-AP47-AP37-AP39)*(1-Time!AP20)</f>
        <v>61.7257353086905</v>
      </c>
      <c r="AQ48" s="19" t="n">
        <f aca="false">(AQ32-AQ44-AQ47-AQ37-AQ39)*(1-Time!AQ20)</f>
        <v>54.7144157833967</v>
      </c>
      <c r="AR48" s="19" t="n">
        <f aca="false">(AR32-AR44-AR47-AR37-AR39)*(1-Time!AR20)</f>
        <v>56.3463027918885</v>
      </c>
      <c r="AS48" s="19" t="n">
        <f aca="false">(AS32-AS44-AS47-AS37-AS39)*(1-Time!AS20)</f>
        <v>59.4763327817232</v>
      </c>
      <c r="AT48" s="19" t="n">
        <f aca="false">(AT32-AT44-AT47-AT37-AT39)*(1-Time!AT20)</f>
        <v>60.8259461880899</v>
      </c>
      <c r="AU48" s="19" t="n">
        <f aca="false">(AU32-AU44-AU47-AU37-AU39)*(1-Time!AU20)</f>
        <v>64.5609708438497</v>
      </c>
      <c r="AV48" s="19" t="n">
        <f aca="false">(AV32-AV44-AV47-AV37-AV39)*(1-Time!AV20)</f>
        <v>66.0005264515732</v>
      </c>
      <c r="AW48" s="19" t="n">
        <f aca="false">(AW32-AW44-AW47-AW37-AW39)*(1-Time!AW20)</f>
        <v>71.5445973819467</v>
      </c>
      <c r="AX48" s="19" t="n">
        <f aca="false">(AX32-AX44-AX47-AX37-AX39)*(1-Time!AX20)</f>
        <v>72.0892426109825</v>
      </c>
      <c r="AY48" s="19" t="n">
        <f aca="false">(AY32-AY44-AY47-AY37-AY39)*(1-Time!AY20)</f>
        <v>71.8537583415923</v>
      </c>
      <c r="AZ48" s="19" t="n">
        <f aca="false">(AZ32-AZ44-AZ47-AZ37-AZ39)*(1-Time!AZ20)</f>
        <v>72.895955386749</v>
      </c>
      <c r="BA48" s="19" t="n">
        <f aca="false">(BA32-BA44-BA47-BA37-BA39)*(1-Time!BA20)</f>
        <v>76.2752291892364</v>
      </c>
      <c r="BB48" s="19" t="n">
        <f aca="false">(BB32-BB44-BB47-BB37-BB39)*(1-Time!BB20)</f>
        <v>76.8770632476208</v>
      </c>
      <c r="BC48" s="19" t="n">
        <f aca="false">(BC32-BC44-BC47-BC37-BC39)*(1-Time!BC20)</f>
        <v>89.2280084263935</v>
      </c>
      <c r="BD48" s="19" t="n">
        <f aca="false">(BD32-BD44-BD47-BD37-BD39)*(1-Time!BD20)</f>
        <v>89.8619259684757</v>
      </c>
      <c r="BE48" s="19" t="n">
        <f aca="false">(BE32-BE44-BE47-BE37-BE39)*(1-Time!BE20)</f>
        <v>98.0579163119572</v>
      </c>
      <c r="BF48" s="19" t="n">
        <f aca="false">(BF32-BF44-BF47-BF37-BF39)*(1-Time!BF20)</f>
        <v>98.7254747775707</v>
      </c>
      <c r="BG48" s="19" t="n">
        <f aca="false">(BG32-BG44-BG47-BG37-BG39)*(1-Time!BG20)</f>
        <v>103.194394857504</v>
      </c>
      <c r="BH48" s="19" t="n">
        <f aca="false">(BH32-BH44-BH47-BH37-BH39)*(1-Time!BH20)</f>
        <v>104.468647800019</v>
      </c>
      <c r="BI48" s="19" t="n">
        <f aca="false">(BI32-BI44-BI47-BI37-BI39)*(1-Time!BI20)</f>
        <v>108.601145110487</v>
      </c>
      <c r="BJ48" s="19" t="n">
        <f aca="false">(BJ32-BJ44-BJ47-BJ37-BJ39)*(1-Time!BJ20)</f>
        <v>109.337364366659</v>
      </c>
      <c r="BK48" s="19" t="n">
        <f aca="false">(BK32-BK44-BK47-BK37-BK39)*(1-Time!BK20)</f>
        <v>114.293061537872</v>
      </c>
      <c r="BL48" s="19" t="n">
        <f aca="false">(BL32-BL44-BL47-BL37-BL39)*(1-Time!BL20)</f>
        <v>115.067690711324</v>
      </c>
      <c r="BM48" s="19" t="n">
        <f aca="false">(BM32-BM44-BM47-BM37-BM39)*(1-Time!BM20)</f>
        <v>120.239169921338</v>
      </c>
      <c r="BN48" s="19" t="n">
        <f aca="false">(BN32-BN44-BN47-BN37-BN39)*(1-Time!BN20)</f>
        <v>121.050527222382</v>
      </c>
      <c r="BO48" s="19" t="n">
        <f aca="false">(BO32-BO44-BO47-BO37-BO39)*(1-Time!BO20)</f>
        <v>107.888776102879</v>
      </c>
      <c r="BP48" s="19" t="n">
        <f aca="false">(BP32-BP44-BP47-BP37-BP39)*(1-Time!BP20)</f>
        <v>109.446382107727</v>
      </c>
      <c r="BQ48" s="19" t="n">
        <f aca="false">(BQ32-BQ44-BQ47-BQ37-BQ39)*(1-Time!BQ20)</f>
        <v>114.461289187612</v>
      </c>
      <c r="BR48" s="19" t="n">
        <f aca="false">(BR32-BR44-BR47-BR37-BR39)*(1-Time!BR20)</f>
        <v>113.830368647306</v>
      </c>
      <c r="BS48" s="19" t="n">
        <f aca="false">(BS32-BS44-BS47-BS37-BS39)*(1-Time!BS20)</f>
        <v>119.657250663285</v>
      </c>
      <c r="BT48" s="19" t="n">
        <f aca="false">(BT32-BT44-BT47-BT37-BT39)*(1-Time!BT20)</f>
        <v>119.004102048023</v>
      </c>
      <c r="BU48" s="19" t="n">
        <f aca="false">(BU32-BU44-BU47-BU37-BU39)*(1-Time!BU20)</f>
        <v>143.656975256623</v>
      </c>
      <c r="BV48" s="19" t="n">
        <f aca="false">(BV32-BV44-BV47-BV37-BV39)*(1-Time!BV20)</f>
        <v>142.980608731004</v>
      </c>
      <c r="BW48" s="19" t="n">
        <f aca="false">(BW32-BW44-BW47-BW37-BW39)*(1-Time!BW20)</f>
        <v>142.86428891831</v>
      </c>
      <c r="BX48" s="19" t="n">
        <f aca="false">(BX32-BX44-BX47-BX37-BX39)*(1-Time!BX20)</f>
        <v>117.774604516838</v>
      </c>
      <c r="BY48" s="19" t="n">
        <f aca="false">(BY32-BY44-BY47-BY37-BY39)*(1-Time!BY20)</f>
        <v>121.438412778792</v>
      </c>
      <c r="BZ48" s="19" t="n">
        <f aca="false">(BZ32-BZ44-BZ47-BZ37-BZ39)*(1-Time!BZ20)</f>
        <v>120.414290082536</v>
      </c>
      <c r="CA48" s="19" t="n">
        <f aca="false">(CA32-CA44-CA47-CA37-CA39)*(1-Time!CA20)</f>
        <v>112.832241226464</v>
      </c>
      <c r="CB48" s="19" t="n">
        <f aca="false">(CB32-CB44-CB47-CB37-CB39)*(1-Time!CB20)</f>
        <v>111.804952994684</v>
      </c>
      <c r="CC48" s="19" t="n">
        <f aca="false">(CC32-CC44-CC47-CC37-CC39)*(1-Time!CC20)</f>
        <v>116.403223024599</v>
      </c>
      <c r="CD48" s="19" t="n">
        <f aca="false">(CD32-CD44-CD47-CD37-CD39)*(1-Time!CD20)</f>
        <v>115.327676826184</v>
      </c>
      <c r="CE48" s="19" t="n">
        <f aca="false">(CE32-CE44-CE47-CE37-CE39)*(1-Time!CE20)</f>
        <v>114.241065683596</v>
      </c>
      <c r="CF48" s="19" t="n">
        <f aca="false">(CF32-CF44-CF47-CF37-CF39)*(1-Time!CF20)</f>
        <v>113.857760064061</v>
      </c>
      <c r="CG48" s="19" t="n">
        <f aca="false">(CG32-CG44-CG47-CG37-CG39)*(1-Time!CG20)</f>
        <v>142.112362901006</v>
      </c>
      <c r="CH48" s="19" t="n">
        <f aca="false">(CH32-CH44-CH47-CH37-CH39)*(1-Time!CH20)</f>
        <v>119.153667117229</v>
      </c>
      <c r="CI48" s="19" t="n">
        <f aca="false">(CI32-CI44-CI47-CI37-CI39)*(1-Time!CI20)</f>
        <v>124.61200465455</v>
      </c>
      <c r="CJ48" s="19" t="n">
        <f aca="false">(CJ32-CJ44-CJ47-CJ37-CJ39)*(1-Time!CJ20)</f>
        <v>123.586226936254</v>
      </c>
      <c r="CK48" s="19" t="n">
        <f aca="false">(CK32-CK44-CK47-CK37-CK39)*(1-Time!CK20)</f>
        <v>145.507193900089</v>
      </c>
      <c r="CL48" s="19" t="n">
        <f aca="false">(CL32-CL44-CL47-CL37-CL39)*(1-Time!CL20)</f>
        <v>133.966865818315</v>
      </c>
      <c r="CM48" s="19" t="n">
        <f aca="false">(CM32-CM44-CM47-CM37-CM39)*(1-Time!CM20)</f>
        <v>139.822490878482</v>
      </c>
      <c r="CN48" s="19" t="n">
        <f aca="false">(CN32-CN44-CN47-CN37-CN39)*(1-Time!CN20)</f>
        <v>139.557403854145</v>
      </c>
      <c r="CO48" s="19" t="n">
        <f aca="false">(CO32-CO44-CO47-CO37-CO39)*(1-Time!CO20)</f>
        <v>144.778832089402</v>
      </c>
      <c r="CP48" s="19" t="n">
        <f aca="false">(CP32-CP44-CP47-CP37-CP39)*(1-Time!CP20)</f>
        <v>157.063605300249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1136.49315662424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26.3465034318666</v>
      </c>
      <c r="AF14" s="19" t="n">
        <f aca="false">Waterfall!AF54*(1-Time!AF20)</f>
        <v>26.4236403323063</v>
      </c>
      <c r="AG14" s="19" t="n">
        <f aca="false">Waterfall!AG54*(1-Time!AG20)</f>
        <v>27.4700095479502</v>
      </c>
      <c r="AH14" s="19" t="n">
        <f aca="false">Waterfall!AH54*(1-Time!AH20)</f>
        <v>27.2852672922233</v>
      </c>
      <c r="AI14" s="19" t="n">
        <f aca="false">Waterfall!AI54*(1-Time!AI20)</f>
        <v>27.9578831738662</v>
      </c>
      <c r="AJ14" s="19" t="n">
        <f aca="false">Waterfall!AJ54*(1-Time!AJ20)</f>
        <v>27.9357713671638</v>
      </c>
      <c r="AK14" s="19" t="n">
        <f aca="false">Waterfall!AK54*(1-Time!AK20)</f>
        <v>28.7506186617573</v>
      </c>
      <c r="AL14" s="19" t="n">
        <f aca="false">Waterfall!AL54*(1-Time!AL20)</f>
        <v>28.8571514811739</v>
      </c>
      <c r="AM14" s="19" t="n">
        <f aca="false">Waterfall!AM54*(1-Time!AM20)</f>
        <v>29.8741944780293</v>
      </c>
      <c r="AN14" s="19" t="n">
        <f aca="false">Waterfall!AN54*(1-Time!AN20)</f>
        <v>29.8197641889707</v>
      </c>
      <c r="AO14" s="19" t="n">
        <f aca="false">Waterfall!AO54*(1-Time!AO20)</f>
        <v>30.695788010964</v>
      </c>
      <c r="AP14" s="19" t="n">
        <f aca="false">Waterfall!AP54*(1-Time!AP20)</f>
        <v>30.2942748551331</v>
      </c>
      <c r="AQ14" s="19" t="n">
        <f aca="false">Waterfall!AQ54*(1-Time!AQ20)</f>
        <v>30.8280077767069</v>
      </c>
      <c r="AR14" s="19" t="n">
        <f aca="false">Waterfall!AR54*(1-Time!AR20)</f>
        <v>30.8999576637953</v>
      </c>
      <c r="AS14" s="19" t="n">
        <f aca="false">Waterfall!AS54*(1-Time!AS20)</f>
        <v>31.5719530058271</v>
      </c>
      <c r="AT14" s="19" t="n">
        <f aca="false">Waterfall!AT54*(1-Time!AT20)</f>
        <v>31.2545973133457</v>
      </c>
      <c r="AU14" s="19" t="n">
        <f aca="false">Waterfall!AU54*(1-Time!AU20)</f>
        <v>31.8894653425392</v>
      </c>
      <c r="AV14" s="19" t="n">
        <f aca="false">Waterfall!AV54*(1-Time!AV20)</f>
        <v>31.344383824573</v>
      </c>
      <c r="AW14" s="19" t="n">
        <f aca="false">Waterfall!AW54*(1-Time!AW20)</f>
        <v>31.8536836425176</v>
      </c>
      <c r="AX14" s="19" t="n">
        <f aca="false">Waterfall!AX54*(1-Time!AX20)</f>
        <v>31.114896797543</v>
      </c>
      <c r="AY14" s="19" t="n">
        <f aca="false">Waterfall!AY54*(1-Time!AY20)</f>
        <v>31.334241249246</v>
      </c>
      <c r="AZ14" s="19" t="n">
        <f aca="false">Waterfall!AZ54*(1-Time!AZ20)</f>
        <v>30.7338763411765</v>
      </c>
      <c r="BA14" s="19" t="n">
        <f aca="false">Waterfall!BA54*(1-Time!BA20)</f>
        <v>30.7910258062837</v>
      </c>
      <c r="BB14" s="19" t="n">
        <f aca="false">Waterfall!BB54*(1-Time!BB20)</f>
        <v>29.8743376428335</v>
      </c>
      <c r="BC14" s="19" t="n">
        <f aca="false">Waterfall!BC54*(1-Time!BC20)</f>
        <v>30.1060400520456</v>
      </c>
      <c r="BD14" s="19" t="n">
        <f aca="false">Waterfall!BD54*(1-Time!BD20)</f>
        <v>28.8399761694855</v>
      </c>
      <c r="BE14" s="19" t="n">
        <f aca="false">Waterfall!BE54*(1-Time!BE20)</f>
        <v>28.5872793947793</v>
      </c>
      <c r="BF14" s="19" t="n">
        <f aca="false">Waterfall!BF54*(1-Time!BF20)</f>
        <v>27.0406516267493</v>
      </c>
      <c r="BG14" s="19" t="n">
        <f aca="false">Waterfall!BG54*(1-Time!BG20)</f>
        <v>26.3588069688158</v>
      </c>
      <c r="BH14" s="19" t="n">
        <f aca="false">Waterfall!BH54*(1-Time!BH20)</f>
        <v>24.7404079472809</v>
      </c>
      <c r="BI14" s="19" t="n">
        <f aca="false">Waterfall!BI54*(1-Time!BI20)</f>
        <v>23.5971617366592</v>
      </c>
      <c r="BJ14" s="19" t="n">
        <f aca="false">Waterfall!BJ54*(1-Time!BJ20)</f>
        <v>21.5887891103368</v>
      </c>
      <c r="BK14" s="19" t="n">
        <f aca="false">Waterfall!BK54*(1-Time!BK20)</f>
        <v>20.2455303306788</v>
      </c>
      <c r="BL14" s="19" t="n">
        <f aca="false">Waterfall!BL54*(1-Time!BL20)</f>
        <v>17.9646527796026</v>
      </c>
      <c r="BM14" s="19" t="n">
        <f aca="false">Waterfall!BM54*(1-Time!BM20)</f>
        <v>16.2164003679702</v>
      </c>
      <c r="BN14" s="19" t="n">
        <f aca="false">Waterfall!BN54*(1-Time!BN20)</f>
        <v>13.6321041164741</v>
      </c>
      <c r="BO14" s="19" t="n">
        <f aca="false">Waterfall!BO54*(1-Time!BO20)</f>
        <v>11.0629042560578</v>
      </c>
      <c r="BP14" s="19" t="n">
        <f aca="false">Waterfall!BP54*(1-Time!BP20)</f>
        <v>8.63279094396426</v>
      </c>
      <c r="BQ14" s="19" t="n">
        <f aca="false">Waterfall!BQ54*(1-Time!BQ20)</f>
        <v>6.28341741024449</v>
      </c>
      <c r="BR14" s="19" t="n">
        <f aca="false">Waterfall!BR54*(1-Time!BR20)</f>
        <v>3.42177144378369</v>
      </c>
      <c r="BS14" s="19" t="n">
        <f aca="false">Waterfall!BS54*(1-Time!BS20)</f>
        <v>0.654589902740635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2552.90502570966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-27.3780494732752</v>
      </c>
      <c r="AA15" s="19" t="n">
        <f aca="false">(Operations!AA32-Operations!AA36-Reserves!AA22-AA8-Debt!AA64-AA13-AA14-Debt!AA65)*(1-Time!AA20)</f>
        <v>-54.7536370010609</v>
      </c>
      <c r="AB15" s="19" t="n">
        <f aca="false">(Operations!AB32-Operations!AB36-Reserves!AB22-AB8-Debt!AB64-AB13-AB14-Debt!AB65)*(1-Time!AB20)</f>
        <v>-49.8273746774495</v>
      </c>
      <c r="AC15" s="19" t="n">
        <f aca="false">(Operations!AC32-Operations!AC36-Reserves!AC22-AC8-Debt!AC64-AC13-AC14-Debt!AC65)*(1-Time!AC20)</f>
        <v>-50.7086791662345</v>
      </c>
      <c r="AD15" s="19" t="n">
        <f aca="false">(Operations!AD32-Operations!AD36-Reserves!AD22-AD8-Debt!AD64-AD13-AD14-Debt!AD65)*(1-Time!AD20)</f>
        <v>-47.1787757948487</v>
      </c>
      <c r="AE15" s="19" t="n">
        <f aca="false">(Operations!AE32-Operations!AE36-Reserves!AE22-AE8-Debt!AE64-AE13-AE14-Debt!AE65)*(1-Time!AE20)</f>
        <v>-45.3487669104309</v>
      </c>
      <c r="AF15" s="19" t="n">
        <f aca="false">(Operations!AF32-Operations!AF36-Reserves!AF22-AF8-Debt!AF64-AF13-AF14-Debt!AF65)*(1-Time!AF20)</f>
        <v>-46.6221547146952</v>
      </c>
      <c r="AG15" s="19" t="n">
        <f aca="false">(Operations!AG32-Operations!AG36-Reserves!AG22-AG8-Debt!AG64-AG13-AG14-Debt!AG65)*(1-Time!AG20)</f>
        <v>-40.6543661570762</v>
      </c>
      <c r="AH15" s="19" t="n">
        <f aca="false">(Operations!AH32-Operations!AH36-Reserves!AH22-AH8-Debt!AH64-AH13-AH14-Debt!AH65)*(1-Time!AH20)</f>
        <v>-38.9458907553953</v>
      </c>
      <c r="AI15" s="19" t="n">
        <f aca="false">(Operations!AI32-Operations!AI36-Reserves!AI22-AI8-Debt!AI64-AI13-AI14-Debt!AI65)*(1-Time!AI20)</f>
        <v>-37.9616117167369</v>
      </c>
      <c r="AJ15" s="19" t="n">
        <f aca="false">(Operations!AJ32-Operations!AJ36-Reserves!AJ22-AJ8-Debt!AJ64-AJ13-AJ14-Debt!AJ65)*(1-Time!AJ20)</f>
        <v>-36.3354113372719</v>
      </c>
      <c r="AK15" s="19" t="n">
        <f aca="false">(Operations!AK32-Operations!AK36-Reserves!AK22-AK8-Debt!AK64-AK13-AK14-Debt!AK65)*(1-Time!AK20)</f>
        <v>-35.254284905863</v>
      </c>
      <c r="AL15" s="19" t="n">
        <f aca="false">(Operations!AL32-Operations!AL36-Reserves!AL22-AL8-Debt!AL64-AL13-AL14-Debt!AL65)*(1-Time!AL20)</f>
        <v>-33.5764792048943</v>
      </c>
      <c r="AM15" s="19" t="n">
        <f aca="false">(Operations!AM32-Operations!AM36-Reserves!AM22-AM8-Debt!AM64-AM13-AM14-Debt!AM65)*(1-Time!AM20)</f>
        <v>-32.4387367008711</v>
      </c>
      <c r="AN15" s="19" t="n">
        <f aca="false">(Operations!AN32-Operations!AN36-Reserves!AN22-AN8-Debt!AN64-AN13-AN14-Debt!AN65)*(1-Time!AN20)</f>
        <v>-30.5296509609048</v>
      </c>
      <c r="AO15" s="19" t="n">
        <f aca="false">(Operations!AO32-Operations!AO36-Reserves!AO22-AO8-Debt!AO64-AO13-AO14-Debt!AO65)*(1-Time!AO20)</f>
        <v>-48.3688277695225</v>
      </c>
      <c r="AP15" s="19" t="n">
        <f aca="false">(Operations!AP32-Operations!AP36-Reserves!AP22-AP8-Debt!AP64-AP13-AP14-Debt!AP65)*(1-Time!AP20)</f>
        <v>-26.7504836726613</v>
      </c>
      <c r="AQ15" s="19" t="n">
        <f aca="false">(Operations!AQ32-Operations!AQ36-Reserves!AQ22-AQ8-Debt!AQ64-AQ13-AQ14-Debt!AQ65)*(1-Time!AQ20)</f>
        <v>-24.7428966044998</v>
      </c>
      <c r="AR15" s="19" t="n">
        <f aca="false">(Operations!AR32-Operations!AR36-Reserves!AR22-AR8-Debt!AR64-AR13-AR14-Debt!AR65)*(1-Time!AR20)</f>
        <v>-22.6965110683283</v>
      </c>
      <c r="AS15" s="19" t="n">
        <f aca="false">(Operations!AS32-Operations!AS36-Reserves!AS22-AS8-Debt!AS64-AS13-AS14-Debt!AS65)*(1-Time!AS20)</f>
        <v>-20.7143495452964</v>
      </c>
      <c r="AT15" s="19" t="n">
        <f aca="false">(Operations!AT32-Operations!AT36-Reserves!AT22-AT8-Debt!AT64-AT13-AT14-Debt!AT65)*(1-Time!AT20)</f>
        <v>-18.3035605532217</v>
      </c>
      <c r="AU15" s="19" t="n">
        <f aca="false">(Operations!AU32-Operations!AU36-Reserves!AU22-AU8-Debt!AU64-AU13-AU14-Debt!AU65)*(1-Time!AU20)</f>
        <v>-15.9361151575449</v>
      </c>
      <c r="AV15" s="19" t="n">
        <f aca="false">(Operations!AV32-Operations!AV36-Reserves!AV22-AV8-Debt!AV64-AV13-AV14-Debt!AV65)*(1-Time!AV20)</f>
        <v>-13.2013982945643</v>
      </c>
      <c r="AW15" s="19" t="n">
        <f aca="false">(Operations!AW32-Operations!AW36-Reserves!AW22-AW8-Debt!AW64-AW13-AW14-Debt!AW65)*(1-Time!AW20)</f>
        <v>-72.60743783387</v>
      </c>
      <c r="AX15" s="19" t="n">
        <f aca="false">(Operations!AX32-Operations!AX36-Reserves!AX22-AX8-Debt!AX64-AX13-AX14-Debt!AX65)*(1-Time!AX20)</f>
        <v>-8.8530596801992</v>
      </c>
      <c r="AY15" s="19" t="n">
        <f aca="false">(Operations!AY32-Operations!AY36-Reserves!AY22-AY8-Debt!AY64-AY13-AY14-Debt!AY65)*(1-Time!AY20)</f>
        <v>-6.00132104417174</v>
      </c>
      <c r="AZ15" s="19" t="n">
        <f aca="false">(Operations!AZ32-Operations!AZ36-Reserves!AZ22-AZ8-Debt!AZ64-AZ13-AZ14-Debt!AZ65)*(1-Time!AZ20)</f>
        <v>-3.84547314998806</v>
      </c>
      <c r="BA15" s="19" t="n">
        <f aca="false">(Operations!BA32-Operations!BA36-Reserves!BA22-BA8-Debt!BA64-BA13-BA14-Debt!BA65)*(1-Time!BA20)</f>
        <v>-0.870571740268609</v>
      </c>
      <c r="BB15" s="19" t="n">
        <f aca="false">(Operations!BB32-Operations!BB36-Reserves!BB22-BB8-Debt!BB64-BB13-BB14-Debt!BB65)*(1-Time!BB20)</f>
        <v>1.46582573298157</v>
      </c>
      <c r="BC15" s="19" t="n">
        <f aca="false">(Operations!BC32-Operations!BC36-Reserves!BC22-BC8-Debt!BC64-BC13-BC14-Debt!BC65)*(1-Time!BC20)</f>
        <v>-45.0083011424914</v>
      </c>
      <c r="BD15" s="19" t="n">
        <f aca="false">(Operations!BD32-Operations!BD36-Reserves!BD22-BD8-Debt!BD64-BD13-BD14-Debt!BD65)*(1-Time!BD20)</f>
        <v>7.61276286587727</v>
      </c>
      <c r="BE15" s="19" t="n">
        <f aca="false">(Operations!BE32-Operations!BE36-Reserves!BE22-BE8-Debt!BE64-BE13-BE14-Debt!BE65)*(1-Time!BE20)</f>
        <v>-11.7340758614843</v>
      </c>
      <c r="BF15" s="19" t="n">
        <f aca="false">(Operations!BF32-Operations!BF36-Reserves!BF22-BF8-Debt!BF64-BF13-BF14-Debt!BF65)*(1-Time!BF20)</f>
        <v>15.0523895151337</v>
      </c>
      <c r="BG15" s="19" t="n">
        <f aca="false">(Operations!BG32-Operations!BG36-Reserves!BG22-BG8-Debt!BG64-BG13-BG14-Debt!BG65)*(1-Time!BG20)</f>
        <v>19.9115828677238</v>
      </c>
      <c r="BH15" s="19" t="n">
        <f aca="false">(Operations!BH32-Operations!BH36-Reserves!BH22-BH8-Debt!BH64-BH13-BH14-Debt!BH65)*(1-Time!BH20)</f>
        <v>23.6926845443197</v>
      </c>
      <c r="BI15" s="19" t="n">
        <f aca="false">(Operations!BI32-Operations!BI36-Reserves!BI22-BI8-Debt!BI64-BI13-BI14-Debt!BI65)*(1-Time!BI20)</f>
        <v>29.0550280584146</v>
      </c>
      <c r="BJ15" s="19" t="n">
        <f aca="false">(Operations!BJ32-Operations!BJ36-Reserves!BJ22-BJ8-Debt!BJ64-BJ13-BJ14-Debt!BJ65)*(1-Time!BJ20)</f>
        <v>33.0044409296496</v>
      </c>
      <c r="BK15" s="19" t="n">
        <f aca="false">(Operations!BK32-Operations!BK36-Reserves!BK22-BK8-Debt!BK64-BK13-BK14-Debt!BK65)*(1-Time!BK20)</f>
        <v>39.2330920987321</v>
      </c>
      <c r="BL15" s="19" t="n">
        <f aca="false">(Operations!BL32-Operations!BL36-Reserves!BL22-BL8-Debt!BL64-BL13-BL14-Debt!BL65)*(1-Time!BL20)</f>
        <v>43.5659029600835</v>
      </c>
      <c r="BM15" s="19" t="n">
        <f aca="false">(Operations!BM32-Operations!BM36-Reserves!BM22-BM8-Debt!BM64-BM13-BM14-Debt!BM65)*(1-Time!BM20)</f>
        <v>50.5169929958873</v>
      </c>
      <c r="BN15" s="19" t="n">
        <f aca="false">(Operations!BN32-Operations!BN36-Reserves!BN22-BN8-Debt!BN64-BN13-BN14-Debt!BN65)*(1-Time!BN20)</f>
        <v>55.2707613102363</v>
      </c>
      <c r="BO15" s="19" t="n">
        <f aca="false">(Operations!BO32-Operations!BO36-Reserves!BO22-BO8-Debt!BO64-BO13-BO14-Debt!BO65)*(1-Time!BO20)</f>
        <v>63.4246275234297</v>
      </c>
      <c r="BP15" s="19" t="n">
        <f aca="false">(Operations!BP32-Operations!BP36-Reserves!BP22-BP8-Debt!BP64-BP13-BP14-Debt!BP65)*(1-Time!BP20)</f>
        <v>68.395021450638</v>
      </c>
      <c r="BQ15" s="19" t="n">
        <f aca="false">(Operations!BQ32-Operations!BQ36-Reserves!BQ22-BQ8-Debt!BQ64-BQ13-BQ14-Debt!BQ65)*(1-Time!BQ20)</f>
        <v>76.0305025695161</v>
      </c>
      <c r="BR15" s="19" t="n">
        <f aca="false">(Operations!BR32-Operations!BR36-Reserves!BR22-BR8-Debt!BR64-BR13-BR14-Debt!BR65)*(1-Time!BR20)</f>
        <v>79.4423345772068</v>
      </c>
      <c r="BS15" s="19" t="n">
        <f aca="false">(Operations!BS32-Operations!BS36-Reserves!BS22-BS8-Debt!BS64-BS13-BS14-Debt!BS65)*(1-Time!BS20)</f>
        <v>88.2856771004548</v>
      </c>
      <c r="BT15" s="19" t="n">
        <f aca="false">(Operations!BT32-Operations!BT36-Reserves!BT22-BT8-Debt!BT64-BT13-BT14-Debt!BT65)*(1-Time!BT20)</f>
        <v>89.5358057462894</v>
      </c>
      <c r="BU15" s="19" t="n">
        <f aca="false">(Operations!BU32-Operations!BU36-Reserves!BU22-BU8-Debt!BU64-BU13-BU14-Debt!BU65)*(1-Time!BU20)</f>
        <v>-15.6597631779268</v>
      </c>
      <c r="BV15" s="19" t="n">
        <f aca="false">(Operations!BV32-Operations!BV36-Reserves!BV22-BV8-Debt!BV64-BV13-BV14-Debt!BV65)*(1-Time!BV20)</f>
        <v>96.819758149567</v>
      </c>
      <c r="BW15" s="19" t="n">
        <f aca="false">(Operations!BW32-Operations!BW36-Reserves!BW22-BW8-Debt!BW64-BW13-BW14-Debt!BW65)*(1-Time!BW20)</f>
        <v>103.820890156022</v>
      </c>
      <c r="BX15" s="19" t="n">
        <f aca="false">(Operations!BX32-Operations!BX36-Reserves!BX22-BX8-Debt!BX64-BX13-BX14-Debt!BX65)*(1-Time!BX20)</f>
        <v>105.362081622522</v>
      </c>
      <c r="BY15" s="19" t="n">
        <f aca="false">(Operations!BY32-Operations!BY36-Reserves!BY22-BY8-Debt!BY64-BY13-BY14-Debt!BY65)*(1-Time!BY20)</f>
        <v>112.14287499783</v>
      </c>
      <c r="BZ15" s="19" t="n">
        <f aca="false">(Operations!BZ32-Operations!BZ36-Reserves!BZ22-BZ8-Debt!BZ64-BZ13-BZ14-Debt!BZ65)*(1-Time!BZ20)</f>
        <v>113.13701188084</v>
      </c>
      <c r="CA15" s="19" t="n">
        <f aca="false">(Operations!CA32-Operations!CA36-Reserves!CA22-CA8-Debt!CA64-CA13-CA14-Debt!CA65)*(1-Time!CA20)</f>
        <v>120.92107494246</v>
      </c>
      <c r="CB15" s="19" t="n">
        <f aca="false">(Operations!CB32-Operations!CB36-Reserves!CB22-CB8-Debt!CB64-CB13-CB14-Debt!CB65)*(1-Time!CB20)</f>
        <v>121.837918308032</v>
      </c>
      <c r="CC15" s="19" t="n">
        <f aca="false">(Operations!CC32-Operations!CC36-Reserves!CC22-CC8-Debt!CC64-CC13-CC14-Debt!CC65)*(1-Time!CC20)</f>
        <v>129.886743142261</v>
      </c>
      <c r="CD15" s="19" t="n">
        <f aca="false">(Operations!CD32-Operations!CD36-Reserves!CD22-CD8-Debt!CD64-CD13-CD14-Debt!CD65)*(1-Time!CD20)</f>
        <v>130.872925595908</v>
      </c>
      <c r="CE15" s="19" t="n">
        <f aca="false">(Operations!CE32-Operations!CE36-Reserves!CE22-CE8-Debt!CE64-CE13-CE14-Debt!CE65)*(1-Time!CE20)</f>
        <v>139.34673101711</v>
      </c>
      <c r="CF15" s="19" t="n">
        <f aca="false">(Operations!CF32-Operations!CF36-Reserves!CF22-CF8-Debt!CF64-CF13-CF14-Debt!CF65)*(1-Time!CF20)</f>
        <v>141.118652688188</v>
      </c>
      <c r="CG15" s="19" t="n">
        <f aca="false">(Operations!CG32-Operations!CG36-Reserves!CG22-CG8-Debt!CG64-CG13-CG14-Debt!CG65)*(1-Time!CG20)</f>
        <v>76.9831559616934</v>
      </c>
      <c r="CH15" s="19" t="n">
        <f aca="false">(Operations!CH32-Operations!CH36-Reserves!CH22-CH8-Debt!CH64-CH13-CH14-Debt!CH65)*(1-Time!CH20)</f>
        <v>149.928435850356</v>
      </c>
      <c r="CI15" s="19" t="n">
        <f aca="false">(Operations!CI32-Operations!CI36-Reserves!CI22-CI8-Debt!CI64-CI13-CI14-Debt!CI65)*(1-Time!CI20)</f>
        <v>157.921112426499</v>
      </c>
      <c r="CJ15" s="19" t="n">
        <f aca="false">(Operations!CJ32-Operations!CJ36-Reserves!CJ22-CJ8-Debt!CJ64-CJ13-CJ14-Debt!CJ65)*(1-Time!CJ20)</f>
        <v>157.632639286329</v>
      </c>
      <c r="CK15" s="19" t="n">
        <f aca="false">(Operations!CK32-Operations!CK36-Reserves!CK22-CK8-Debt!CK64-CK13-CK14-Debt!CK65)*(1-Time!CK20)</f>
        <v>131.063530250245</v>
      </c>
      <c r="CL15" s="19" t="n">
        <f aca="false">(Operations!CL32-Operations!CL36-Reserves!CL22-CL8-Debt!CL64-CL13-CL14-Debt!CL65)*(1-Time!CL20)</f>
        <v>165.694924133545</v>
      </c>
      <c r="CM15" s="19" t="n">
        <f aca="false">(Operations!CM32-Operations!CM36-Reserves!CM22-CM8-Debt!CM64-CM13-CM14-Debt!CM65)*(1-Time!CM20)</f>
        <v>174.425273653472</v>
      </c>
      <c r="CN15" s="19" t="n">
        <f aca="false">(Operations!CN32-Operations!CN36-Reserves!CN22-CN8-Debt!CN64-CN13-CN14-Debt!CN65)*(1-Time!CN20)</f>
        <v>175.06532595418</v>
      </c>
      <c r="CO15" s="19" t="n">
        <f aca="false">(Operations!CO32-Operations!CO36-Reserves!CO22-CO8-Debt!CO64-CO13-CO14-Debt!CO65)*(1-Time!CO20)</f>
        <v>183.183224911742</v>
      </c>
      <c r="CP15" s="19" t="n">
        <f aca="false">(Operations!CP32-Operations!CP36-Reserves!CP22-CP8-Debt!CP64-CP13-CP14-Debt!CP65)*(1-Time!CP20)</f>
        <v>45.0533237073286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27.3780494732752</v>
      </c>
      <c r="AB16" s="19" t="n">
        <f aca="false">AA21</f>
        <v>82.1316864743361</v>
      </c>
      <c r="AC16" s="19" t="n">
        <f aca="false">AB21</f>
        <v>131.959061151786</v>
      </c>
      <c r="AD16" s="19" t="n">
        <f aca="false">AC21</f>
        <v>182.66774031802</v>
      </c>
      <c r="AE16" s="19" t="n">
        <f aca="false">AD21</f>
        <v>229.846516112869</v>
      </c>
      <c r="AF16" s="19" t="n">
        <f aca="false">AE21</f>
        <v>275.1952830233</v>
      </c>
      <c r="AG16" s="19" t="n">
        <f aca="false">AF21</f>
        <v>321.817437737995</v>
      </c>
      <c r="AH16" s="19" t="n">
        <f aca="false">AG21</f>
        <v>362.471803895071</v>
      </c>
      <c r="AI16" s="19" t="n">
        <f aca="false">AH21</f>
        <v>401.417694650467</v>
      </c>
      <c r="AJ16" s="19" t="n">
        <f aca="false">AI21</f>
        <v>439.379306367203</v>
      </c>
      <c r="AK16" s="19" t="n">
        <f aca="false">AJ21</f>
        <v>475.714717704475</v>
      </c>
      <c r="AL16" s="19" t="n">
        <f aca="false">AK21</f>
        <v>510.969002610338</v>
      </c>
      <c r="AM16" s="19" t="n">
        <f aca="false">AL21</f>
        <v>544.545481815232</v>
      </c>
      <c r="AN16" s="19" t="n">
        <f aca="false">AM21</f>
        <v>576.984218516103</v>
      </c>
      <c r="AO16" s="19" t="n">
        <f aca="false">AN21</f>
        <v>607.513869477008</v>
      </c>
      <c r="AP16" s="19" t="n">
        <f aca="false">AO21</f>
        <v>655.882697246531</v>
      </c>
      <c r="AQ16" s="19" t="n">
        <f aca="false">AP21</f>
        <v>682.633180919192</v>
      </c>
      <c r="AR16" s="19" t="n">
        <f aca="false">AQ21</f>
        <v>707.376077523692</v>
      </c>
      <c r="AS16" s="19" t="n">
        <f aca="false">AR21</f>
        <v>730.07258859202</v>
      </c>
      <c r="AT16" s="19" t="n">
        <f aca="false">AS21</f>
        <v>750.786938137316</v>
      </c>
      <c r="AU16" s="19" t="n">
        <f aca="false">AT21</f>
        <v>769.090498690538</v>
      </c>
      <c r="AV16" s="19" t="n">
        <f aca="false">AU21</f>
        <v>785.026613848083</v>
      </c>
      <c r="AW16" s="19" t="n">
        <f aca="false">AV21</f>
        <v>798.228012142647</v>
      </c>
      <c r="AX16" s="19" t="n">
        <f aca="false">AW21</f>
        <v>870.835449976517</v>
      </c>
      <c r="AY16" s="19" t="n">
        <f aca="false">AX21</f>
        <v>879.688509656716</v>
      </c>
      <c r="AZ16" s="19" t="n">
        <f aca="false">AY21</f>
        <v>885.689830700888</v>
      </c>
      <c r="BA16" s="19" t="n">
        <f aca="false">AZ21</f>
        <v>889.535303850876</v>
      </c>
      <c r="BB16" s="19" t="n">
        <f aca="false">BA21</f>
        <v>890.405875591145</v>
      </c>
      <c r="BC16" s="19" t="n">
        <f aca="false">BB21</f>
        <v>888.940049858163</v>
      </c>
      <c r="BD16" s="19" t="n">
        <f aca="false">BC21</f>
        <v>933.948351000655</v>
      </c>
      <c r="BE16" s="19" t="n">
        <f aca="false">BD21</f>
        <v>926.335588134777</v>
      </c>
      <c r="BF16" s="19" t="n">
        <f aca="false">BE21</f>
        <v>938.069663996262</v>
      </c>
      <c r="BG16" s="19" t="n">
        <f aca="false">BF21</f>
        <v>923.017274481128</v>
      </c>
      <c r="BH16" s="19" t="n">
        <f aca="false">BG21</f>
        <v>903.105691613404</v>
      </c>
      <c r="BI16" s="19" t="n">
        <f aca="false">BH21</f>
        <v>879.413007069085</v>
      </c>
      <c r="BJ16" s="19" t="n">
        <f aca="false">BI21</f>
        <v>850.35797901067</v>
      </c>
      <c r="BK16" s="19" t="n">
        <f aca="false">BJ21</f>
        <v>817.35353808102</v>
      </c>
      <c r="BL16" s="19" t="n">
        <f aca="false">BK21</f>
        <v>778.120445982288</v>
      </c>
      <c r="BM16" s="19" t="n">
        <f aca="false">BL21</f>
        <v>734.554543022205</v>
      </c>
      <c r="BN16" s="19" t="n">
        <f aca="false">BM21</f>
        <v>684.037550026318</v>
      </c>
      <c r="BO16" s="19" t="n">
        <f aca="false">BN21</f>
        <v>628.766788716081</v>
      </c>
      <c r="BP16" s="19" t="n">
        <f aca="false">BO21</f>
        <v>565.342161192652</v>
      </c>
      <c r="BQ16" s="19" t="n">
        <f aca="false">BP21</f>
        <v>496.947139742013</v>
      </c>
      <c r="BR16" s="19" t="n">
        <f aca="false">BQ21</f>
        <v>420.916637172497</v>
      </c>
      <c r="BS16" s="19" t="n">
        <f aca="false">BR21</f>
        <v>341.474302595291</v>
      </c>
      <c r="BT16" s="19" t="n">
        <f aca="false">BS21</f>
        <v>253.188625494836</v>
      </c>
      <c r="BU16" s="19" t="n">
        <f aca="false">BT21</f>
        <v>163.652819748546</v>
      </c>
      <c r="BV16" s="19" t="n">
        <f aca="false">BU21</f>
        <v>179.312582926473</v>
      </c>
      <c r="BW16" s="19" t="n">
        <f aca="false">BV21</f>
        <v>82.4928247769062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962.808015773047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0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1.46582573298157</v>
      </c>
      <c r="BC17" s="19" t="n">
        <f aca="false">MIN(BC16,MAX(0,BC15))</f>
        <v>0</v>
      </c>
      <c r="BD17" s="19" t="n">
        <f aca="false">MIN(BD16,MAX(0,BD15))</f>
        <v>7.61276286587727</v>
      </c>
      <c r="BE17" s="19" t="n">
        <f aca="false">MIN(BE16,MAX(0,BE15))</f>
        <v>0</v>
      </c>
      <c r="BF17" s="19" t="n">
        <f aca="false">MIN(BF16,MAX(0,BF15))</f>
        <v>15.0523895151337</v>
      </c>
      <c r="BG17" s="19" t="n">
        <f aca="false">MIN(BG16,MAX(0,BG15))</f>
        <v>19.9115828677238</v>
      </c>
      <c r="BH17" s="19" t="n">
        <f aca="false">MIN(BH16,MAX(0,BH15))</f>
        <v>23.6926845443197</v>
      </c>
      <c r="BI17" s="19" t="n">
        <f aca="false">MIN(BI16,MAX(0,BI15))</f>
        <v>29.0550280584146</v>
      </c>
      <c r="BJ17" s="19" t="n">
        <f aca="false">MIN(BJ16,MAX(0,BJ15))</f>
        <v>33.0044409296496</v>
      </c>
      <c r="BK17" s="19" t="n">
        <f aca="false">MIN(BK16,MAX(0,BK15))</f>
        <v>39.2330920987321</v>
      </c>
      <c r="BL17" s="19" t="n">
        <f aca="false">MIN(BL16,MAX(0,BL15))</f>
        <v>43.5659029600835</v>
      </c>
      <c r="BM17" s="19" t="n">
        <f aca="false">MIN(BM16,MAX(0,BM15))</f>
        <v>50.5169929958873</v>
      </c>
      <c r="BN17" s="19" t="n">
        <f aca="false">MIN(BN16,MAX(0,BN15))</f>
        <v>55.2707613102363</v>
      </c>
      <c r="BO17" s="19" t="n">
        <f aca="false">MIN(BO16,MAX(0,BO15))</f>
        <v>63.4246275234297</v>
      </c>
      <c r="BP17" s="19" t="n">
        <f aca="false">MIN(BP16,MAX(0,BP15))</f>
        <v>68.395021450638</v>
      </c>
      <c r="BQ17" s="19" t="n">
        <f aca="false">MIN(BQ16,MAX(0,BQ15))</f>
        <v>76.0305025695161</v>
      </c>
      <c r="BR17" s="19" t="n">
        <f aca="false">MIN(BR16,MAX(0,BR15))</f>
        <v>79.4423345772068</v>
      </c>
      <c r="BS17" s="19" t="n">
        <f aca="false">MIN(BS16,MAX(0,BS15))</f>
        <v>88.2856771004548</v>
      </c>
      <c r="BT17" s="19" t="n">
        <f aca="false">MIN(BT16,MAX(0,BT15))</f>
        <v>89.5358057462894</v>
      </c>
      <c r="BU17" s="19" t="n">
        <f aca="false">MIN(BU16,MAX(0,BU15))</f>
        <v>0</v>
      </c>
      <c r="BV17" s="19" t="n">
        <f aca="false">MIN(BV16,MAX(0,BV15))</f>
        <v>96.819758149567</v>
      </c>
      <c r="BW17" s="19" t="n">
        <f aca="false">MIN(BW16,MAX(0,BW15))</f>
        <v>82.4928247769062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962.808015773048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27.3780494732752</v>
      </c>
      <c r="AA18" s="19" t="n">
        <f aca="false">MAX(0,-AA15)</f>
        <v>54.7536370010609</v>
      </c>
      <c r="AB18" s="19" t="n">
        <f aca="false">MAX(0,-AB15)</f>
        <v>49.8273746774495</v>
      </c>
      <c r="AC18" s="19" t="n">
        <f aca="false">MAX(0,-AC15)</f>
        <v>50.7086791662345</v>
      </c>
      <c r="AD18" s="19" t="n">
        <f aca="false">MAX(0,-AD15)</f>
        <v>47.1787757948487</v>
      </c>
      <c r="AE18" s="19" t="n">
        <f aca="false">MAX(0,-AE15)</f>
        <v>45.3487669104309</v>
      </c>
      <c r="AF18" s="19" t="n">
        <f aca="false">MAX(0,-AF15)</f>
        <v>46.6221547146952</v>
      </c>
      <c r="AG18" s="19" t="n">
        <f aca="false">MAX(0,-AG15)</f>
        <v>40.6543661570762</v>
      </c>
      <c r="AH18" s="19" t="n">
        <f aca="false">MAX(0,-AH15)</f>
        <v>38.9458907553953</v>
      </c>
      <c r="AI18" s="19" t="n">
        <f aca="false">MAX(0,-AI15)</f>
        <v>37.9616117167369</v>
      </c>
      <c r="AJ18" s="19" t="n">
        <f aca="false">MAX(0,-AJ15)</f>
        <v>36.3354113372719</v>
      </c>
      <c r="AK18" s="19" t="n">
        <f aca="false">MAX(0,-AK15)</f>
        <v>35.254284905863</v>
      </c>
      <c r="AL18" s="19" t="n">
        <f aca="false">MAX(0,-AL15)</f>
        <v>33.5764792048943</v>
      </c>
      <c r="AM18" s="19" t="n">
        <f aca="false">MAX(0,-AM15)</f>
        <v>32.4387367008711</v>
      </c>
      <c r="AN18" s="19" t="n">
        <f aca="false">MAX(0,-AN15)</f>
        <v>30.5296509609048</v>
      </c>
      <c r="AO18" s="19" t="n">
        <f aca="false">MAX(0,-AO15)</f>
        <v>48.3688277695225</v>
      </c>
      <c r="AP18" s="19" t="n">
        <f aca="false">MAX(0,-AP15)</f>
        <v>26.7504836726613</v>
      </c>
      <c r="AQ18" s="19" t="n">
        <f aca="false">MAX(0,-AQ15)</f>
        <v>24.7428966044998</v>
      </c>
      <c r="AR18" s="19" t="n">
        <f aca="false">MAX(0,-AR15)</f>
        <v>22.6965110683283</v>
      </c>
      <c r="AS18" s="19" t="n">
        <f aca="false">MAX(0,-AS15)</f>
        <v>20.7143495452964</v>
      </c>
      <c r="AT18" s="19" t="n">
        <f aca="false">MAX(0,-AT15)</f>
        <v>18.3035605532217</v>
      </c>
      <c r="AU18" s="19" t="n">
        <f aca="false">MAX(0,-AU15)</f>
        <v>15.9361151575449</v>
      </c>
      <c r="AV18" s="19" t="n">
        <f aca="false">MAX(0,-AV15)</f>
        <v>13.2013982945643</v>
      </c>
      <c r="AW18" s="19" t="n">
        <f aca="false">MAX(0,-AW15)</f>
        <v>72.60743783387</v>
      </c>
      <c r="AX18" s="19" t="n">
        <f aca="false">MAX(0,-AX15)</f>
        <v>8.8530596801992</v>
      </c>
      <c r="AY18" s="19" t="n">
        <f aca="false">MAX(0,-AY15)</f>
        <v>6.00132104417174</v>
      </c>
      <c r="AZ18" s="19" t="n">
        <f aca="false">MAX(0,-AZ15)</f>
        <v>3.84547314998806</v>
      </c>
      <c r="BA18" s="19" t="n">
        <f aca="false">MAX(0,-BA15)</f>
        <v>0.870571740268609</v>
      </c>
      <c r="BB18" s="19" t="n">
        <f aca="false">MAX(0,-BB15)</f>
        <v>0</v>
      </c>
      <c r="BC18" s="19" t="n">
        <f aca="false">MAX(0,-BC15)</f>
        <v>45.0083011424914</v>
      </c>
      <c r="BD18" s="19" t="n">
        <f aca="false">MAX(0,-BD15)</f>
        <v>0</v>
      </c>
      <c r="BE18" s="19" t="n">
        <f aca="false">MAX(0,-BE15)</f>
        <v>11.7340758614843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15.6597631779268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27.3780494732752</v>
      </c>
      <c r="AA21" s="19" t="n">
        <f aca="false">AA16-AA17+AA18-AA20</f>
        <v>82.1316864743361</v>
      </c>
      <c r="AB21" s="19" t="n">
        <f aca="false">AB16-AB17+AB18-AB20</f>
        <v>131.959061151786</v>
      </c>
      <c r="AC21" s="19" t="n">
        <f aca="false">AC16-AC17+AC18-AC20</f>
        <v>182.66774031802</v>
      </c>
      <c r="AD21" s="19" t="n">
        <f aca="false">AD16-AD17+AD18-AD20</f>
        <v>229.846516112869</v>
      </c>
      <c r="AE21" s="19" t="n">
        <f aca="false">AE16-AE17+AE18-AE20</f>
        <v>275.1952830233</v>
      </c>
      <c r="AF21" s="19" t="n">
        <f aca="false">AF16-AF17+AF18-AF20</f>
        <v>321.817437737995</v>
      </c>
      <c r="AG21" s="19" t="n">
        <f aca="false">AG16-AG17+AG18-AG20</f>
        <v>362.471803895071</v>
      </c>
      <c r="AH21" s="19" t="n">
        <f aca="false">AH16-AH17+AH18-AH20</f>
        <v>401.417694650467</v>
      </c>
      <c r="AI21" s="19" t="n">
        <f aca="false">AI16-AI17+AI18-AI20</f>
        <v>439.379306367203</v>
      </c>
      <c r="AJ21" s="19" t="n">
        <f aca="false">AJ16-AJ17+AJ18-AJ20</f>
        <v>475.714717704475</v>
      </c>
      <c r="AK21" s="19" t="n">
        <f aca="false">AK16-AK17+AK18-AK20</f>
        <v>510.969002610338</v>
      </c>
      <c r="AL21" s="19" t="n">
        <f aca="false">AL16-AL17+AL18-AL20</f>
        <v>544.545481815232</v>
      </c>
      <c r="AM21" s="19" t="n">
        <f aca="false">AM16-AM17+AM18-AM20</f>
        <v>576.984218516103</v>
      </c>
      <c r="AN21" s="19" t="n">
        <f aca="false">AN16-AN17+AN18-AN20</f>
        <v>607.513869477008</v>
      </c>
      <c r="AO21" s="19" t="n">
        <f aca="false">AO16-AO17+AO18-AO20</f>
        <v>655.882697246531</v>
      </c>
      <c r="AP21" s="19" t="n">
        <f aca="false">AP16-AP17+AP18-AP20</f>
        <v>682.633180919192</v>
      </c>
      <c r="AQ21" s="19" t="n">
        <f aca="false">AQ16-AQ17+AQ18-AQ20</f>
        <v>707.376077523692</v>
      </c>
      <c r="AR21" s="19" t="n">
        <f aca="false">AR16-AR17+AR18-AR20</f>
        <v>730.07258859202</v>
      </c>
      <c r="AS21" s="19" t="n">
        <f aca="false">AS16-AS17+AS18-AS20</f>
        <v>750.786938137316</v>
      </c>
      <c r="AT21" s="19" t="n">
        <f aca="false">AT16-AT17+AT18-AT20</f>
        <v>769.090498690538</v>
      </c>
      <c r="AU21" s="19" t="n">
        <f aca="false">AU16-AU17+AU18-AU20</f>
        <v>785.026613848083</v>
      </c>
      <c r="AV21" s="19" t="n">
        <f aca="false">AV16-AV17+AV18-AV20</f>
        <v>798.228012142647</v>
      </c>
      <c r="AW21" s="19" t="n">
        <f aca="false">AW16-AW17+AW18-AW20</f>
        <v>870.835449976517</v>
      </c>
      <c r="AX21" s="19" t="n">
        <f aca="false">AX16-AX17+AX18-AX20</f>
        <v>879.688509656716</v>
      </c>
      <c r="AY21" s="19" t="n">
        <f aca="false">AY16-AY17+AY18-AY20</f>
        <v>885.689830700888</v>
      </c>
      <c r="AZ21" s="19" t="n">
        <f aca="false">AZ16-AZ17+AZ18-AZ20</f>
        <v>889.535303850876</v>
      </c>
      <c r="BA21" s="19" t="n">
        <f aca="false">BA16-BA17+BA18-BA20</f>
        <v>890.405875591145</v>
      </c>
      <c r="BB21" s="19" t="n">
        <f aca="false">BB16-BB17+BB18-BB20</f>
        <v>888.940049858163</v>
      </c>
      <c r="BC21" s="19" t="n">
        <f aca="false">BC16-BC17+BC18-BC20</f>
        <v>933.948351000655</v>
      </c>
      <c r="BD21" s="19" t="n">
        <f aca="false">BD16-BD17+BD18-BD20</f>
        <v>926.335588134777</v>
      </c>
      <c r="BE21" s="19" t="n">
        <f aca="false">BE16-BE17+BE18-BE20</f>
        <v>938.069663996262</v>
      </c>
      <c r="BF21" s="19" t="n">
        <f aca="false">BF16-BF17+BF18-BF20</f>
        <v>923.017274481128</v>
      </c>
      <c r="BG21" s="19" t="n">
        <f aca="false">BG16-BG17+BG18-BG20</f>
        <v>903.105691613404</v>
      </c>
      <c r="BH21" s="19" t="n">
        <f aca="false">BH16-BH17+BH18-BH20</f>
        <v>879.413007069085</v>
      </c>
      <c r="BI21" s="19" t="n">
        <f aca="false">BI16-BI17+BI18-BI20</f>
        <v>850.35797901067</v>
      </c>
      <c r="BJ21" s="19" t="n">
        <f aca="false">BJ16-BJ17+BJ18-BJ20</f>
        <v>817.35353808102</v>
      </c>
      <c r="BK21" s="19" t="n">
        <f aca="false">BK16-BK17+BK18-BK20</f>
        <v>778.120445982288</v>
      </c>
      <c r="BL21" s="19" t="n">
        <f aca="false">BL16-BL17+BL18-BL20</f>
        <v>734.554543022205</v>
      </c>
      <c r="BM21" s="19" t="n">
        <f aca="false">BM16-BM17+BM18-BM20</f>
        <v>684.037550026318</v>
      </c>
      <c r="BN21" s="19" t="n">
        <f aca="false">BN16-BN17+BN18-BN20</f>
        <v>628.766788716081</v>
      </c>
      <c r="BO21" s="19" t="n">
        <f aca="false">BO16-BO17+BO18-BO20</f>
        <v>565.342161192652</v>
      </c>
      <c r="BP21" s="19" t="n">
        <f aca="false">BP16-BP17+BP18-BP20</f>
        <v>496.947139742013</v>
      </c>
      <c r="BQ21" s="19" t="n">
        <f aca="false">BQ16-BQ17+BQ18-BQ20</f>
        <v>420.916637172497</v>
      </c>
      <c r="BR21" s="19" t="n">
        <f aca="false">BR16-BR17+BR18-BR20</f>
        <v>341.474302595291</v>
      </c>
      <c r="BS21" s="19" t="n">
        <f aca="false">BS16-BS17+BS18-BS20</f>
        <v>253.188625494836</v>
      </c>
      <c r="BT21" s="19" t="n">
        <f aca="false">BT16-BT17+BT18-BT20</f>
        <v>163.652819748546</v>
      </c>
      <c r="BU21" s="19" t="n">
        <f aca="false">BU16-BU17+BU18-BU20</f>
        <v>179.312582926473</v>
      </c>
      <c r="BV21" s="19" t="n">
        <f aca="false">BV16-BV17+BV18-BV20</f>
        <v>82.4928247769062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2552.90502570966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0</v>
      </c>
      <c r="BR22" s="19" t="n">
        <f aca="false">MAX(0,BR15)-BR17</f>
        <v>0</v>
      </c>
      <c r="BS22" s="19" t="n">
        <f aca="false">MAX(0,BS15)-BS17</f>
        <v>0</v>
      </c>
      <c r="BT22" s="19" t="n">
        <f aca="false">MAX(0,BT15)-BT17</f>
        <v>0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21.3280653791162</v>
      </c>
      <c r="BX22" s="19" t="n">
        <f aca="false">MAX(0,BX15)-BX17</f>
        <v>105.362081622522</v>
      </c>
      <c r="BY22" s="19" t="n">
        <f aca="false">MAX(0,BY15)-BY17</f>
        <v>112.14287499783</v>
      </c>
      <c r="BZ22" s="19" t="n">
        <f aca="false">MAX(0,BZ15)-BZ17</f>
        <v>113.13701188084</v>
      </c>
      <c r="CA22" s="19" t="n">
        <f aca="false">MAX(0,CA15)-CA17</f>
        <v>120.92107494246</v>
      </c>
      <c r="CB22" s="19" t="n">
        <f aca="false">MAX(0,CB15)-CB17</f>
        <v>121.837918308032</v>
      </c>
      <c r="CC22" s="19" t="n">
        <f aca="false">MAX(0,CC15)-CC17</f>
        <v>129.886743142261</v>
      </c>
      <c r="CD22" s="19" t="n">
        <f aca="false">MAX(0,CD15)-CD17</f>
        <v>130.872925595908</v>
      </c>
      <c r="CE22" s="19" t="n">
        <f aca="false">MAX(0,CE15)-CE17</f>
        <v>139.34673101711</v>
      </c>
      <c r="CF22" s="19" t="n">
        <f aca="false">MAX(0,CF15)-CF17</f>
        <v>141.118652688188</v>
      </c>
      <c r="CG22" s="19" t="n">
        <f aca="false">MAX(0,CG15)-CG17</f>
        <v>76.9831559616934</v>
      </c>
      <c r="CH22" s="19" t="n">
        <f aca="false">MAX(0,CH15)-CH17</f>
        <v>149.928435850356</v>
      </c>
      <c r="CI22" s="19" t="n">
        <f aca="false">MAX(0,CI15)-CI17</f>
        <v>157.921112426499</v>
      </c>
      <c r="CJ22" s="19" t="n">
        <f aca="false">MAX(0,CJ15)-CJ17</f>
        <v>157.632639286329</v>
      </c>
      <c r="CK22" s="19" t="n">
        <f aca="false">MAX(0,CK15)-CK17</f>
        <v>131.063530250245</v>
      </c>
      <c r="CL22" s="19" t="n">
        <f aca="false">MAX(0,CL15)-CL17</f>
        <v>165.694924133545</v>
      </c>
      <c r="CM22" s="19" t="n">
        <f aca="false">MAX(0,CM15)-CM17</f>
        <v>174.425273653472</v>
      </c>
      <c r="CN22" s="19" t="n">
        <f aca="false">MAX(0,CN15)-CN17</f>
        <v>175.06532595418</v>
      </c>
      <c r="CO22" s="19" t="n">
        <f aca="false">MAX(0,CO15)-CO17</f>
        <v>183.183224911742</v>
      </c>
      <c r="CP22" s="19" t="n">
        <f aca="false">MAX(0,CP15)-CP17</f>
        <v>45.0533237073286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765.871507712898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0</v>
      </c>
      <c r="BR23" s="19" t="n">
        <f aca="false">Inputs!$F$158*BR22</f>
        <v>0</v>
      </c>
      <c r="BS23" s="19" t="n">
        <f aca="false">Inputs!$F$158*BS22</f>
        <v>0</v>
      </c>
      <c r="BT23" s="19" t="n">
        <f aca="false">Inputs!$F$158*BT22</f>
        <v>0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6.39841961373486</v>
      </c>
      <c r="BX23" s="19" t="n">
        <f aca="false">Inputs!$F$158*BX22</f>
        <v>31.6086244867567</v>
      </c>
      <c r="BY23" s="19" t="n">
        <f aca="false">Inputs!$F$158*BY22</f>
        <v>33.642862499349</v>
      </c>
      <c r="BZ23" s="19" t="n">
        <f aca="false">Inputs!$F$158*BZ22</f>
        <v>33.9411035642519</v>
      </c>
      <c r="CA23" s="19" t="n">
        <f aca="false">Inputs!$F$158*CA22</f>
        <v>36.2763224827381</v>
      </c>
      <c r="CB23" s="19" t="n">
        <f aca="false">Inputs!$F$158*CB22</f>
        <v>36.5513754924097</v>
      </c>
      <c r="CC23" s="19" t="n">
        <f aca="false">Inputs!$F$158*CC22</f>
        <v>38.9660229426784</v>
      </c>
      <c r="CD23" s="19" t="n">
        <f aca="false">Inputs!$F$158*CD22</f>
        <v>39.2618776787724</v>
      </c>
      <c r="CE23" s="19" t="n">
        <f aca="false">Inputs!$F$158*CE22</f>
        <v>41.8040193051331</v>
      </c>
      <c r="CF23" s="19" t="n">
        <f aca="false">Inputs!$F$158*CF22</f>
        <v>42.3355958064563</v>
      </c>
      <c r="CG23" s="19" t="n">
        <f aca="false">Inputs!$F$158*CG22</f>
        <v>23.094946788508</v>
      </c>
      <c r="CH23" s="19" t="n">
        <f aca="false">Inputs!$F$158*CH22</f>
        <v>44.9785307551068</v>
      </c>
      <c r="CI23" s="19" t="n">
        <f aca="false">Inputs!$F$158*CI22</f>
        <v>47.3763337279496</v>
      </c>
      <c r="CJ23" s="19" t="n">
        <f aca="false">Inputs!$F$158*CJ22</f>
        <v>47.2897917858988</v>
      </c>
      <c r="CK23" s="19" t="n">
        <f aca="false">Inputs!$F$158*CK22</f>
        <v>39.3190590750735</v>
      </c>
      <c r="CL23" s="19" t="n">
        <f aca="false">Inputs!$F$158*CL22</f>
        <v>49.7084772400635</v>
      </c>
      <c r="CM23" s="19" t="n">
        <f aca="false">Inputs!$F$158*CM22</f>
        <v>52.3275820960415</v>
      </c>
      <c r="CN23" s="19" t="n">
        <f aca="false">Inputs!$F$158*CN22</f>
        <v>52.5195977862541</v>
      </c>
      <c r="CO23" s="19" t="n">
        <f aca="false">Inputs!$F$158*CO22</f>
        <v>54.9549674735227</v>
      </c>
      <c r="CP23" s="19" t="n">
        <f aca="false">Inputs!$F$158*CP22</f>
        <v>13.5159971121986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6342.18648053102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11.9722770333237</v>
      </c>
      <c r="AA13" s="29" t="n">
        <f aca="false">Operations!AA48</f>
        <v>26.8224075022113</v>
      </c>
      <c r="AB13" s="29" t="n">
        <f aca="false">Operations!AB48</f>
        <v>32.0874032911033</v>
      </c>
      <c r="AC13" s="29" t="n">
        <f aca="false">Operations!AC48</f>
        <v>34.0691482578989</v>
      </c>
      <c r="AD13" s="29" t="n">
        <f aca="false">Operations!AD48</f>
        <v>37.6581565302267</v>
      </c>
      <c r="AE13" s="29" t="n">
        <f aca="false">Operations!AE48</f>
        <v>39.9820970130466</v>
      </c>
      <c r="AF13" s="29" t="n">
        <f aca="false">Operations!AF48</f>
        <v>42.8427680508151</v>
      </c>
      <c r="AG13" s="29" t="n">
        <f aca="false">Operations!AG48</f>
        <v>45.33785143152</v>
      </c>
      <c r="AH13" s="29" t="n">
        <f aca="false">Operations!AH48</f>
        <v>46.2520931917594</v>
      </c>
      <c r="AI13" s="29" t="n">
        <f aca="false">Operations!AI48</f>
        <v>45.551782513232</v>
      </c>
      <c r="AJ13" s="29" t="n">
        <f aca="false">Operations!AJ48</f>
        <v>46.8035444864203</v>
      </c>
      <c r="AK13" s="29" t="n">
        <f aca="false">Operations!AK48</f>
        <v>49.2236628351718</v>
      </c>
      <c r="AL13" s="29" t="n">
        <f aca="false">Operations!AL48</f>
        <v>50.2663422890722</v>
      </c>
      <c r="AM13" s="29" t="n">
        <f aca="false">Operations!AM48</f>
        <v>53.1536009858225</v>
      </c>
      <c r="AN13" s="29" t="n">
        <f aca="false">Operations!AN48</f>
        <v>54.2668945404405</v>
      </c>
      <c r="AO13" s="29" t="n">
        <f aca="false">Operations!AO48</f>
        <v>60.5401249493982</v>
      </c>
      <c r="AP13" s="29" t="n">
        <f aca="false">Operations!AP48</f>
        <v>61.7257353086905</v>
      </c>
      <c r="AQ13" s="29" t="n">
        <f aca="false">Operations!AQ48</f>
        <v>54.7144157833967</v>
      </c>
      <c r="AR13" s="29" t="n">
        <f aca="false">Operations!AR48</f>
        <v>56.3463027918885</v>
      </c>
      <c r="AS13" s="29" t="n">
        <f aca="false">Operations!AS48</f>
        <v>59.4763327817232</v>
      </c>
      <c r="AT13" s="29" t="n">
        <f aca="false">Operations!AT48</f>
        <v>60.8259461880899</v>
      </c>
      <c r="AU13" s="29" t="n">
        <f aca="false">Operations!AU48</f>
        <v>64.5609708438497</v>
      </c>
      <c r="AV13" s="29" t="n">
        <f aca="false">Operations!AV48</f>
        <v>66.0005264515732</v>
      </c>
      <c r="AW13" s="29" t="n">
        <f aca="false">Operations!AW48</f>
        <v>71.5445973819467</v>
      </c>
      <c r="AX13" s="29" t="n">
        <f aca="false">Operations!AX48</f>
        <v>72.0892426109825</v>
      </c>
      <c r="AY13" s="29" t="n">
        <f aca="false">Operations!AY48</f>
        <v>71.8537583415923</v>
      </c>
      <c r="AZ13" s="29" t="n">
        <f aca="false">Operations!AZ48</f>
        <v>72.895955386749</v>
      </c>
      <c r="BA13" s="29" t="n">
        <f aca="false">Operations!BA48</f>
        <v>76.2752291892364</v>
      </c>
      <c r="BB13" s="29" t="n">
        <f aca="false">Operations!BB48</f>
        <v>76.8770632476208</v>
      </c>
      <c r="BC13" s="29" t="n">
        <f aca="false">Operations!BC48</f>
        <v>89.2280084263935</v>
      </c>
      <c r="BD13" s="29" t="n">
        <f aca="false">Operations!BD48</f>
        <v>89.8619259684757</v>
      </c>
      <c r="BE13" s="29" t="n">
        <f aca="false">Operations!BE48</f>
        <v>98.0579163119572</v>
      </c>
      <c r="BF13" s="29" t="n">
        <f aca="false">Operations!BF48</f>
        <v>98.7254747775707</v>
      </c>
      <c r="BG13" s="29" t="n">
        <f aca="false">Operations!BG48</f>
        <v>103.194394857504</v>
      </c>
      <c r="BH13" s="29" t="n">
        <f aca="false">Operations!BH48</f>
        <v>104.468647800019</v>
      </c>
      <c r="BI13" s="29" t="n">
        <f aca="false">Operations!BI48</f>
        <v>108.601145110487</v>
      </c>
      <c r="BJ13" s="29" t="n">
        <f aca="false">Operations!BJ48</f>
        <v>109.337364366659</v>
      </c>
      <c r="BK13" s="29" t="n">
        <f aca="false">Operations!BK48</f>
        <v>114.293061537872</v>
      </c>
      <c r="BL13" s="29" t="n">
        <f aca="false">Operations!BL48</f>
        <v>115.067690711324</v>
      </c>
      <c r="BM13" s="29" t="n">
        <f aca="false">Operations!BM48</f>
        <v>120.239169921338</v>
      </c>
      <c r="BN13" s="29" t="n">
        <f aca="false">Operations!BN48</f>
        <v>121.050527222382</v>
      </c>
      <c r="BO13" s="29" t="n">
        <f aca="false">Operations!BO48</f>
        <v>107.888776102879</v>
      </c>
      <c r="BP13" s="29" t="n">
        <f aca="false">Operations!BP48</f>
        <v>109.446382107727</v>
      </c>
      <c r="BQ13" s="29" t="n">
        <f aca="false">Operations!BQ48</f>
        <v>114.461289187612</v>
      </c>
      <c r="BR13" s="29" t="n">
        <f aca="false">Operations!BR48</f>
        <v>113.830368647306</v>
      </c>
      <c r="BS13" s="29" t="n">
        <f aca="false">Operations!BS48</f>
        <v>119.657250663285</v>
      </c>
      <c r="BT13" s="29" t="n">
        <f aca="false">Operations!BT48</f>
        <v>119.004102048023</v>
      </c>
      <c r="BU13" s="29" t="n">
        <f aca="false">Operations!BU48</f>
        <v>143.656975256623</v>
      </c>
      <c r="BV13" s="29" t="n">
        <f aca="false">Operations!BV48</f>
        <v>142.980608731004</v>
      </c>
      <c r="BW13" s="29" t="n">
        <f aca="false">Operations!BW48</f>
        <v>142.86428891831</v>
      </c>
      <c r="BX13" s="29" t="n">
        <f aca="false">Operations!BX48</f>
        <v>117.774604516838</v>
      </c>
      <c r="BY13" s="29" t="n">
        <f aca="false">Operations!BY48</f>
        <v>121.438412778792</v>
      </c>
      <c r="BZ13" s="29" t="n">
        <f aca="false">Operations!BZ48</f>
        <v>120.414290082536</v>
      </c>
      <c r="CA13" s="29" t="n">
        <f aca="false">Operations!CA48</f>
        <v>112.832241226464</v>
      </c>
      <c r="CB13" s="29" t="n">
        <f aca="false">Operations!CB48</f>
        <v>111.804952994684</v>
      </c>
      <c r="CC13" s="29" t="n">
        <f aca="false">Operations!CC48</f>
        <v>116.403223024599</v>
      </c>
      <c r="CD13" s="29" t="n">
        <f aca="false">Operations!CD48</f>
        <v>115.327676826184</v>
      </c>
      <c r="CE13" s="29" t="n">
        <f aca="false">Operations!CE48</f>
        <v>114.241065683596</v>
      </c>
      <c r="CF13" s="29" t="n">
        <f aca="false">Operations!CF48</f>
        <v>113.857760064061</v>
      </c>
      <c r="CG13" s="29" t="n">
        <f aca="false">Operations!CG48</f>
        <v>142.112362901006</v>
      </c>
      <c r="CH13" s="29" t="n">
        <f aca="false">Operations!CH48</f>
        <v>119.153667117229</v>
      </c>
      <c r="CI13" s="29" t="n">
        <f aca="false">Operations!CI48</f>
        <v>124.61200465455</v>
      </c>
      <c r="CJ13" s="29" t="n">
        <f aca="false">Operations!CJ48</f>
        <v>123.586226936254</v>
      </c>
      <c r="CK13" s="29" t="n">
        <f aca="false">Operations!CK48</f>
        <v>145.507193900089</v>
      </c>
      <c r="CL13" s="29" t="n">
        <f aca="false">Operations!CL48</f>
        <v>133.966865818315</v>
      </c>
      <c r="CM13" s="29" t="n">
        <f aca="false">Operations!CM48</f>
        <v>139.822490878482</v>
      </c>
      <c r="CN13" s="29" t="n">
        <f aca="false">Operations!CN48</f>
        <v>139.557403854145</v>
      </c>
      <c r="CO13" s="29" t="n">
        <f aca="false">Operations!CO48</f>
        <v>144.778832089402</v>
      </c>
      <c r="CP13" s="29" t="n">
        <f aca="false">Operations!CP48</f>
        <v>157.063605300249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2247.24200693712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1498.16133795808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1449.83355286266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933.112067132909</v>
      </c>
      <c r="AE18" s="19" t="n">
        <f aca="false">IF(AND(Time!AE30=1,AE9&gt;0),AE13/(Inputs!$F$91*AE9),Inputs!$F$10)</f>
        <v>982.484036347789</v>
      </c>
      <c r="AF18" s="19" t="n">
        <f aca="false">IF(AND(Time!AF30=1,AF9&gt;0),AF13/(Inputs!$F$91*AF9),Inputs!$F$10)</f>
        <v>1067.39937620614</v>
      </c>
      <c r="AG18" s="19" t="n">
        <f aca="false">IF(AND(Time!AG30=1,AG9&gt;0),AG13/(Inputs!$F$91*AG9),Inputs!$F$10)</f>
        <v>1147.67897903078</v>
      </c>
      <c r="AH18" s="19" t="n">
        <f aca="false">IF(AND(Time!AH30=1,AH9&gt;0),AH13/(Inputs!$F$91*AH9),Inputs!$F$10)</f>
        <v>1180.32033274296</v>
      </c>
      <c r="AI18" s="19" t="n">
        <f aca="false">IF(AND(Time!AI30=1,AI9&gt;0),AI13/(Inputs!$F$91*AI9),Inputs!$F$10)</f>
        <v>1153.09441442725</v>
      </c>
      <c r="AJ18" s="19" t="n">
        <f aca="false">IF(AND(Time!AJ30=1,AJ9&gt;0),AJ13/(Inputs!$F$91*AJ9),Inputs!$F$10)</f>
        <v>1191.17184387769</v>
      </c>
      <c r="AK18" s="19" t="n">
        <f aca="false">IF(AND(Time!AK30=1,AK9&gt;0),AK13/(Inputs!$F$91*AK9),Inputs!$F$10)</f>
        <v>1246.04411817253</v>
      </c>
      <c r="AL18" s="19" t="n">
        <f aca="false">IF(AND(Time!AL30=1,AL9&gt;0),AL13/(Inputs!$F$91*AL9),Inputs!$F$10)</f>
        <v>1282.7610981935</v>
      </c>
      <c r="AM18" s="19" t="n">
        <f aca="false">IF(AND(Time!AM30=1,AM9&gt;0),AM13/(Inputs!$F$91*AM9),Inputs!$F$10)</f>
        <v>1345.52627848631</v>
      </c>
      <c r="AN18" s="19" t="n">
        <f aca="false">IF(AND(Time!AN30=1,AN9&gt;0),AN13/(Inputs!$F$91*AN9),Inputs!$F$10)</f>
        <v>1384.85232993329</v>
      </c>
      <c r="AO18" s="19" t="n">
        <f aca="false">IF(AND(Time!AO30=1,AO9&gt;0),AO13/(Inputs!$F$91*AO9),Inputs!$F$10)</f>
        <v>1532.50819345216</v>
      </c>
      <c r="AP18" s="19" t="n">
        <f aca="false">IF(AND(Time!AP30=1,AP9&gt;0),AP13/(Inputs!$F$91*AP9),Inputs!$F$10)</f>
        <v>1575.19661080632</v>
      </c>
      <c r="AQ18" s="19" t="n">
        <f aca="false">IF(AND(Time!AQ30=1,AQ9&gt;0),AQ13/(Inputs!$F$91*AQ9),Inputs!$F$10)</f>
        <v>1385.03662749439</v>
      </c>
      <c r="AR18" s="19" t="n">
        <f aca="false">IF(AND(Time!AR30=1,AR9&gt;0),AR13/(Inputs!$F$91*AR9),Inputs!$F$10)</f>
        <v>1434.0394542507</v>
      </c>
      <c r="AS18" s="19" t="n">
        <f aca="false">IF(AND(Time!AS30=1,AS9&gt;0),AS13/(Inputs!$F$91*AS9),Inputs!$F$10)</f>
        <v>1505.57943811089</v>
      </c>
      <c r="AT18" s="19" t="n">
        <f aca="false">IF(AND(Time!AT30=1,AT9&gt;0),AT13/(Inputs!$F$91*AT9),Inputs!$F$10)</f>
        <v>1552.23463609476</v>
      </c>
      <c r="AU18" s="19" t="n">
        <f aca="false">IF(AND(Time!AU30=1,AU9&gt;0),AU13/(Inputs!$F$91*AU9),Inputs!$F$10)</f>
        <v>1634.29158559094</v>
      </c>
      <c r="AV18" s="19" t="n">
        <f aca="false">IF(AND(Time!AV30=1,AV9&gt;0),AV13/(Inputs!$F$91*AV9),Inputs!$F$10)</f>
        <v>1684.28622288625</v>
      </c>
      <c r="AW18" s="19" t="n">
        <f aca="false">IF(AND(Time!AW30=1,AW9&gt;0),AW13/(Inputs!$F$91*AW9),Inputs!$F$10)</f>
        <v>1811.07458527238</v>
      </c>
      <c r="AX18" s="19" t="n">
        <f aca="false">IF(AND(Time!AX30=1,AX9&gt;0),AX13/(Inputs!$F$91*AX9),Inputs!$F$10)</f>
        <v>1839.66590383292</v>
      </c>
      <c r="AY18" s="19" t="n">
        <f aca="false">IF(AND(Time!AY30=1,AY9&gt;0),AY13/(Inputs!$F$91*AY9),Inputs!$F$10)</f>
        <v>1818.90066267391</v>
      </c>
      <c r="AZ18" s="19" t="n">
        <f aca="false">IF(AND(Time!AZ30=1,AZ9&gt;0),AZ13/(Inputs!$F$91*AZ9),Inputs!$F$10)</f>
        <v>1855.23576348909</v>
      </c>
      <c r="BA18" s="19" t="n">
        <f aca="false">IF(AND(Time!BA30=1,BA9&gt;0),BA13/(Inputs!$F$91*BA9),Inputs!$F$10)</f>
        <v>1930.82544490368</v>
      </c>
      <c r="BB18" s="19" t="n">
        <f aca="false">IF(AND(Time!BB30=1,BB9&gt;0),BB13/(Inputs!$F$91*BB9),Inputs!$F$10)</f>
        <v>1961.84766160811</v>
      </c>
      <c r="BC18" s="19" t="n">
        <f aca="false">IF(AND(Time!BC30=1,BC9&gt;0),BC13/(Inputs!$F$91*BC9),Inputs!$F$10)</f>
        <v>2258.71112940651</v>
      </c>
      <c r="BD18" s="19" t="n">
        <f aca="false">IF(AND(Time!BD30=1,BD9&gt;0),BD13/(Inputs!$F$91*BD9),Inputs!$F$10)</f>
        <v>2293.21206978221</v>
      </c>
      <c r="BE18" s="19" t="n">
        <f aca="false">IF(AND(Time!BE30=1,BE9&gt;0),BE13/(Inputs!$F$91*BE9),Inputs!$F$10)</f>
        <v>2482.23075698185</v>
      </c>
      <c r="BF18" s="19" t="n">
        <f aca="false">IF(AND(Time!BF30=1,BF9&gt;0),BF13/(Inputs!$F$91*BF9),Inputs!$F$10)</f>
        <v>2519.40349502777</v>
      </c>
      <c r="BG18" s="19" t="n">
        <f aca="false">IF(AND(Time!BG30=1,BG9&gt;0),BG13/(Inputs!$F$91*BG9),Inputs!$F$10)</f>
        <v>2607.76270915823</v>
      </c>
      <c r="BH18" s="19" t="n">
        <f aca="false">IF(AND(Time!BH30=1,BH9&gt;0),BH13/(Inputs!$F$91*BH9),Inputs!$F$10)</f>
        <v>2654.22815841969</v>
      </c>
      <c r="BI18" s="19" t="n">
        <f aca="false">IF(AND(Time!BI30=1,BI9&gt;0),BI13/(Inputs!$F$91*BI9),Inputs!$F$10)</f>
        <v>2744.39340220053</v>
      </c>
      <c r="BJ18" s="19" t="n">
        <f aca="false">IF(AND(Time!BJ30=1,BJ9&gt;0),BJ13/(Inputs!$F$91*BJ9),Inputs!$F$10)</f>
        <v>2785.45267637838</v>
      </c>
      <c r="BK18" s="19" t="n">
        <f aca="false">IF(AND(Time!BK30=1,BK9&gt;0),BK13/(Inputs!$F$91*BK9),Inputs!$F$10)</f>
        <v>2888.23035597573</v>
      </c>
      <c r="BL18" s="19" t="n">
        <f aca="false">IF(AND(Time!BL30=1,BL9&gt;0),BL13/(Inputs!$F$91*BL9),Inputs!$F$10)</f>
        <v>2931.43710673049</v>
      </c>
      <c r="BM18" s="19" t="n">
        <f aca="false">IF(AND(Time!BM30=1,BM9&gt;0),BM13/(Inputs!$F$91*BM9),Inputs!$F$10)</f>
        <v>3038.49083987535</v>
      </c>
      <c r="BN18" s="19" t="n">
        <f aca="false">IF(AND(Time!BN30=1,BN9&gt;0),BN13/(Inputs!$F$91*BN9),Inputs!$F$10)</f>
        <v>3083.8544259936</v>
      </c>
      <c r="BO18" s="19" t="n">
        <f aca="false">IF(AND(Time!BO30=1,BO9&gt;0),BO13/(Inputs!$F$91*BO9),Inputs!$F$10)</f>
        <v>2726.39155882749</v>
      </c>
      <c r="BP18" s="19" t="n">
        <f aca="false">IF(AND(Time!BP30=1,BP9&gt;0),BP13/(Inputs!$F$91*BP9),Inputs!$F$10)</f>
        <v>2780.69713110076</v>
      </c>
      <c r="BQ18" s="19" t="n">
        <f aca="false">IF(AND(Time!BQ30=1,BQ9&gt;0),BQ13/(Inputs!$F$91*BQ9),Inputs!$F$10)</f>
        <v>2892.4815344651</v>
      </c>
      <c r="BR18" s="19" t="n">
        <f aca="false">IF(AND(Time!BR30=1,BR9&gt;0),BR13/(Inputs!$F$91*BR9),Inputs!$F$10)</f>
        <v>2899.91538426421</v>
      </c>
      <c r="BS18" s="19" t="n">
        <f aca="false">IF(AND(Time!BS30=1,BS9&gt;0),BS13/(Inputs!$F$91*BS9),Inputs!$F$10)</f>
        <v>3023.78551268207</v>
      </c>
      <c r="BT18" s="19" t="n">
        <f aca="false">IF(AND(Time!BT30=1,BT9&gt;0),BT13/(Inputs!$F$91*BT9),Inputs!$F$10)</f>
        <v>3031.72018522472</v>
      </c>
      <c r="BU18" s="19" t="n">
        <f aca="false">IF(AND(Time!BU30=1,BU9&gt;0),BU13/(Inputs!$F$91*BU9),Inputs!$F$10)</f>
        <v>3630.2679375366</v>
      </c>
      <c r="BV18" s="19" t="n">
        <f aca="false">IF(AND(Time!BV30=1,BV9&gt;0),BV13/(Inputs!$F$91*BV9),Inputs!$F$10)</f>
        <v>3642.53996396342</v>
      </c>
      <c r="BW18" s="19" t="n">
        <f aca="false">IF(AND(Time!BW30=1,BW9&gt;0),BW13/(Inputs!$F$91*BW9),Inputs!$F$10)</f>
        <v>3610.23644381094</v>
      </c>
      <c r="BX18" s="19" t="n">
        <f aca="false">IF(AND(Time!BX30=1,BX9&gt;0),BX13/(Inputs!$F$91*BX9),Inputs!$F$10)</f>
        <v>2992.29173764874</v>
      </c>
      <c r="BY18" s="19" t="n">
        <f aca="false">IF(AND(Time!BY30=1,BY9&gt;0),BY13/(Inputs!$F$91*BY9),Inputs!$F$10)</f>
        <v>3068.79617581157</v>
      </c>
      <c r="BZ18" s="19" t="n">
        <f aca="false">IF(AND(Time!BZ30=1,BZ9&gt;0),BZ13/(Inputs!$F$91*BZ9),Inputs!$F$10)</f>
        <v>3067.64580001966</v>
      </c>
      <c r="CA18" s="19" t="n">
        <f aca="false">IF(AND(Time!CA30=1,CA9&gt;0),CA13/(Inputs!$F$91*CA9),Inputs!$F$10)</f>
        <v>2851.31485549599</v>
      </c>
      <c r="CB18" s="19" t="n">
        <f aca="false">IF(AND(Time!CB30=1,CB9&gt;0),CB13/(Inputs!$F$91*CB9),Inputs!$F$10)</f>
        <v>2848.31637707162</v>
      </c>
      <c r="CC18" s="19" t="n">
        <f aca="false">IF(AND(Time!CC30=1,CC9&gt;0),CC13/(Inputs!$F$91*CC9),Inputs!$F$10)</f>
        <v>2941.55496186143</v>
      </c>
      <c r="CD18" s="19" t="n">
        <f aca="false">IF(AND(Time!CD30=1,CD9&gt;0),CD13/(Inputs!$F$91*CD9),Inputs!$F$10)</f>
        <v>2938.06045112564</v>
      </c>
      <c r="CE18" s="19" t="n">
        <f aca="false">IF(AND(Time!CE30=1,CE9&gt;0),CE13/(Inputs!$F$91*CE9),Inputs!$F$10)</f>
        <v>2886.91640040674</v>
      </c>
      <c r="CF18" s="19" t="n">
        <f aca="false">IF(AND(Time!CF30=1,CF9&gt;0),CF13/(Inputs!$F$91*CF9),Inputs!$F$10)</f>
        <v>2892.77672469852</v>
      </c>
      <c r="CG18" s="19" t="n">
        <f aca="false">IF(AND(Time!CG30=1,CG9&gt;0),CG13/(Inputs!$F$91*CG9),Inputs!$F$10)</f>
        <v>3591.23497933529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933.112067132909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880.758497901364</v>
      </c>
      <c r="AF31" s="19" t="n">
        <f aca="false">IF(Time!AF21=1,$F$26,AE36)</f>
        <v>877.998690314065</v>
      </c>
      <c r="AG31" s="19" t="n">
        <f aca="false">IF(Time!AG21=1,$F$26,AF36)</f>
        <v>872.930640600451</v>
      </c>
      <c r="AH31" s="19" t="n">
        <f aca="false">IF(Time!AH21=1,$F$26,AG36)</f>
        <v>865.69487776874</v>
      </c>
      <c r="AI31" s="19" t="n">
        <f aca="false">IF(Time!AI21=1,$F$26,AH36)</f>
        <v>857.475591608149</v>
      </c>
      <c r="AJ31" s="19" t="n">
        <f aca="false">IF(Time!AJ21=1,$F$26,AI36)</f>
        <v>849.690184414317</v>
      </c>
      <c r="AK31" s="19" t="n">
        <f aca="false">IF(Time!AK21=1,$F$26,AJ36)</f>
        <v>840.745182273702</v>
      </c>
      <c r="AL31" s="19" t="n">
        <f aca="false">IF(Time!AL21=1,$F$26,AK36)</f>
        <v>830.071243377971</v>
      </c>
      <c r="AM31" s="19" t="n">
        <f aca="false">IF(Time!AM21=1,$F$26,AL36)</f>
        <v>818.245158107693</v>
      </c>
      <c r="AN31" s="19" t="n">
        <f aca="false">IF(Time!AN21=1,$F$26,AM36)</f>
        <v>804.358700578974</v>
      </c>
      <c r="AO31" s="19" t="n">
        <f aca="false">IF(Time!AO21=1,$F$26,AN36)</f>
        <v>789.193865125803</v>
      </c>
      <c r="AP31" s="19" t="n">
        <f aca="false">IF(Time!AP21=1,$F$26,AO36)</f>
        <v>769.617964430971</v>
      </c>
      <c r="AQ31" s="19" t="n">
        <f aca="false">IF(Time!AQ21=1,$F$26,AP36)</f>
        <v>748.573000284751</v>
      </c>
      <c r="AR31" s="19" t="n">
        <f aca="false">IF(Time!AR21=1,$F$26,AQ36)</f>
        <v>731.811115995258</v>
      </c>
      <c r="AS31" s="19" t="n">
        <f aca="false">IF(Time!AS21=1,$F$26,AR36)</f>
        <v>713.416470734464</v>
      </c>
      <c r="AT31" s="19" t="n">
        <f aca="false">IF(Time!AT21=1,$F$26,AS36)</f>
        <v>692.554093954507</v>
      </c>
      <c r="AU31" s="19" t="n">
        <f aca="false">IF(Time!AU21=1,$F$26,AT36)</f>
        <v>670.095770030521</v>
      </c>
      <c r="AV31" s="19" t="n">
        <f aca="false">IF(Time!AV21=1,$F$26,AU36)</f>
        <v>644.702742052326</v>
      </c>
      <c r="AW31" s="19" t="n">
        <f aca="false">IF(Time!AW21=1,$F$26,AV36)</f>
        <v>617.544627596847</v>
      </c>
      <c r="AX31" s="19" t="n">
        <f aca="false">IF(Time!AX21=1,$F$26,AW36)</f>
        <v>586.111863505817</v>
      </c>
      <c r="AY31" s="19" t="n">
        <f aca="false">IF(Time!AY21=1,$F$26,AX36)</f>
        <v>553.363974826379</v>
      </c>
      <c r="AZ31" s="19" t="n">
        <f aca="false">IF(Time!AZ21=1,$F$26,AY36)</f>
        <v>520.034843955524</v>
      </c>
      <c r="BA31" s="19" t="n">
        <f aca="false">IF(Time!BA21=1,$F$26,AZ36)</f>
        <v>485.059685693296</v>
      </c>
      <c r="BB31" s="19" t="n">
        <f aca="false">IF(Time!BB21=1,$F$26,BA36)</f>
        <v>446.984048171257</v>
      </c>
      <c r="BC31" s="19" t="n">
        <f aca="false">IF(Time!BC21=1,$F$26,BB36)</f>
        <v>407.409699254942</v>
      </c>
      <c r="BD31" s="19" t="n">
        <f aca="false">IF(Time!BD21=1,$F$26,BC36)</f>
        <v>358.653888191204</v>
      </c>
      <c r="BE31" s="19" t="n">
        <f aca="false">IF(Time!BE21=1,$F$26,BD36)</f>
        <v>308.115424003328</v>
      </c>
      <c r="BF31" s="19" t="n">
        <f aca="false">IF(Time!BF21=1,$F$26,BE36)</f>
        <v>250.85799705001</v>
      </c>
      <c r="BG31" s="19" t="n">
        <f aca="false">IF(Time!BG21=1,$F$26,BF36)</f>
        <v>191.594436770925</v>
      </c>
      <c r="BH31" s="19" t="n">
        <f aca="false">IF(Time!BH21=1,$F$26,BG36)</f>
        <v>127.852690671285</v>
      </c>
      <c r="BI31" s="19" t="n">
        <f aca="false">IF(Time!BI21=1,$F$26,BH36)</f>
        <v>61.5617231537687</v>
      </c>
      <c r="BJ31" s="19" t="n">
        <f aca="false">IF(Time!BJ21=1,$F$26,BI36)</f>
        <v>-9.21495977357681</v>
      </c>
      <c r="BK31" s="19" t="n">
        <f aca="false">IF(Time!BK21=1,$F$26,BJ36)</f>
        <v>-82.3476792076389</v>
      </c>
      <c r="BL31" s="19" t="n">
        <f aca="false">IF(Time!BL21=1,$F$26,BK36)</f>
        <v>-160.715495328631</v>
      </c>
      <c r="BM31" s="19" t="n">
        <f aca="false">IF(Time!BM21=1,$F$26,BL36)</f>
        <v>-241.632998994674</v>
      </c>
      <c r="BN31" s="19" t="n">
        <f aca="false">IF(Time!BN21=1,$F$26,BM36)</f>
        <v>-328.167046851384</v>
      </c>
      <c r="BO31" s="19" t="n">
        <f aca="false">IF(Time!BO21=1,$F$26,BN36)</f>
        <v>-417.45509164377</v>
      </c>
      <c r="BP31" s="19" t="n">
        <f aca="false">IF(Time!BP21=1,$F$26,BO36)</f>
        <v>-500.393965256468</v>
      </c>
      <c r="BQ31" s="19" t="n">
        <f aca="false">IF(Time!BQ21=1,$F$26,BP36)</f>
        <v>-586.488334865147</v>
      </c>
      <c r="BR31" s="19" t="n">
        <f aca="false">IF(Time!BR21=1,$F$26,BQ36)</f>
        <v>-678.268206587424</v>
      </c>
      <c r="BS31" s="19" t="n">
        <f aca="false">IF(Time!BS21=1,$F$26,BR36)</f>
        <v>-771.904492079189</v>
      </c>
      <c r="BT31" s="19" t="n">
        <f aca="false">IF(Time!BT21=1,$F$26,BS36)</f>
        <v>-872.039863990756</v>
      </c>
      <c r="BU31" s="19" t="n">
        <f aca="false">IF(Time!BU21=1,$F$26,BT36)</f>
        <v>-974.196050552632</v>
      </c>
      <c r="BV31" s="19" t="n">
        <f aca="false">IF(Time!BV21=1,$F$26,BU36)</f>
        <v>-1095.66796035622</v>
      </c>
      <c r="BW31" s="19" t="n">
        <f aca="false">IF(Time!BW21=1,$F$26,BV36)</f>
        <v>-1219.66053330727</v>
      </c>
      <c r="BX31" s="19" t="n">
        <f aca="false">IF(Time!BX21=1,$F$26,BW36)</f>
        <v>-1347.07966645345</v>
      </c>
      <c r="BY31" s="19" t="n">
        <f aca="false">IF(Time!BY21=1,$F$26,BX36)</f>
        <v>-1460.94284018516</v>
      </c>
      <c r="BZ31" s="19" t="n">
        <f aca="false">IF(Time!BZ21=1,$F$26,BY36)</f>
        <v>-1580.44340542105</v>
      </c>
      <c r="CA31" s="19" t="n">
        <f aca="false">IF(Time!CA21=1,$F$26,BZ36)</f>
        <v>-1702.07769186308</v>
      </c>
      <c r="CB31" s="19" t="n">
        <f aca="false">IF(Time!CB21=1,$F$26,CA36)</f>
        <v>-1822.20226884835</v>
      </c>
      <c r="CC31" s="19" t="n">
        <f aca="false">IF(Time!CC21=1,$F$26,CB36)</f>
        <v>-1944.4235037906</v>
      </c>
      <c r="CD31" s="19" t="n">
        <f aca="false">IF(Time!CD21=1,$F$26,CC36)</f>
        <v>-2073.32214150765</v>
      </c>
      <c r="CE31" s="19" t="n">
        <f aca="false">IF(Time!CE21=1,$F$26,CD36)</f>
        <v>-2204.4633306719</v>
      </c>
      <c r="CF31" s="19" t="n">
        <f aca="false">IF(Time!CF21=1,$F$26,CE36)</f>
        <v>-2338.78072810821</v>
      </c>
      <c r="CG31" s="19" t="n">
        <f aca="false">IF(Time!CG21=1,$F$26,CF36)</f>
        <v>-2476.05446655182</v>
      </c>
      <c r="CH31" s="19" t="n">
        <f aca="false">IF(Time!CH21=1,$F$26,CG36)</f>
        <v>-2636.11766570584</v>
      </c>
      <c r="CI31" s="19" t="n">
        <f aca="false">IF(Time!CI21=1,$F$26,CH36)</f>
        <v>-2636.11766570584</v>
      </c>
      <c r="CJ31" s="19" t="n">
        <f aca="false">IF(Time!CJ21=1,$F$26,CI36)</f>
        <v>-2636.11766570584</v>
      </c>
      <c r="CK31" s="19" t="n">
        <f aca="false">IF(Time!CK21=1,$F$26,CJ36)</f>
        <v>-2636.11766570584</v>
      </c>
      <c r="CL31" s="19" t="n">
        <f aca="false">IF(Time!CL21=1,$F$26,CK36)</f>
        <v>-2636.11766570584</v>
      </c>
      <c r="CM31" s="19" t="n">
        <f aca="false">IF(Time!CM21=1,$F$26,CL36)</f>
        <v>-2636.11766570584</v>
      </c>
      <c r="CN31" s="19" t="n">
        <f aca="false">IF(Time!CN21=1,$F$26,CM36)</f>
        <v>-2636.11766570584</v>
      </c>
      <c r="CO31" s="19" t="n">
        <f aca="false">IF(Time!CO21=1,$F$26,CN36)</f>
        <v>-2636.11766570584</v>
      </c>
      <c r="CP31" s="19" t="n">
        <f aca="false">IF(Time!CP21=1,$F$26,CO36)</f>
        <v>-2636.11766570584</v>
      </c>
      <c r="CQ31" s="19" t="n">
        <f aca="false">IF(Time!CQ21=1,$F$26,CP36)</f>
        <v>-2636.11766570584</v>
      </c>
      <c r="CR31" s="19" t="n">
        <f aca="false">IF(Time!CR21=1,$F$26,CQ36)</f>
        <v>-2636.11766570584</v>
      </c>
      <c r="CS31" s="19" t="n">
        <f aca="false">IF(Time!CS21=1,$F$26,CR36)</f>
        <v>-2636.11766570584</v>
      </c>
      <c r="CT31" s="19" t="n">
        <f aca="false">IF(Time!CT21=1,$F$26,CS36)</f>
        <v>-2636.11766570584</v>
      </c>
      <c r="CU31" s="19" t="n">
        <f aca="false">IF(Time!CU21=1,$F$26,CT36)</f>
        <v>-2636.11766570584</v>
      </c>
      <c r="CV31" s="19" t="n">
        <f aca="false">IF(Time!CV21=1,$F$26,CU36)</f>
        <v>-2636.11766570584</v>
      </c>
      <c r="CW31" s="19" t="n">
        <f aca="false">IF(Time!CW21=1,$F$26,CV36)</f>
        <v>-2636.11766570584</v>
      </c>
      <c r="CX31" s="19" t="n">
        <f aca="false">IF(Time!CX21=1,$F$26,CW36)</f>
        <v>-2636.11766570584</v>
      </c>
      <c r="CY31" s="19" t="n">
        <f aca="false">IF(Time!CY21=1,$F$26,CX36)</f>
        <v>-2636.11766570584</v>
      </c>
      <c r="CZ31" s="19" t="n">
        <f aca="false">IF(Time!CZ21=1,$F$26,CY36)</f>
        <v>-2636.11766570584</v>
      </c>
      <c r="DA31" s="19" t="n">
        <f aca="false">IF(Time!DA21=1,$F$26,CZ36)</f>
        <v>-2636.11766570584</v>
      </c>
      <c r="DB31" s="19" t="n">
        <f aca="false">IF(Time!DB21=1,$F$26,DA36)</f>
        <v>-2636.11766570584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-1551.01311114988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23.894923754732</v>
      </c>
      <c r="AF32" s="19" t="n">
        <f aca="false">AF31*AF9</f>
        <v>23.4937956535964</v>
      </c>
      <c r="AG32" s="19" t="n">
        <f aca="false">AG31*AG9</f>
        <v>22.9894714559685</v>
      </c>
      <c r="AH32" s="19" t="n">
        <f aca="false">AH31*AH9</f>
        <v>22.6154426339154</v>
      </c>
      <c r="AI32" s="19" t="n">
        <f aca="false">AI31*AI9</f>
        <v>22.5824478149898</v>
      </c>
      <c r="AJ32" s="19" t="n">
        <f aca="false">AJ31*AJ9</f>
        <v>22.2573608503312</v>
      </c>
      <c r="AK32" s="19" t="n">
        <f aca="false">AK31*AK9</f>
        <v>22.141836327717</v>
      </c>
      <c r="AL32" s="19" t="n">
        <f aca="false">AL31*AL9</f>
        <v>21.6848095891035</v>
      </c>
      <c r="AM32" s="19" t="n">
        <f aca="false">AM31*AM9</f>
        <v>21.5492764618298</v>
      </c>
      <c r="AN32" s="19" t="n">
        <f aca="false">AN31*AN9</f>
        <v>21.013094240456</v>
      </c>
      <c r="AO32" s="19" t="n">
        <f aca="false">AO31*AO9</f>
        <v>20.784182604766</v>
      </c>
      <c r="AP32" s="19" t="n">
        <f aca="false">AP31*AP9</f>
        <v>20.1055260595743</v>
      </c>
      <c r="AQ32" s="19" t="n">
        <f aca="false">AQ31*AQ9</f>
        <v>19.7143928994376</v>
      </c>
      <c r="AR32" s="19" t="n">
        <f aca="false">AR31*AR9</f>
        <v>19.1695566004653</v>
      </c>
      <c r="AS32" s="19" t="n">
        <f aca="false">AS31*AS9</f>
        <v>18.7885117411919</v>
      </c>
      <c r="AT32" s="19" t="n">
        <f aca="false">AT31*AT9</f>
        <v>18.0923068680735</v>
      </c>
      <c r="AU32" s="19" t="n">
        <f aca="false">AU31*AU9</f>
        <v>17.6476192510385</v>
      </c>
      <c r="AV32" s="19" t="n">
        <f aca="false">AV31*AV9</f>
        <v>16.842236512236</v>
      </c>
      <c r="AW32" s="19" t="n">
        <f aca="false">AW31*AW9</f>
        <v>16.2636341636019</v>
      </c>
      <c r="AX32" s="19" t="n">
        <f aca="false">AX31*AX9</f>
        <v>15.3116063945501</v>
      </c>
      <c r="AY32" s="19" t="n">
        <f aca="false">AY31*AY9</f>
        <v>14.5733746902065</v>
      </c>
      <c r="AZ32" s="19" t="n">
        <f aca="false">AZ31*AZ9</f>
        <v>13.6221453289378</v>
      </c>
      <c r="BA32" s="19" t="n">
        <f aca="false">BA31*BA9</f>
        <v>12.7745152707856</v>
      </c>
      <c r="BB32" s="19" t="n">
        <f aca="false">BB31*BB9</f>
        <v>11.6770265820988</v>
      </c>
      <c r="BC32" s="19" t="n">
        <f aca="false">BC31*BC9</f>
        <v>10.7295278871912</v>
      </c>
      <c r="BD32" s="19" t="n">
        <f aca="false">BD31*BD9</f>
        <v>9.36948645777442</v>
      </c>
      <c r="BE32" s="19" t="n">
        <f aca="false">BE31*BE9</f>
        <v>8.11451725465357</v>
      </c>
      <c r="BF32" s="19" t="n">
        <f aca="false">BF31*BF9</f>
        <v>6.55342290596177</v>
      </c>
      <c r="BG32" s="19" t="n">
        <f aca="false">BG31*BG9</f>
        <v>5.05451713869625</v>
      </c>
      <c r="BH32" s="19" t="n">
        <f aca="false">BH31*BH9</f>
        <v>3.35479768249608</v>
      </c>
      <c r="BI32" s="19" t="n">
        <f aca="false">BI31*BI9</f>
        <v>1.62408047964584</v>
      </c>
      <c r="BJ32" s="19" t="n">
        <f aca="false">BJ31*BJ9</f>
        <v>-0.241143189622753</v>
      </c>
      <c r="BK32" s="19" t="n">
        <f aca="false">BK31*BK9</f>
        <v>-2.17244176241152</v>
      </c>
      <c r="BL32" s="19" t="n">
        <f aca="false">BL31*BL9</f>
        <v>-4.20570985849283</v>
      </c>
      <c r="BM32" s="19" t="n">
        <f aca="false">BM31*BM9</f>
        <v>-6.37460124248499</v>
      </c>
      <c r="BN32" s="19" t="n">
        <f aca="false">BN31*BN9</f>
        <v>-8.58769331079841</v>
      </c>
      <c r="BO32" s="19" t="n">
        <f aca="false">BO31*BO9</f>
        <v>-11.0130228774453</v>
      </c>
      <c r="BP32" s="19" t="n">
        <f aca="false">BP31*BP9</f>
        <v>-13.1301148701945</v>
      </c>
      <c r="BQ32" s="19" t="n">
        <f aca="false">BQ31*BQ9</f>
        <v>-15.4723455972035</v>
      </c>
      <c r="BR32" s="19" t="n">
        <f aca="false">BR31*BR9</f>
        <v>-17.7493730602266</v>
      </c>
      <c r="BS32" s="19" t="n">
        <f aca="false">BS31*BS9</f>
        <v>-20.3638714693775</v>
      </c>
      <c r="BT32" s="19" t="n">
        <f aca="false">BT31*BT9</f>
        <v>-22.8201185298608</v>
      </c>
      <c r="BU32" s="19" t="n">
        <f aca="false">BU31*BU9</f>
        <v>-25.7005929658377</v>
      </c>
      <c r="BV32" s="19" t="n">
        <f aca="false">BV31*BV9</f>
        <v>-28.6721671303834</v>
      </c>
      <c r="BW32" s="19" t="n">
        <f aca="false">BW31*BW9</f>
        <v>-32.1762738673033</v>
      </c>
      <c r="BX32" s="19" t="n">
        <f aca="false">BX31*BX9</f>
        <v>-35.3467707204897</v>
      </c>
      <c r="BY32" s="19" t="n">
        <f aca="false">BY31*BY9</f>
        <v>-38.5416233833574</v>
      </c>
      <c r="BZ32" s="19" t="n">
        <f aca="false">BZ31*BZ9</f>
        <v>-41.3580930536766</v>
      </c>
      <c r="CA32" s="19" t="n">
        <f aca="false">CA31*CA9</f>
        <v>-44.9030828342927</v>
      </c>
      <c r="CB32" s="19" t="n">
        <f aca="false">CB31*CB9</f>
        <v>-47.684599612457</v>
      </c>
      <c r="CC32" s="19" t="n">
        <f aca="false">CC31*CC9</f>
        <v>-51.2964890339907</v>
      </c>
      <c r="CD32" s="19" t="n">
        <f aca="false">CD31*CD9</f>
        <v>-54.2560712801211</v>
      </c>
      <c r="CE32" s="19" t="n">
        <f aca="false">CE31*CE9</f>
        <v>-58.1566869805868</v>
      </c>
      <c r="CF32" s="19" t="n">
        <f aca="false">CF31*CF9</f>
        <v>-61.3685650675642</v>
      </c>
      <c r="CG32" s="19" t="n">
        <f aca="false">CG31*CG9</f>
        <v>-65.3216238866848</v>
      </c>
      <c r="CH32" s="19" t="n">
        <f aca="false">CH31*CH9</f>
        <v>-68.9836784694341</v>
      </c>
      <c r="CI32" s="19" t="n">
        <f aca="false">CI31*CI9</f>
        <v>-69.5443048634078</v>
      </c>
      <c r="CJ32" s="19" t="n">
        <f aca="false">CJ31*CJ9</f>
        <v>-68.9836784694341</v>
      </c>
      <c r="CK32" s="19" t="n">
        <f aca="false">CK31*CK9</f>
        <v>-69.5443048634078</v>
      </c>
      <c r="CL32" s="19" t="n">
        <f aca="false">CL31*CL9</f>
        <v>-68.9836784694341</v>
      </c>
      <c r="CM32" s="19" t="n">
        <f aca="false">CM31*CM9</f>
        <v>-69.5443048634078</v>
      </c>
      <c r="CN32" s="19" t="n">
        <f aca="false">CN31*CN9</f>
        <v>-69.170553934092</v>
      </c>
      <c r="CO32" s="19" t="n">
        <f aca="false">CO31*CO9</f>
        <v>-69.5443048634078</v>
      </c>
      <c r="CP32" s="19" t="n">
        <f aca="false">CP31*CP9</f>
        <v>-68.9836784694341</v>
      </c>
      <c r="CQ32" s="19" t="n">
        <f aca="false">CQ31*CQ9</f>
        <v>-69.5443048634078</v>
      </c>
      <c r="CR32" s="19" t="n">
        <f aca="false">CR31*CR9</f>
        <v>-68.9836784694341</v>
      </c>
      <c r="CS32" s="19" t="n">
        <f aca="false">CS31*CS9</f>
        <v>-69.5443048634078</v>
      </c>
      <c r="CT32" s="19" t="n">
        <f aca="false">CT31*CT9</f>
        <v>-68.9836784694341</v>
      </c>
      <c r="CU32" s="19" t="n">
        <f aca="false">CU31*CU9</f>
        <v>-69.5443048634078</v>
      </c>
      <c r="CV32" s="19" t="n">
        <f aca="false">CV31*CV9</f>
        <v>-69.170553934092</v>
      </c>
      <c r="CW32" s="19" t="n">
        <f aca="false">CW31*CW9</f>
        <v>-69.5443048634078</v>
      </c>
      <c r="CX32" s="19" t="n">
        <f aca="false">CX31*CX9</f>
        <v>-68.9836784694341</v>
      </c>
      <c r="CY32" s="19" t="n">
        <f aca="false">CY31*CY9</f>
        <v>-69.5443048634078</v>
      </c>
      <c r="CZ32" s="19" t="n">
        <f aca="false">CZ31*CZ9</f>
        <v>-68.9836784694341</v>
      </c>
      <c r="DA32" s="19" t="n">
        <f aca="false">DA31*DA9</f>
        <v>-69.5443048634078</v>
      </c>
      <c r="DB32" s="19" t="n">
        <f aca="false">DB31*DB9</f>
        <v>-68.9836784694341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3339.45796926518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25.1054376868178</v>
      </c>
      <c r="AE34" s="19" t="n">
        <f aca="false">IF(Time!AE30=1,MAX(AE32,AE13/$F$37),0)</f>
        <v>26.6547313420311</v>
      </c>
      <c r="AF34" s="19" t="n">
        <f aca="false">IF(Time!AF30=1,MAX(AF32,AF13/$F$37),0)</f>
        <v>28.5618453672101</v>
      </c>
      <c r="AG34" s="19" t="n">
        <f aca="false">IF(Time!AG30=1,MAX(AG32,AG13/$F$37),0)</f>
        <v>30.22523428768</v>
      </c>
      <c r="AH34" s="19" t="n">
        <f aca="false">IF(Time!AH30=1,MAX(AH32,AH13/$F$37),0)</f>
        <v>30.8347287945063</v>
      </c>
      <c r="AI34" s="19" t="n">
        <f aca="false">IF(Time!AI30=1,MAX(AI32,AI13/$F$37),0)</f>
        <v>30.3678550088213</v>
      </c>
      <c r="AJ34" s="19" t="n">
        <f aca="false">IF(Time!AJ30=1,MAX(AJ32,AJ13/$F$37),0)</f>
        <v>31.2023629909469</v>
      </c>
      <c r="AK34" s="19" t="n">
        <f aca="false">IF(Time!AK30=1,MAX(AK32,AK13/$F$37),0)</f>
        <v>32.8157752234479</v>
      </c>
      <c r="AL34" s="19" t="n">
        <f aca="false">IF(Time!AL30=1,MAX(AL32,AL13/$F$37),0)</f>
        <v>33.5108948593815</v>
      </c>
      <c r="AM34" s="19" t="n">
        <f aca="false">IF(Time!AM30=1,MAX(AM32,AM13/$F$37),0)</f>
        <v>35.4357339905483</v>
      </c>
      <c r="AN34" s="19" t="n">
        <f aca="false">IF(Time!AN30=1,MAX(AN32,AN13/$F$37),0)</f>
        <v>36.177929693627</v>
      </c>
      <c r="AO34" s="19" t="n">
        <f aca="false">IF(Time!AO30=1,MAX(AO32,AO13/$F$37),0)</f>
        <v>40.3600832995988</v>
      </c>
      <c r="AP34" s="19" t="n">
        <f aca="false">IF(Time!AP30=1,MAX(AP32,AP13/$F$37),0)</f>
        <v>41.1504902057937</v>
      </c>
      <c r="AQ34" s="19" t="n">
        <f aca="false">IF(Time!AQ30=1,MAX(AQ32,AQ13/$F$37),0)</f>
        <v>36.4762771889312</v>
      </c>
      <c r="AR34" s="19" t="n">
        <f aca="false">IF(Time!AR30=1,MAX(AR32,AR13/$F$37),0)</f>
        <v>37.564201861259</v>
      </c>
      <c r="AS34" s="19" t="n">
        <f aca="false">IF(Time!AS30=1,MAX(AS32,AS13/$F$37),0)</f>
        <v>39.6508885211488</v>
      </c>
      <c r="AT34" s="19" t="n">
        <f aca="false">IF(Time!AT30=1,MAX(AT32,AT13/$F$37),0)</f>
        <v>40.55063079206</v>
      </c>
      <c r="AU34" s="19" t="n">
        <f aca="false">IF(Time!AU30=1,MAX(AU32,AU13/$F$37),0)</f>
        <v>43.0406472292332</v>
      </c>
      <c r="AV34" s="19" t="n">
        <f aca="false">IF(Time!AV30=1,MAX(AV32,AV13/$F$37),0)</f>
        <v>44.0003509677155</v>
      </c>
      <c r="AW34" s="19" t="n">
        <f aca="false">IF(Time!AW30=1,MAX(AW32,AW13/$F$37),0)</f>
        <v>47.6963982546311</v>
      </c>
      <c r="AX34" s="19" t="n">
        <f aca="false">IF(Time!AX30=1,MAX(AX32,AX13/$F$37),0)</f>
        <v>48.0594950739883</v>
      </c>
      <c r="AY34" s="19" t="n">
        <f aca="false">IF(Time!AY30=1,MAX(AY32,AY13/$F$37),0)</f>
        <v>47.9025055610616</v>
      </c>
      <c r="AZ34" s="19" t="n">
        <f aca="false">IF(Time!AZ30=1,MAX(AZ32,AZ13/$F$37),0)</f>
        <v>48.597303591166</v>
      </c>
      <c r="BA34" s="19" t="n">
        <f aca="false">IF(Time!BA30=1,MAX(BA32,BA13/$F$37),0)</f>
        <v>50.8501527928243</v>
      </c>
      <c r="BB34" s="19" t="n">
        <f aca="false">IF(Time!BB30=1,MAX(BB32,BB13/$F$37),0)</f>
        <v>51.2513754984139</v>
      </c>
      <c r="BC34" s="19" t="n">
        <f aca="false">IF(Time!BC30=1,MAX(BC32,BC13/$F$37),0)</f>
        <v>59.485338950929</v>
      </c>
      <c r="BD34" s="19" t="n">
        <f aca="false">IF(Time!BD30=1,MAX(BD32,BD13/$F$37),0)</f>
        <v>59.9079506456504</v>
      </c>
      <c r="BE34" s="19" t="n">
        <f aca="false">IF(Time!BE30=1,MAX(BE32,BE13/$F$37),0)</f>
        <v>65.3719442079715</v>
      </c>
      <c r="BF34" s="19" t="n">
        <f aca="false">IF(Time!BF30=1,MAX(BF32,BF13/$F$37),0)</f>
        <v>65.8169831850472</v>
      </c>
      <c r="BG34" s="19" t="n">
        <f aca="false">IF(Time!BG30=1,MAX(BG32,BG13/$F$37),0)</f>
        <v>68.7962632383358</v>
      </c>
      <c r="BH34" s="19" t="n">
        <f aca="false">IF(Time!BH30=1,MAX(BH32,BH13/$F$37),0)</f>
        <v>69.6457652000127</v>
      </c>
      <c r="BI34" s="19" t="n">
        <f aca="false">IF(Time!BI30=1,MAX(BI32,BI13/$F$37),0)</f>
        <v>72.4007634069914</v>
      </c>
      <c r="BJ34" s="19" t="n">
        <f aca="false">IF(Time!BJ30=1,MAX(BJ32,BJ13/$F$37),0)</f>
        <v>72.8915762444393</v>
      </c>
      <c r="BK34" s="19" t="n">
        <f aca="false">IF(Time!BK30=1,MAX(BK32,BK13/$F$37),0)</f>
        <v>76.1953743585811</v>
      </c>
      <c r="BL34" s="19" t="n">
        <f aca="false">IF(Time!BL30=1,MAX(BL32,BL13/$F$37),0)</f>
        <v>76.7117938075492</v>
      </c>
      <c r="BM34" s="19" t="n">
        <f aca="false">IF(Time!BM30=1,MAX(BM32,BM13/$F$37),0)</f>
        <v>80.1594466142252</v>
      </c>
      <c r="BN34" s="19" t="n">
        <f aca="false">IF(Time!BN30=1,MAX(BN32,BN13/$F$37),0)</f>
        <v>80.7003514815877</v>
      </c>
      <c r="BO34" s="19" t="n">
        <f aca="false">IF(Time!BO30=1,MAX(BO32,BO13/$F$37),0)</f>
        <v>71.9258507352525</v>
      </c>
      <c r="BP34" s="19" t="n">
        <f aca="false">IF(Time!BP30=1,MAX(BP32,BP13/$F$37),0)</f>
        <v>72.9642547384844</v>
      </c>
      <c r="BQ34" s="19" t="n">
        <f aca="false">IF(Time!BQ30=1,MAX(BQ32,BQ13/$F$37),0)</f>
        <v>76.3075261250745</v>
      </c>
      <c r="BR34" s="19" t="n">
        <f aca="false">IF(Time!BR30=1,MAX(BR32,BR13/$F$37),0)</f>
        <v>75.8869124315374</v>
      </c>
      <c r="BS34" s="19" t="n">
        <f aca="false">IF(Time!BS30=1,MAX(BS32,BS13/$F$37),0)</f>
        <v>79.7715004421898</v>
      </c>
      <c r="BT34" s="19" t="n">
        <f aca="false">IF(Time!BT30=1,MAX(BT32,BT13/$F$37),0)</f>
        <v>79.3360680320151</v>
      </c>
      <c r="BU34" s="19" t="n">
        <f aca="false">IF(Time!BU30=1,MAX(BU32,BU13/$F$37),0)</f>
        <v>95.7713168377484</v>
      </c>
      <c r="BV34" s="19" t="n">
        <f aca="false">IF(Time!BV30=1,MAX(BV32,BV13/$F$37),0)</f>
        <v>95.3204058206695</v>
      </c>
      <c r="BW34" s="19" t="n">
        <f aca="false">IF(Time!BW30=1,MAX(BW32,BW13/$F$37),0)</f>
        <v>95.2428592788732</v>
      </c>
      <c r="BX34" s="19" t="n">
        <f aca="false">IF(Time!BX30=1,MAX(BX32,BX13/$F$37),0)</f>
        <v>78.5164030112251</v>
      </c>
      <c r="BY34" s="19" t="n">
        <f aca="false">IF(Time!BY30=1,MAX(BY32,BY13/$F$37),0)</f>
        <v>80.9589418525277</v>
      </c>
      <c r="BZ34" s="19" t="n">
        <f aca="false">IF(Time!BZ30=1,MAX(BZ32,BZ13/$F$37),0)</f>
        <v>80.2761933883571</v>
      </c>
      <c r="CA34" s="19" t="n">
        <f aca="false">IF(Time!CA30=1,MAX(CA32,CA13/$F$37),0)</f>
        <v>75.2214941509763</v>
      </c>
      <c r="CB34" s="19" t="n">
        <f aca="false">IF(Time!CB30=1,MAX(CB32,CB13/$F$37),0)</f>
        <v>74.5366353297894</v>
      </c>
      <c r="CC34" s="19" t="n">
        <f aca="false">IF(Time!CC30=1,MAX(CC32,CC13/$F$37),0)</f>
        <v>77.602148683066</v>
      </c>
      <c r="CD34" s="19" t="n">
        <f aca="false">IF(Time!CD30=1,MAX(CD32,CD13/$F$37),0)</f>
        <v>76.8851178841226</v>
      </c>
      <c r="CE34" s="19" t="n">
        <f aca="false">IF(Time!CE30=1,MAX(CE32,CE13/$F$37),0)</f>
        <v>76.1607104557304</v>
      </c>
      <c r="CF34" s="19" t="n">
        <f aca="false">IF(Time!CF30=1,MAX(CF32,CF13/$F$37),0)</f>
        <v>75.9051733760404</v>
      </c>
      <c r="CG34" s="19" t="n">
        <f aca="false">IF(Time!CG30=1,MAX(CG32,CG13/$F$37),0)</f>
        <v>94.7415752673373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3518.24783471884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1.3716711116359</v>
      </c>
      <c r="AE35" s="19" t="n">
        <f aca="false">IF(Time!AE30=1,AE34-AE32,0)</f>
        <v>2.75980758729914</v>
      </c>
      <c r="AF35" s="19" t="n">
        <f aca="false">IF(Time!AF30=1,AF34-AF32,0)</f>
        <v>5.06804971361366</v>
      </c>
      <c r="AG35" s="19" t="n">
        <f aca="false">IF(Time!AG30=1,AG34-AG32,0)</f>
        <v>7.23576283171144</v>
      </c>
      <c r="AH35" s="19" t="n">
        <f aca="false">IF(Time!AH30=1,AH34-AH32,0)</f>
        <v>8.21928616059084</v>
      </c>
      <c r="AI35" s="19" t="n">
        <f aca="false">IF(Time!AI30=1,AI34-AI32,0)</f>
        <v>7.78540719383157</v>
      </c>
      <c r="AJ35" s="19" t="n">
        <f aca="false">IF(Time!AJ30=1,AJ34-AJ32,0)</f>
        <v>8.94500214061564</v>
      </c>
      <c r="AK35" s="19" t="n">
        <f aca="false">IF(Time!AK30=1,AK34-AK32,0)</f>
        <v>10.6739388957309</v>
      </c>
      <c r="AL35" s="19" t="n">
        <f aca="false">IF(Time!AL30=1,AL34-AL32,0)</f>
        <v>11.826085270278</v>
      </c>
      <c r="AM35" s="19" t="n">
        <f aca="false">IF(Time!AM30=1,AM34-AM32,0)</f>
        <v>13.8864575287186</v>
      </c>
      <c r="AN35" s="19" t="n">
        <f aca="false">IF(Time!AN30=1,AN34-AN32,0)</f>
        <v>15.164835453171</v>
      </c>
      <c r="AO35" s="19" t="n">
        <f aca="false">IF(Time!AO30=1,AO34-AO32,0)</f>
        <v>19.5759006948328</v>
      </c>
      <c r="AP35" s="19" t="n">
        <f aca="false">IF(Time!AP30=1,AP34-AP32,0)</f>
        <v>21.0449641462194</v>
      </c>
      <c r="AQ35" s="19" t="n">
        <f aca="false">IF(Time!AQ30=1,AQ34-AQ32,0)</f>
        <v>16.7618842894936</v>
      </c>
      <c r="AR35" s="19" t="n">
        <f aca="false">IF(Time!AR30=1,AR34-AR32,0)</f>
        <v>18.3946452607937</v>
      </c>
      <c r="AS35" s="19" t="n">
        <f aca="false">IF(Time!AS30=1,AS34-AS32,0)</f>
        <v>20.8623767799569</v>
      </c>
      <c r="AT35" s="19" t="n">
        <f aca="false">IF(Time!AT30=1,AT34-AT32,0)</f>
        <v>22.4583239239865</v>
      </c>
      <c r="AU35" s="19" t="n">
        <f aca="false">IF(Time!AU30=1,AU34-AU32,0)</f>
        <v>25.3930279781947</v>
      </c>
      <c r="AV35" s="19" t="n">
        <f aca="false">IF(Time!AV30=1,AV34-AV32,0)</f>
        <v>27.1581144554795</v>
      </c>
      <c r="AW35" s="19" t="n">
        <f aca="false">IF(Time!AW30=1,AW34-AW32,0)</f>
        <v>31.4327640910292</v>
      </c>
      <c r="AX35" s="19" t="n">
        <f aca="false">IF(Time!AX30=1,AX34-AX32,0)</f>
        <v>32.7478886794383</v>
      </c>
      <c r="AY35" s="19" t="n">
        <f aca="false">IF(Time!AY30=1,AY34-AY32,0)</f>
        <v>33.3291308708551</v>
      </c>
      <c r="AZ35" s="19" t="n">
        <f aca="false">IF(Time!AZ30=1,AZ34-AZ32,0)</f>
        <v>34.9751582622282</v>
      </c>
      <c r="BA35" s="19" t="n">
        <f aca="false">IF(Time!BA30=1,BA34-BA32,0)</f>
        <v>38.0756375220387</v>
      </c>
      <c r="BB35" s="19" t="n">
        <f aca="false">IF(Time!BB30=1,BB34-BB32,0)</f>
        <v>39.5743489163151</v>
      </c>
      <c r="BC35" s="19" t="n">
        <f aca="false">IF(Time!BC30=1,BC34-BC32,0)</f>
        <v>48.7558110637378</v>
      </c>
      <c r="BD35" s="19" t="n">
        <f aca="false">IF(Time!BD30=1,BD34-BD32,0)</f>
        <v>50.538464187876</v>
      </c>
      <c r="BE35" s="19" t="n">
        <f aca="false">IF(Time!BE30=1,BE34-BE32,0)</f>
        <v>57.2574269533179</v>
      </c>
      <c r="BF35" s="19" t="n">
        <f aca="false">IF(Time!BF30=1,BF34-BF32,0)</f>
        <v>59.2635602790854</v>
      </c>
      <c r="BG35" s="19" t="n">
        <f aca="false">IF(Time!BG30=1,BG34-BG32,0)</f>
        <v>63.7417460996395</v>
      </c>
      <c r="BH35" s="19" t="n">
        <f aca="false">IF(Time!BH30=1,BH34-BH32,0)</f>
        <v>66.2909675175166</v>
      </c>
      <c r="BI35" s="19" t="n">
        <f aca="false">IF(Time!BI30=1,BI34-BI32,0)</f>
        <v>70.7766829273455</v>
      </c>
      <c r="BJ35" s="19" t="n">
        <f aca="false">IF(Time!BJ30=1,BJ34-BJ32,0)</f>
        <v>73.1327194340621</v>
      </c>
      <c r="BK35" s="19" t="n">
        <f aca="false">IF(Time!BK30=1,BK34-BK32,0)</f>
        <v>78.3678161209926</v>
      </c>
      <c r="BL35" s="19" t="n">
        <f aca="false">IF(Time!BL30=1,BL34-BL32,0)</f>
        <v>80.9175036660421</v>
      </c>
      <c r="BM35" s="19" t="n">
        <f aca="false">IF(Time!BM30=1,BM34-BM32,0)</f>
        <v>86.5340478567102</v>
      </c>
      <c r="BN35" s="19" t="n">
        <f aca="false">IF(Time!BN30=1,BN34-BN32,0)</f>
        <v>89.2880447923861</v>
      </c>
      <c r="BO35" s="19" t="n">
        <f aca="false">IF(Time!BO30=1,BO34-BO32,0)</f>
        <v>82.9388736126978</v>
      </c>
      <c r="BP35" s="19" t="n">
        <f aca="false">IF(Time!BP30=1,BP34-BP32,0)</f>
        <v>86.0943696086789</v>
      </c>
      <c r="BQ35" s="19" t="n">
        <f aca="false">IF(Time!BQ30=1,BQ34-BQ32,0)</f>
        <v>91.779871722278</v>
      </c>
      <c r="BR35" s="19" t="n">
        <f aca="false">IF(Time!BR30=1,BR34-BR32,0)</f>
        <v>93.636285491764</v>
      </c>
      <c r="BS35" s="19" t="n">
        <f aca="false">IF(Time!BS30=1,BS34-BS32,0)</f>
        <v>100.135371911567</v>
      </c>
      <c r="BT35" s="19" t="n">
        <f aca="false">IF(Time!BT30=1,BT34-BT32,0)</f>
        <v>102.156186561876</v>
      </c>
      <c r="BU35" s="19" t="n">
        <f aca="false">IF(Time!BU30=1,BU34-BU32,0)</f>
        <v>121.471909803586</v>
      </c>
      <c r="BV35" s="19" t="n">
        <f aca="false">IF(Time!BV30=1,BV34-BV32,0)</f>
        <v>123.992572951053</v>
      </c>
      <c r="BW35" s="19" t="n">
        <f aca="false">IF(Time!BW30=1,BW34-BW32,0)</f>
        <v>127.419133146177</v>
      </c>
      <c r="BX35" s="19" t="n">
        <f aca="false">IF(Time!BX30=1,BX34-BX32,0)</f>
        <v>113.863173731715</v>
      </c>
      <c r="BY35" s="19" t="n">
        <f aca="false">IF(Time!BY30=1,BY34-BY32,0)</f>
        <v>119.500565235885</v>
      </c>
      <c r="BZ35" s="19" t="n">
        <f aca="false">IF(Time!BZ30=1,BZ34-BZ32,0)</f>
        <v>121.634286442034</v>
      </c>
      <c r="CA35" s="19" t="n">
        <f aca="false">IF(Time!CA30=1,CA34-CA32,0)</f>
        <v>120.124576985269</v>
      </c>
      <c r="CB35" s="19" t="n">
        <f aca="false">IF(Time!CB30=1,CB34-CB32,0)</f>
        <v>122.221234942246</v>
      </c>
      <c r="CC35" s="19" t="n">
        <f aca="false">IF(Time!CC30=1,CC34-CC32,0)</f>
        <v>128.898637717057</v>
      </c>
      <c r="CD35" s="19" t="n">
        <f aca="false">IF(Time!CD30=1,CD34-CD32,0)</f>
        <v>131.141189164244</v>
      </c>
      <c r="CE35" s="19" t="n">
        <f aca="false">IF(Time!CE30=1,CE34-CE32,0)</f>
        <v>134.317397436317</v>
      </c>
      <c r="CF35" s="19" t="n">
        <f aca="false">IF(Time!CF30=1,CF34-CF32,0)</f>
        <v>137.273738443605</v>
      </c>
      <c r="CG35" s="19" t="n">
        <f aca="false">IF(Time!CG30=1,CG34-CG32,0)</f>
        <v>160.063199154022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880.758497901364</v>
      </c>
      <c r="AE36" s="19" t="n">
        <f aca="false">AE31-AE35</f>
        <v>877.998690314065</v>
      </c>
      <c r="AF36" s="19" t="n">
        <f aca="false">AF31-AF35</f>
        <v>872.930640600451</v>
      </c>
      <c r="AG36" s="19" t="n">
        <f aca="false">AG31-AG35</f>
        <v>865.69487776874</v>
      </c>
      <c r="AH36" s="19" t="n">
        <f aca="false">AH31-AH35</f>
        <v>857.475591608149</v>
      </c>
      <c r="AI36" s="19" t="n">
        <f aca="false">AI31-AI35</f>
        <v>849.690184414317</v>
      </c>
      <c r="AJ36" s="19" t="n">
        <f aca="false">AJ31-AJ35</f>
        <v>840.745182273702</v>
      </c>
      <c r="AK36" s="19" t="n">
        <f aca="false">AK31-AK35</f>
        <v>830.071243377971</v>
      </c>
      <c r="AL36" s="19" t="n">
        <f aca="false">AL31-AL35</f>
        <v>818.245158107693</v>
      </c>
      <c r="AM36" s="19" t="n">
        <f aca="false">AM31-AM35</f>
        <v>804.358700578974</v>
      </c>
      <c r="AN36" s="19" t="n">
        <f aca="false">AN31-AN35</f>
        <v>789.193865125803</v>
      </c>
      <c r="AO36" s="19" t="n">
        <f aca="false">AO31-AO35</f>
        <v>769.617964430971</v>
      </c>
      <c r="AP36" s="19" t="n">
        <f aca="false">AP31-AP35</f>
        <v>748.573000284751</v>
      </c>
      <c r="AQ36" s="19" t="n">
        <f aca="false">AQ31-AQ35</f>
        <v>731.811115995258</v>
      </c>
      <c r="AR36" s="19" t="n">
        <f aca="false">AR31-AR35</f>
        <v>713.416470734464</v>
      </c>
      <c r="AS36" s="19" t="n">
        <f aca="false">AS31-AS35</f>
        <v>692.554093954507</v>
      </c>
      <c r="AT36" s="19" t="n">
        <f aca="false">AT31-AT35</f>
        <v>670.095770030521</v>
      </c>
      <c r="AU36" s="19" t="n">
        <f aca="false">AU31-AU35</f>
        <v>644.702742052326</v>
      </c>
      <c r="AV36" s="19" t="n">
        <f aca="false">AV31-AV35</f>
        <v>617.544627596847</v>
      </c>
      <c r="AW36" s="19" t="n">
        <f aca="false">AW31-AW35</f>
        <v>586.111863505817</v>
      </c>
      <c r="AX36" s="19" t="n">
        <f aca="false">AX31-AX35</f>
        <v>553.363974826379</v>
      </c>
      <c r="AY36" s="19" t="n">
        <f aca="false">AY31-AY35</f>
        <v>520.034843955524</v>
      </c>
      <c r="AZ36" s="19" t="n">
        <f aca="false">AZ31-AZ35</f>
        <v>485.059685693296</v>
      </c>
      <c r="BA36" s="19" t="n">
        <f aca="false">BA31-BA35</f>
        <v>446.984048171257</v>
      </c>
      <c r="BB36" s="19" t="n">
        <f aca="false">BB31-BB35</f>
        <v>407.409699254942</v>
      </c>
      <c r="BC36" s="19" t="n">
        <f aca="false">BC31-BC35</f>
        <v>358.653888191204</v>
      </c>
      <c r="BD36" s="19" t="n">
        <f aca="false">BD31-BD35</f>
        <v>308.115424003328</v>
      </c>
      <c r="BE36" s="19" t="n">
        <f aca="false">BE31-BE35</f>
        <v>250.85799705001</v>
      </c>
      <c r="BF36" s="19" t="n">
        <f aca="false">BF31-BF35</f>
        <v>191.594436770925</v>
      </c>
      <c r="BG36" s="19" t="n">
        <f aca="false">BG31-BG35</f>
        <v>127.852690671285</v>
      </c>
      <c r="BH36" s="19" t="n">
        <f aca="false">BH31-BH35</f>
        <v>61.5617231537687</v>
      </c>
      <c r="BI36" s="19" t="n">
        <f aca="false">BI31-BI35</f>
        <v>-9.21495977357681</v>
      </c>
      <c r="BJ36" s="19" t="n">
        <f aca="false">BJ31-BJ35</f>
        <v>-82.3476792076389</v>
      </c>
      <c r="BK36" s="19" t="n">
        <f aca="false">BK31-BK35</f>
        <v>-160.715495328631</v>
      </c>
      <c r="BL36" s="19" t="n">
        <f aca="false">BL31-BL35</f>
        <v>-241.632998994674</v>
      </c>
      <c r="BM36" s="19" t="n">
        <f aca="false">BM31-BM35</f>
        <v>-328.167046851384</v>
      </c>
      <c r="BN36" s="19" t="n">
        <f aca="false">BN31-BN35</f>
        <v>-417.45509164377</v>
      </c>
      <c r="BO36" s="19" t="n">
        <f aca="false">BO31-BO35</f>
        <v>-500.393965256468</v>
      </c>
      <c r="BP36" s="19" t="n">
        <f aca="false">BP31-BP35</f>
        <v>-586.488334865147</v>
      </c>
      <c r="BQ36" s="19" t="n">
        <f aca="false">BQ31-BQ35</f>
        <v>-678.268206587424</v>
      </c>
      <c r="BR36" s="19" t="n">
        <f aca="false">BR31-BR35</f>
        <v>-771.904492079189</v>
      </c>
      <c r="BS36" s="19" t="n">
        <f aca="false">BS31-BS35</f>
        <v>-872.039863990756</v>
      </c>
      <c r="BT36" s="19" t="n">
        <f aca="false">BT31-BT35</f>
        <v>-974.196050552632</v>
      </c>
      <c r="BU36" s="19" t="n">
        <f aca="false">BU31-BU35</f>
        <v>-1095.66796035622</v>
      </c>
      <c r="BV36" s="19" t="n">
        <f aca="false">BV31-BV35</f>
        <v>-1219.66053330727</v>
      </c>
      <c r="BW36" s="19" t="n">
        <f aca="false">BW31-BW35</f>
        <v>-1347.07966645345</v>
      </c>
      <c r="BX36" s="19" t="n">
        <f aca="false">BX31-BX35</f>
        <v>-1460.94284018516</v>
      </c>
      <c r="BY36" s="19" t="n">
        <f aca="false">BY31-BY35</f>
        <v>-1580.44340542105</v>
      </c>
      <c r="BZ36" s="19" t="n">
        <f aca="false">BZ31-BZ35</f>
        <v>-1702.07769186308</v>
      </c>
      <c r="CA36" s="19" t="n">
        <f aca="false">CA31-CA35</f>
        <v>-1822.20226884835</v>
      </c>
      <c r="CB36" s="19" t="n">
        <f aca="false">CB31-CB35</f>
        <v>-1944.4235037906</v>
      </c>
      <c r="CC36" s="19" t="n">
        <f aca="false">CC31-CC35</f>
        <v>-2073.32214150765</v>
      </c>
      <c r="CD36" s="19" t="n">
        <f aca="false">CD31-CD35</f>
        <v>-2204.4633306719</v>
      </c>
      <c r="CE36" s="19" t="n">
        <f aca="false">CE31-CE35</f>
        <v>-2338.78072810821</v>
      </c>
      <c r="CF36" s="19" t="n">
        <f aca="false">CF31-CF35</f>
        <v>-2476.05446655182</v>
      </c>
      <c r="CG36" s="19" t="n">
        <f aca="false">CG31-CG35</f>
        <v>-2636.11766570584</v>
      </c>
      <c r="CH36" s="19" t="n">
        <f aca="false">CH31-CH35</f>
        <v>-2636.11766570584</v>
      </c>
      <c r="CI36" s="19" t="n">
        <f aca="false">CI31-CI35</f>
        <v>-2636.11766570584</v>
      </c>
      <c r="CJ36" s="19" t="n">
        <f aca="false">CJ31-CJ35</f>
        <v>-2636.11766570584</v>
      </c>
      <c r="CK36" s="19" t="n">
        <f aca="false">CK31-CK35</f>
        <v>-2636.11766570584</v>
      </c>
      <c r="CL36" s="19" t="n">
        <f aca="false">CL31-CL35</f>
        <v>-2636.11766570584</v>
      </c>
      <c r="CM36" s="19" t="n">
        <f aca="false">CM31-CM35</f>
        <v>-2636.11766570584</v>
      </c>
      <c r="CN36" s="19" t="n">
        <f aca="false">CN31-CN35</f>
        <v>-2636.11766570584</v>
      </c>
      <c r="CO36" s="19" t="n">
        <f aca="false">CO31-CO35</f>
        <v>-2636.11766570584</v>
      </c>
      <c r="CP36" s="19" t="n">
        <f aca="false">CP31-CP35</f>
        <v>-2636.11766570584</v>
      </c>
      <c r="CQ36" s="19" t="n">
        <f aca="false">CQ31-CQ35</f>
        <v>-2636.11766570584</v>
      </c>
      <c r="CR36" s="19" t="n">
        <f aca="false">CR31-CR35</f>
        <v>-2636.11766570584</v>
      </c>
      <c r="CS36" s="19" t="n">
        <f aca="false">CS31-CS35</f>
        <v>-2636.11766570584</v>
      </c>
      <c r="CT36" s="19" t="n">
        <f aca="false">CT31-CT35</f>
        <v>-2636.11766570584</v>
      </c>
      <c r="CU36" s="19" t="n">
        <f aca="false">CU31-CU35</f>
        <v>-2636.11766570584</v>
      </c>
      <c r="CV36" s="19" t="n">
        <f aca="false">CV31-CV35</f>
        <v>-2636.11766570584</v>
      </c>
      <c r="CW36" s="19" t="n">
        <f aca="false">CW31-CW35</f>
        <v>-2636.11766570584</v>
      </c>
      <c r="CX36" s="19" t="n">
        <f aca="false">CX31-CX35</f>
        <v>-2636.11766570584</v>
      </c>
      <c r="CY36" s="19" t="n">
        <f aca="false">CY31-CY35</f>
        <v>-2636.11766570584</v>
      </c>
      <c r="CZ36" s="19" t="n">
        <f aca="false">CZ31-CZ35</f>
        <v>-2636.11766570584</v>
      </c>
      <c r="DA36" s="19" t="n">
        <f aca="false">DA31-DA35</f>
        <v>-2636.11766570584</v>
      </c>
      <c r="DB36" s="19" t="n">
        <f aca="false">DB31-DB35</f>
        <v>-2636.11766570584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12.4465263079267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3.67100763430498</v>
      </c>
      <c r="AA38" s="19" t="n">
        <f aca="false">IF(Time!AA32=1,MAX(0,AA32-AA13/Inputs!$F$95),0)</f>
        <v>5.55025554435675</v>
      </c>
      <c r="AB38" s="19" t="n">
        <f aca="false">IF(Time!AB32=1,MAX(0,AB32-AB13/Inputs!$F$95),0)</f>
        <v>2.00589152709531</v>
      </c>
      <c r="AC38" s="19" t="n">
        <f aca="false">IF(Time!AC32=1,MAX(0,AC32-AC13/Inputs!$F$95),0)</f>
        <v>1.21937160216962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3022.9544377117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16.680981616201</v>
      </c>
      <c r="AA104" s="19" t="n">
        <f aca="false">AA13-IF(Inputs!$F$215=1,AA87,AA34-AA39)</f>
        <v>34.8876282797792</v>
      </c>
      <c r="AB104" s="19" t="n">
        <f aca="false">AB13-IF(Inputs!$F$215=1,AB87,AB34-AB39)</f>
        <v>36.1818605049932</v>
      </c>
      <c r="AC104" s="19" t="n">
        <f aca="false">AC13-IF(Inputs!$F$215=1,AC87,AC34-AC39)</f>
        <v>37.4266921294244</v>
      </c>
      <c r="AD104" s="19" t="n">
        <f aca="false">AD13-IF(Inputs!$F$215=1,AD87,AD34-AD39)</f>
        <v>12.5527188434089</v>
      </c>
      <c r="AE104" s="19" t="n">
        <f aca="false">AE13-IF(Inputs!$F$215=1,AE87,AE34-AE39)</f>
        <v>13.3273656710155</v>
      </c>
      <c r="AF104" s="19" t="n">
        <f aca="false">AF13-IF(Inputs!$F$215=1,AF87,AF34-AF39)</f>
        <v>14.280922683605</v>
      </c>
      <c r="AG104" s="19" t="n">
        <f aca="false">AG13-IF(Inputs!$F$215=1,AG87,AG34-AG39)</f>
        <v>15.11261714384</v>
      </c>
      <c r="AH104" s="19" t="n">
        <f aca="false">AH13-IF(Inputs!$F$215=1,AH87,AH34-AH39)</f>
        <v>15.4173643972531</v>
      </c>
      <c r="AI104" s="19" t="n">
        <f aca="false">AI13-IF(Inputs!$F$215=1,AI87,AI34-AI39)</f>
        <v>15.1839275044107</v>
      </c>
      <c r="AJ104" s="19" t="n">
        <f aca="false">AJ13-IF(Inputs!$F$215=1,AJ87,AJ34-AJ39)</f>
        <v>15.6011814954734</v>
      </c>
      <c r="AK104" s="19" t="n">
        <f aca="false">AK13-IF(Inputs!$F$215=1,AK87,AK34-AK39)</f>
        <v>16.407887611724</v>
      </c>
      <c r="AL104" s="19" t="n">
        <f aca="false">AL13-IF(Inputs!$F$215=1,AL87,AL34-AL39)</f>
        <v>16.7554474296907</v>
      </c>
      <c r="AM104" s="19" t="n">
        <f aca="false">AM13-IF(Inputs!$F$215=1,AM87,AM34-AM39)</f>
        <v>17.7178669952742</v>
      </c>
      <c r="AN104" s="19" t="n">
        <f aca="false">AN13-IF(Inputs!$F$215=1,AN87,AN34-AN39)</f>
        <v>18.0889648468135</v>
      </c>
      <c r="AO104" s="19" t="n">
        <f aca="false">AO13-IF(Inputs!$F$215=1,AO87,AO34-AO39)</f>
        <v>20.1800416497994</v>
      </c>
      <c r="AP104" s="19" t="n">
        <f aca="false">AP13-IF(Inputs!$F$215=1,AP87,AP34-AP39)</f>
        <v>20.5752451028968</v>
      </c>
      <c r="AQ104" s="19" t="n">
        <f aca="false">AQ13-IF(Inputs!$F$215=1,AQ87,AQ34-AQ39)</f>
        <v>18.2381385944656</v>
      </c>
      <c r="AR104" s="19" t="n">
        <f aca="false">AR13-IF(Inputs!$F$215=1,AR87,AR34-AR39)</f>
        <v>18.7821009306295</v>
      </c>
      <c r="AS104" s="19" t="n">
        <f aca="false">AS13-IF(Inputs!$F$215=1,AS87,AS34-AS39)</f>
        <v>19.8254442605744</v>
      </c>
      <c r="AT104" s="19" t="n">
        <f aca="false">AT13-IF(Inputs!$F$215=1,AT87,AT34-AT39)</f>
        <v>20.27531539603</v>
      </c>
      <c r="AU104" s="19" t="n">
        <f aca="false">AU13-IF(Inputs!$F$215=1,AU87,AU34-AU39)</f>
        <v>21.5203236146166</v>
      </c>
      <c r="AV104" s="19" t="n">
        <f aca="false">AV13-IF(Inputs!$F$215=1,AV87,AV34-AV39)</f>
        <v>22.0001754838577</v>
      </c>
      <c r="AW104" s="19" t="n">
        <f aca="false">AW13-IF(Inputs!$F$215=1,AW87,AW34-AW39)</f>
        <v>23.8481991273156</v>
      </c>
      <c r="AX104" s="19" t="n">
        <f aca="false">AX13-IF(Inputs!$F$215=1,AX87,AX34-AX39)</f>
        <v>24.0297475369942</v>
      </c>
      <c r="AY104" s="19" t="n">
        <f aca="false">AY13-IF(Inputs!$F$215=1,AY87,AY34-AY39)</f>
        <v>23.9512527805308</v>
      </c>
      <c r="AZ104" s="19" t="n">
        <f aca="false">AZ13-IF(Inputs!$F$215=1,AZ87,AZ34-AZ39)</f>
        <v>24.298651795583</v>
      </c>
      <c r="BA104" s="19" t="n">
        <f aca="false">BA13-IF(Inputs!$F$215=1,BA87,BA34-BA39)</f>
        <v>25.4250763964121</v>
      </c>
      <c r="BB104" s="19" t="n">
        <f aca="false">BB13-IF(Inputs!$F$215=1,BB87,BB34-BB39)</f>
        <v>25.6256877492069</v>
      </c>
      <c r="BC104" s="19" t="n">
        <f aca="false">BC13-IF(Inputs!$F$215=1,BC87,BC34-BC39)</f>
        <v>29.7426694754645</v>
      </c>
      <c r="BD104" s="19" t="n">
        <f aca="false">BD13-IF(Inputs!$F$215=1,BD87,BD34-BD39)</f>
        <v>29.9539753228252</v>
      </c>
      <c r="BE104" s="19" t="n">
        <f aca="false">BE13-IF(Inputs!$F$215=1,BE87,BE34-BE39)</f>
        <v>32.6859721039857</v>
      </c>
      <c r="BF104" s="19" t="n">
        <f aca="false">BF13-IF(Inputs!$F$215=1,BF87,BF34-BF39)</f>
        <v>32.9084915925236</v>
      </c>
      <c r="BG104" s="19" t="n">
        <f aca="false">BG13-IF(Inputs!$F$215=1,BG87,BG34-BG39)</f>
        <v>34.3981316191679</v>
      </c>
      <c r="BH104" s="19" t="n">
        <f aca="false">BH13-IF(Inputs!$F$215=1,BH87,BH34-BH39)</f>
        <v>34.8228826000064</v>
      </c>
      <c r="BI104" s="19" t="n">
        <f aca="false">BI13-IF(Inputs!$F$215=1,BI87,BI34-BI39)</f>
        <v>36.2003817034957</v>
      </c>
      <c r="BJ104" s="19" t="n">
        <f aca="false">BJ13-IF(Inputs!$F$215=1,BJ87,BJ34-BJ39)</f>
        <v>36.4457881222197</v>
      </c>
      <c r="BK104" s="19" t="n">
        <f aca="false">BK13-IF(Inputs!$F$215=1,BK87,BK34-BK39)</f>
        <v>38.0976871792905</v>
      </c>
      <c r="BL104" s="19" t="n">
        <f aca="false">BL13-IF(Inputs!$F$215=1,BL87,BL34-BL39)</f>
        <v>38.3558969037746</v>
      </c>
      <c r="BM104" s="19" t="n">
        <f aca="false">BM13-IF(Inputs!$F$215=1,BM87,BM34-BM39)</f>
        <v>40.0797233071126</v>
      </c>
      <c r="BN104" s="19" t="n">
        <f aca="false">BN13-IF(Inputs!$F$215=1,BN87,BN34-BN39)</f>
        <v>40.3501757407938</v>
      </c>
      <c r="BO104" s="19" t="n">
        <f aca="false">BO13-IF(Inputs!$F$215=1,BO87,BO34-BO39)</f>
        <v>35.9629253676262</v>
      </c>
      <c r="BP104" s="19" t="n">
        <f aca="false">BP13-IF(Inputs!$F$215=1,BP87,BP34-BP39)</f>
        <v>36.4821273692422</v>
      </c>
      <c r="BQ104" s="19" t="n">
        <f aca="false">BQ13-IF(Inputs!$F$215=1,BQ87,BQ34-BQ39)</f>
        <v>38.1537630625372</v>
      </c>
      <c r="BR104" s="19" t="n">
        <f aca="false">BR13-IF(Inputs!$F$215=1,BR87,BR34-BR39)</f>
        <v>37.9434562157687</v>
      </c>
      <c r="BS104" s="19" t="n">
        <f aca="false">BS13-IF(Inputs!$F$215=1,BS87,BS34-BS39)</f>
        <v>39.8857502210949</v>
      </c>
      <c r="BT104" s="19" t="n">
        <f aca="false">BT13-IF(Inputs!$F$215=1,BT87,BT34-BT39)</f>
        <v>39.6680340160076</v>
      </c>
      <c r="BU104" s="19" t="n">
        <f aca="false">BU13-IF(Inputs!$F$215=1,BU87,BU34-BU39)</f>
        <v>47.8856584188742</v>
      </c>
      <c r="BV104" s="19" t="n">
        <f aca="false">BV13-IF(Inputs!$F$215=1,BV87,BV34-BV39)</f>
        <v>47.6602029103348</v>
      </c>
      <c r="BW104" s="19" t="n">
        <f aca="false">BW13-IF(Inputs!$F$215=1,BW87,BW34-BW39)</f>
        <v>47.6214296394366</v>
      </c>
      <c r="BX104" s="19" t="n">
        <f aca="false">BX13-IF(Inputs!$F$215=1,BX87,BX34-BX39)</f>
        <v>39.2582015056126</v>
      </c>
      <c r="BY104" s="19" t="n">
        <f aca="false">BY13-IF(Inputs!$F$215=1,BY87,BY34-BY39)</f>
        <v>40.4794709262638</v>
      </c>
      <c r="BZ104" s="19" t="n">
        <f aca="false">BZ13-IF(Inputs!$F$215=1,BZ87,BZ34-BZ39)</f>
        <v>40.1380966941785</v>
      </c>
      <c r="CA104" s="19" t="n">
        <f aca="false">CA13-IF(Inputs!$F$215=1,CA87,CA34-CA39)</f>
        <v>37.6107470754881</v>
      </c>
      <c r="CB104" s="19" t="n">
        <f aca="false">CB13-IF(Inputs!$F$215=1,CB87,CB34-CB39)</f>
        <v>37.2683176648947</v>
      </c>
      <c r="CC104" s="19" t="n">
        <f aca="false">CC13-IF(Inputs!$F$215=1,CC87,CC34-CC39)</f>
        <v>38.801074341533</v>
      </c>
      <c r="CD104" s="19" t="n">
        <f aca="false">CD13-IF(Inputs!$F$215=1,CD87,CD34-CD39)</f>
        <v>38.4425589420613</v>
      </c>
      <c r="CE104" s="19" t="n">
        <f aca="false">CE13-IF(Inputs!$F$215=1,CE87,CE34-CE39)</f>
        <v>38.0803552278652</v>
      </c>
      <c r="CF104" s="19" t="n">
        <f aca="false">CF13-IF(Inputs!$F$215=1,CF87,CF34-CF39)</f>
        <v>37.9525866880202</v>
      </c>
      <c r="CG104" s="19" t="n">
        <f aca="false">CG13-IF(Inputs!$F$215=1,CG87,CG34-CG39)</f>
        <v>47.3707876336686</v>
      </c>
      <c r="CH104" s="19" t="n">
        <f aca="false">CH13-IF(Inputs!$F$215=1,CH87,CH34-CH39)</f>
        <v>119.153667117229</v>
      </c>
      <c r="CI104" s="19" t="n">
        <f aca="false">CI13-IF(Inputs!$F$215=1,CI87,CI34-CI39)</f>
        <v>124.61200465455</v>
      </c>
      <c r="CJ104" s="19" t="n">
        <f aca="false">CJ13-IF(Inputs!$F$215=1,CJ87,CJ34-CJ39)</f>
        <v>123.586226936254</v>
      </c>
      <c r="CK104" s="19" t="n">
        <f aca="false">CK13-IF(Inputs!$F$215=1,CK87,CK34-CK39)</f>
        <v>145.507193900089</v>
      </c>
      <c r="CL104" s="19" t="n">
        <f aca="false">CL13-IF(Inputs!$F$215=1,CL87,CL34-CL39)</f>
        <v>133.966865818315</v>
      </c>
      <c r="CM104" s="19" t="n">
        <f aca="false">CM13-IF(Inputs!$F$215=1,CM87,CM34-CM39)</f>
        <v>139.822490878482</v>
      </c>
      <c r="CN104" s="19" t="n">
        <f aca="false">CN13-IF(Inputs!$F$215=1,CN87,CN34-CN39)</f>
        <v>139.557403854145</v>
      </c>
      <c r="CO104" s="19" t="n">
        <f aca="false">CO13-IF(Inputs!$F$215=1,CO87,CO34-CO39)</f>
        <v>144.778832089402</v>
      </c>
      <c r="CP104" s="19" t="n">
        <f aca="false">CP13-IF(Inputs!$F$215=1,CP87,CP34-CP39)</f>
        <v>157.063605300249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562.070246293519</v>
      </c>
      <c r="AL106" s="19" t="n">
        <f aca="false">IF(Time!AL49=1,AK102,AK112)</f>
        <v>559.80201157903</v>
      </c>
      <c r="AM106" s="19" t="n">
        <f aca="false">IF(Time!AM49=1,AL102,AL112)</f>
        <v>557.126287049642</v>
      </c>
      <c r="AN106" s="19" t="n">
        <f aca="false">IF(Time!AN49=1,AM102,AM112)</f>
        <v>553.908468449882</v>
      </c>
      <c r="AO106" s="19" t="n">
        <f aca="false">IF(Time!AO49=1,AN102,AN112)</f>
        <v>550.254302232435</v>
      </c>
      <c r="AP106" s="19" t="n">
        <f aca="false">IF(Time!AP49=1,AO102,AO112)</f>
        <v>545.289028319664</v>
      </c>
      <c r="AQ106" s="19" t="n">
        <f aca="false">IF(Time!AQ49=1,AP102,AP112)</f>
        <v>539.846548421617</v>
      </c>
      <c r="AR106" s="19" t="n">
        <f aca="false">IF(Time!AR49=1,AQ102,AQ112)</f>
        <v>536.015329101745</v>
      </c>
      <c r="AS106" s="19" t="n">
        <f aca="false">IF(Time!AS49=1,AR102,AR112)</f>
        <v>531.672494428814</v>
      </c>
      <c r="AT106" s="19" t="n">
        <f aca="false">IF(Time!AT49=1,AS102,AS112)</f>
        <v>526.656980390162</v>
      </c>
      <c r="AU106" s="19" t="n">
        <f aca="false">IF(Time!AU49=1,AT102,AT112)</f>
        <v>521.131726340541</v>
      </c>
      <c r="AV106" s="19" t="n">
        <f aca="false">IF(Time!AV49=1,AU102,AU112)</f>
        <v>514.823693443092</v>
      </c>
      <c r="AW106" s="19" t="n">
        <f aca="false">IF(Time!AW49=1,AV102,AV112)</f>
        <v>507.968971454321</v>
      </c>
      <c r="AX106" s="19" t="n">
        <f aca="false">IF(Time!AX49=1,AW102,AW112)</f>
        <v>499.905976137142</v>
      </c>
      <c r="AY106" s="19" t="n">
        <f aca="false">IF(Time!AY49=1,AX102,AX112)</f>
        <v>491.471840992205</v>
      </c>
      <c r="AZ106" s="19" t="n">
        <f aca="false">IF(Time!AZ49=1,AY102,AY112)</f>
        <v>483.085662572826</v>
      </c>
      <c r="BA106" s="19" t="n">
        <f aca="false">IF(Time!BA49=1,AZ102,AZ112)</f>
        <v>474.257522120978</v>
      </c>
      <c r="BB106" s="19" t="n">
        <f aca="false">IF(Time!BB49=1,BA102,BA112)</f>
        <v>464.623250786063</v>
      </c>
      <c r="BC106" s="19" t="n">
        <f aca="false">IF(Time!BC49=1,BB102,BB112)</f>
        <v>454.589766725324</v>
      </c>
      <c r="BD106" s="19" t="n">
        <f aca="false">IF(Time!BD49=1,BC102,BC112)</f>
        <v>441.773710059225</v>
      </c>
      <c r="BE106" s="19" t="n">
        <f aca="false">IF(Time!BE49=1,BD102,BD112)</f>
        <v>428.507976384284</v>
      </c>
      <c r="BF106" s="19" t="n">
        <f aca="false">IF(Time!BF49=1,BE102,BE112)</f>
        <v>413.327386699163</v>
      </c>
      <c r="BG106" s="19" t="n">
        <f aca="false">IF(Time!BG49=1,BF102,BF112)</f>
        <v>397.660323986262</v>
      </c>
      <c r="BH106" s="19" t="n">
        <f aca="false">IF(Time!BH49=1,BG102,BG112)</f>
        <v>380.862446344732</v>
      </c>
      <c r="BI106" s="19" t="n">
        <f aca="false">IF(Time!BI49=1,BH102,BH112)</f>
        <v>363.458421788152</v>
      </c>
      <c r="BJ106" s="19" t="n">
        <f aca="false">IF(Time!BJ49=1,BI102,BI112)</f>
        <v>344.93145398044</v>
      </c>
      <c r="BK106" s="19" t="n">
        <f aca="false">IF(Time!BK49=1,BJ102,BJ112)</f>
        <v>325.868336833251</v>
      </c>
      <c r="BL106" s="19" t="n">
        <f aca="false">IF(Time!BL49=1,BK102,BK112)</f>
        <v>305.496643326617</v>
      </c>
      <c r="BM106" s="19" t="n">
        <f aca="false">IF(Time!BM49=1,BL102,BL112)</f>
        <v>284.561726784545</v>
      </c>
      <c r="BN106" s="19" t="n">
        <f aca="false">IF(Time!BN49=1,BM102,BM112)</f>
        <v>262.231490277943</v>
      </c>
      <c r="BO106" s="19" t="n">
        <f aca="false">IF(Time!BO49=1,BN102,BN112)</f>
        <v>239.310538410711</v>
      </c>
      <c r="BP106" s="19" t="n">
        <f aca="false">IF(Time!BP49=1,BO102,BO112)</f>
        <v>219.026800189739</v>
      </c>
      <c r="BQ106" s="19" t="n">
        <f aca="false">IF(Time!BQ49=1,BP102,BP112)</f>
        <v>198.047310863075</v>
      </c>
      <c r="BR106" s="19" t="n">
        <f aca="false">IF(Time!BR49=1,BQ102,BQ112)</f>
        <v>175.666497805174</v>
      </c>
      <c r="BS106" s="19" t="n">
        <f aca="false">IF(Time!BS49=1,BR102,BR112)</f>
        <v>153.036467080717</v>
      </c>
      <c r="BT106" s="19" t="n">
        <f aca="false">IF(Time!BT49=1,BS102,BS112)</f>
        <v>128.806669739489</v>
      </c>
      <c r="BU106" s="19" t="n">
        <f aca="false">IF(Time!BU49=1,BT102,BT112)</f>
        <v>104.315857895993</v>
      </c>
      <c r="BV106" s="19" t="n">
        <f aca="false">IF(Time!BV49=1,BU102,BU112)</f>
        <v>74.0012363189285</v>
      </c>
      <c r="BW106" s="19" t="n">
        <f aca="false">IF(Time!BW49=1,BV102,BV112)</f>
        <v>43.3506807188223</v>
      </c>
      <c r="BX106" s="19" t="n">
        <f aca="false">IF(Time!BX49=1,BW102,BW112)</f>
        <v>12.2717778707575</v>
      </c>
      <c r="BY106" s="19" t="n">
        <f aca="false">IF(Time!BY49=1,BX102,BX112)</f>
        <v>-13.7131126709263</v>
      </c>
      <c r="BZ106" s="19" t="n">
        <f aca="false">IF(Time!BZ49=1,BY102,BY112)</f>
        <v>-40.9109617165151</v>
      </c>
      <c r="CA106" s="19" t="n">
        <f aca="false">IF(Time!CA49=1,BZ102,BZ112)</f>
        <v>-68.2904858666882</v>
      </c>
      <c r="CB106" s="19" t="n">
        <f aca="false">IF(Time!CB49=1,CA102,CA112)</f>
        <v>-94.4177494465766</v>
      </c>
      <c r="CC106" s="19" t="n">
        <f aca="false">IF(Time!CC49=1,CB102,CB112)</f>
        <v>-120.696012767698</v>
      </c>
      <c r="CD106" s="19" t="n">
        <f aca="false">IF(Time!CD49=1,CC102,CC112)</f>
        <v>-148.425222594347</v>
      </c>
      <c r="CE106" s="19" t="n">
        <f aca="false">IF(Time!CE49=1,CD102,CD112)</f>
        <v>-176.305836148034</v>
      </c>
      <c r="CF106" s="19" t="n">
        <f aca="false">IF(Time!CF49=1,CE102,CE112)</f>
        <v>-204.412389989025</v>
      </c>
      <c r="CG106" s="19" t="n">
        <f aca="false">IF(Time!CG49=1,CF102,CF112)</f>
        <v>-232.833055495177</v>
      </c>
      <c r="CH106" s="19" t="n">
        <f aca="false">IF(Time!CH49=1,CG102,CG112)</f>
        <v>-268.005205887467</v>
      </c>
      <c r="CI106" s="19" t="n">
        <f aca="false">IF(Time!CI49=1,CH102,CH112)</f>
        <v>-351.507761043232</v>
      </c>
      <c r="CJ106" s="19" t="n">
        <f aca="false">IF(Time!CJ49=1,CI102,CI112)</f>
        <v>-440.004702861638</v>
      </c>
      <c r="CK106" s="19" t="n">
        <f aca="false">IF(Time!CK49=1,CJ102,CJ112)</f>
        <v>-529.072260674674</v>
      </c>
      <c r="CL106" s="19" t="n">
        <f aca="false">IF(Time!CL49=1,CK102,CK112)</f>
        <v>-634.23839484506</v>
      </c>
      <c r="CM106" s="19" t="n">
        <f aca="false">IF(Time!CM49=1,CL102,CL112)</f>
        <v>-733.173728514866</v>
      </c>
      <c r="CN106" s="19" t="n">
        <f aca="false">IF(Time!CN49=1,CM102,CM112)</f>
        <v>-837.698479587361</v>
      </c>
      <c r="CO106" s="19" t="n">
        <f aca="false">IF(Time!CO49=1,CN102,CN112)</f>
        <v>-943.518421076931</v>
      </c>
      <c r="CP106" s="19" t="n">
        <f aca="false">IF(Time!CP49=1,CO102,CO112)</f>
        <v>-1054.59212498502</v>
      </c>
      <c r="CQ106" s="19" t="n">
        <f aca="false">IF(Time!CQ49=1,CP102,CP112)</f>
        <v>-1054.59212498502</v>
      </c>
      <c r="CR106" s="19" t="n">
        <f aca="false">IF(Time!CR49=1,CQ102,CQ112)</f>
        <v>-1054.59212498502</v>
      </c>
      <c r="CS106" s="19" t="n">
        <f aca="false">IF(Time!CS49=1,CR102,CR112)</f>
        <v>-1054.59212498502</v>
      </c>
      <c r="CT106" s="19" t="n">
        <f aca="false">IF(Time!CT49=1,CS102,CS112)</f>
        <v>-1054.59212498502</v>
      </c>
      <c r="CU106" s="19" t="n">
        <f aca="false">IF(Time!CU49=1,CT102,CT112)</f>
        <v>-1054.59212498502</v>
      </c>
      <c r="CV106" s="19" t="n">
        <f aca="false">IF(Time!CV49=1,CU102,CU112)</f>
        <v>-1054.59212498502</v>
      </c>
      <c r="CW106" s="19" t="n">
        <f aca="false">IF(Time!CW49=1,CV102,CV112)</f>
        <v>-1054.59212498502</v>
      </c>
      <c r="CX106" s="19" t="n">
        <f aca="false">IF(Time!CX49=1,CW102,CW112)</f>
        <v>-1054.59212498502</v>
      </c>
      <c r="CY106" s="19" t="n">
        <f aca="false">IF(Time!CY49=1,CX102,CX112)</f>
        <v>-1054.59212498502</v>
      </c>
      <c r="CZ106" s="19" t="n">
        <f aca="false">IF(Time!CZ49=1,CY102,CY112)</f>
        <v>-1054.59212498502</v>
      </c>
      <c r="DA106" s="19" t="n">
        <f aca="false">IF(Time!DA49=1,CZ102,CZ112)</f>
        <v>-1054.59212498502</v>
      </c>
      <c r="DB106" s="19" t="n">
        <f aca="false">IF(Time!DB49=1,DA102,DA112)</f>
        <v>-1054.59212498502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17.5665867290332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8.67035702666035</v>
      </c>
      <c r="AL107" s="19" t="n">
        <f aca="false">AL106*Time!AL50*Time!AL9/Inputs!$F$45</f>
        <v>8.49457375707292</v>
      </c>
      <c r="AM107" s="19" t="n">
        <f aca="false">AM106*Time!AM50*Time!AM9/Inputs!$F$45</f>
        <v>8.59409273042276</v>
      </c>
      <c r="AN107" s="19" t="n">
        <f aca="false">AN106*Time!AN50*Time!AN9/Inputs!$F$45</f>
        <v>8.40514368042881</v>
      </c>
      <c r="AO107" s="19" t="n">
        <f aca="false">AO106*Time!AO50*Time!AO9/Inputs!$F$45</f>
        <v>8.48808718709453</v>
      </c>
      <c r="AP107" s="19" t="n">
        <f aca="false">AP106*Time!AP50*Time!AP9/Inputs!$F$45</f>
        <v>8.27435017055148</v>
      </c>
      <c r="AQ107" s="19" t="n">
        <f aca="false">AQ106*Time!AQ50*Time!AQ9/Inputs!$F$45</f>
        <v>8.32753974310431</v>
      </c>
      <c r="AR107" s="19" t="n">
        <f aca="false">AR106*Time!AR50*Time!AR9/Inputs!$F$45</f>
        <v>8.17856594748887</v>
      </c>
      <c r="AS107" s="19" t="n">
        <f aca="false">AS106*Time!AS50*Time!AS9/Inputs!$F$45</f>
        <v>8.20144880173149</v>
      </c>
      <c r="AT107" s="19" t="n">
        <f aca="false">AT106*Time!AT50*Time!AT9/Inputs!$F$45</f>
        <v>7.99162288106562</v>
      </c>
      <c r="AU107" s="19" t="n">
        <f aca="false">AU106*Time!AU50*Time!AU9/Inputs!$F$45</f>
        <v>8.0388495122953</v>
      </c>
      <c r="AV107" s="19" t="n">
        <f aca="false">AV106*Time!AV50*Time!AV9/Inputs!$F$45</f>
        <v>7.812061667134</v>
      </c>
      <c r="AW107" s="19" t="n">
        <f aca="false">AW106*Time!AW50*Time!AW9/Inputs!$F$45</f>
        <v>7.83580410103126</v>
      </c>
      <c r="AX107" s="19" t="n">
        <f aca="false">AX106*Time!AX50*Time!AX9/Inputs!$F$45</f>
        <v>7.58569654639226</v>
      </c>
      <c r="AY107" s="19" t="n">
        <f aca="false">AY106*Time!AY50*Time!AY9/Inputs!$F$45</f>
        <v>7.58132343430825</v>
      </c>
      <c r="AZ107" s="19" t="n">
        <f aca="false">AZ106*Time!AZ50*Time!AZ9/Inputs!$F$45</f>
        <v>7.37096074520707</v>
      </c>
      <c r="BA107" s="19" t="n">
        <f aca="false">BA106*Time!BA50*Time!BA9/Inputs!$F$45</f>
        <v>7.31577959602727</v>
      </c>
      <c r="BB107" s="19" t="n">
        <f aca="false">BB106*Time!BB50*Time!BB9/Inputs!$F$45</f>
        <v>7.05030777206491</v>
      </c>
      <c r="BC107" s="19" t="n">
        <f aca="false">BC106*Time!BC50*Time!BC9/Inputs!$F$45</f>
        <v>7.01238965087743</v>
      </c>
      <c r="BD107" s="19" t="n">
        <f aca="false">BD106*Time!BD50*Time!BD9/Inputs!$F$45</f>
        <v>6.70358320694253</v>
      </c>
      <c r="BE107" s="19" t="n">
        <f aca="false">BE106*Time!BE50*Time!BE9/Inputs!$F$45</f>
        <v>6.61005838420294</v>
      </c>
      <c r="BF107" s="19" t="n">
        <f aca="false">BF106*Time!BF50*Time!BF9/Inputs!$F$45</f>
        <v>6.27193168211502</v>
      </c>
      <c r="BG107" s="19" t="n">
        <f aca="false">BG106*Time!BG50*Time!BG9/Inputs!$F$45</f>
        <v>6.13421010458151</v>
      </c>
      <c r="BH107" s="19" t="n">
        <f aca="false">BH106*Time!BH50*Time!BH9/Inputs!$F$45</f>
        <v>5.81123051009063</v>
      </c>
      <c r="BI107" s="19" t="n">
        <f aca="false">BI106*Time!BI50*Time!BI9/Inputs!$F$45</f>
        <v>5.6066199946192</v>
      </c>
      <c r="BJ107" s="19" t="n">
        <f aca="false">BJ106*Time!BJ50*Time!BJ9/Inputs!$F$45</f>
        <v>5.23407493429059</v>
      </c>
      <c r="BK107" s="19" t="n">
        <f aca="false">BK106*Time!BK50*Time!BK9/Inputs!$F$45</f>
        <v>5.02676461289298</v>
      </c>
      <c r="BL107" s="19" t="n">
        <f aca="false">BL106*Time!BL50*Time!BL9/Inputs!$F$45</f>
        <v>4.63568139377754</v>
      </c>
      <c r="BM107" s="19" t="n">
        <f aca="false">BM106*Time!BM50*Time!BM9/Inputs!$F$45</f>
        <v>4.38957903147315</v>
      </c>
      <c r="BN107" s="19" t="n">
        <f aca="false">BN106*Time!BN50*Time!BN9/Inputs!$F$45</f>
        <v>3.97916529329703</v>
      </c>
      <c r="BO107" s="19" t="n">
        <f aca="false">BO106*Time!BO50*Time!BO9/Inputs!$F$45</f>
        <v>3.69154535744566</v>
      </c>
      <c r="BP107" s="19" t="n">
        <f aca="false">BP106*Time!BP50*Time!BP9/Inputs!$F$45</f>
        <v>3.34192891949779</v>
      </c>
      <c r="BQ107" s="19" t="n">
        <f aca="false">BQ106*Time!BQ50*Time!BQ9/Inputs!$F$45</f>
        <v>3.0550289837903</v>
      </c>
      <c r="BR107" s="19" t="n">
        <f aca="false">BR106*Time!BR50*Time!BR9/Inputs!$F$45</f>
        <v>2.66560675272257</v>
      </c>
      <c r="BS107" s="19" t="n">
        <f aca="false">BS106*Time!BS50*Time!BS9/Inputs!$F$45</f>
        <v>2.36070280616787</v>
      </c>
      <c r="BT107" s="19" t="n">
        <f aca="false">BT106*Time!BT50*Time!BT9/Inputs!$F$45</f>
        <v>1.95454416717571</v>
      </c>
      <c r="BU107" s="19" t="n">
        <f aca="false">BU106*Time!BU50*Time!BU9/Inputs!$F$45</f>
        <v>1.6091507021852</v>
      </c>
      <c r="BV107" s="19" t="n">
        <f aca="false">BV106*Time!BV50*Time!BV9/Inputs!$F$45</f>
        <v>1.12291300678361</v>
      </c>
      <c r="BW107" s="19" t="n">
        <f aca="false">BW106*Time!BW50*Time!BW9/Inputs!$F$45</f>
        <v>0.668716911559608</v>
      </c>
      <c r="BX107" s="19" t="n">
        <f aca="false">BX106*Time!BX50*Time!BX9/Inputs!$F$45</f>
        <v>0.187243795391294</v>
      </c>
      <c r="BY107" s="19" t="n">
        <f aca="false">BY106*Time!BY50*Time!BY9/Inputs!$F$45</f>
        <v>-0.211535094746256</v>
      </c>
      <c r="BZ107" s="19" t="n">
        <f aca="false">BZ106*Time!BZ50*Time!BZ9/Inputs!$F$45</f>
        <v>-0.620793020720796</v>
      </c>
      <c r="CA107" s="19" t="n">
        <f aca="false">CA106*Time!CA50*Time!CA9/Inputs!$F$45</f>
        <v>-1.05343219622959</v>
      </c>
      <c r="CB107" s="19" t="n">
        <f aca="false">CB106*Time!CB50*Time!CB9/Inputs!$F$45</f>
        <v>-1.43271821119126</v>
      </c>
      <c r="CC107" s="19" t="n">
        <f aca="false">CC106*Time!CC50*Time!CC9/Inputs!$F$45</f>
        <v>-1.86182693229382</v>
      </c>
      <c r="CD107" s="19" t="n">
        <f aca="false">CD106*Time!CD50*Time!CD9/Inputs!$F$45</f>
        <v>-2.25224092564671</v>
      </c>
      <c r="CE107" s="19" t="n">
        <f aca="false">CE106*Time!CE50*Time!CE9/Inputs!$F$45</f>
        <v>-2.71965035574765</v>
      </c>
      <c r="CF107" s="19" t="n">
        <f aca="false">CF106*Time!CF50*Time!CF9/Inputs!$F$45</f>
        <v>-3.11894104747091</v>
      </c>
      <c r="CG107" s="19" t="n">
        <f aca="false">CG106*Time!CG50*Time!CG9/Inputs!$F$45</f>
        <v>-3.5916253031782</v>
      </c>
      <c r="CH107" s="19" t="n">
        <f aca="false">CH106*Time!CH50*Time!CH9/Inputs!$F$45</f>
        <v>-4.06677707761185</v>
      </c>
      <c r="CI107" s="19" t="n">
        <f aca="false">CI106*Time!CI50*Time!CI9/Inputs!$F$45</f>
        <v>-5.42227204870634</v>
      </c>
      <c r="CJ107" s="19" t="n">
        <f aca="false">CJ106*Time!CJ50*Time!CJ9/Inputs!$F$45</f>
        <v>-6.6767398555328</v>
      </c>
      <c r="CK107" s="19" t="n">
        <f aca="false">CK106*Time!CK50*Time!CK9/Inputs!$F$45</f>
        <v>-8.16133823699365</v>
      </c>
      <c r="CL107" s="19" t="n">
        <f aca="false">CL106*Time!CL50*Time!CL9/Inputs!$F$45</f>
        <v>-9.62408979092836</v>
      </c>
      <c r="CM107" s="19" t="n">
        <f aca="false">CM106*Time!CM50*Time!CM9/Inputs!$F$45</f>
        <v>-11.3097571535071</v>
      </c>
      <c r="CN107" s="19" t="n">
        <f aca="false">CN106*Time!CN50*Time!CN9/Inputs!$F$45</f>
        <v>-12.7816722534738</v>
      </c>
      <c r="CO107" s="19" t="n">
        <f aca="false">CO106*Time!CO50*Time!CO9/Inputs!$F$45</f>
        <v>-14.5544825151549</v>
      </c>
      <c r="CP107" s="19" t="n">
        <f aca="false">CP106*Time!CP50*Time!CP9/Inputs!$F$45</f>
        <v>-16.0026409409371</v>
      </c>
      <c r="CQ107" s="19" t="n">
        <f aca="false">CQ106*Time!CQ50*Time!CQ9/Inputs!$F$45</f>
        <v>-16.2678780836045</v>
      </c>
      <c r="CR107" s="19" t="n">
        <f aca="false">CR106*Time!CR50*Time!CR9/Inputs!$F$45</f>
        <v>-16.0026409409371</v>
      </c>
      <c r="CS107" s="19" t="n">
        <f aca="false">CS106*Time!CS50*Time!CS9/Inputs!$F$45</f>
        <v>-16.2678780836045</v>
      </c>
      <c r="CT107" s="19" t="n">
        <f aca="false">CT106*Time!CT50*Time!CT9/Inputs!$F$45</f>
        <v>-16.0026409409371</v>
      </c>
      <c r="CU107" s="19" t="n">
        <f aca="false">CU106*Time!CU50*Time!CU9/Inputs!$F$45</f>
        <v>-16.2678780836045</v>
      </c>
      <c r="CV107" s="19" t="n">
        <f aca="false">CV106*Time!CV50*Time!CV9/Inputs!$F$45</f>
        <v>-16.0910533218262</v>
      </c>
      <c r="CW107" s="19" t="n">
        <f aca="false">CW106*Time!CW50*Time!CW9/Inputs!$F$45</f>
        <v>-16.2678780836045</v>
      </c>
      <c r="CX107" s="19" t="n">
        <f aca="false">CX106*Time!CX50*Time!CX9/Inputs!$F$45</f>
        <v>-16.0026409409371</v>
      </c>
      <c r="CY107" s="19" t="n">
        <f aca="false">CY106*Time!CY50*Time!CY9/Inputs!$F$45</f>
        <v>-16.2678780836045</v>
      </c>
      <c r="CZ107" s="19" t="n">
        <f aca="false">CZ106*Time!CZ50*Time!CZ9/Inputs!$F$45</f>
        <v>-16.0026409409371</v>
      </c>
      <c r="DA107" s="19" t="n">
        <f aca="false">DA106*Time!DA50*Time!DA9/Inputs!$F$45</f>
        <v>-16.2678780836045</v>
      </c>
      <c r="DB107" s="19" t="n">
        <f aca="false">DB106*Time!DB50*Time!DB9/Inputs!$F$45</f>
        <v>-16.0026409409371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-62.5830556764236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8.67035702666035</v>
      </c>
      <c r="AL108" s="19" t="n">
        <f aca="false">AL107*Time!AL51</f>
        <v>8.49457375707292</v>
      </c>
      <c r="AM108" s="19" t="n">
        <f aca="false">AM107*Time!AM51</f>
        <v>8.59409273042276</v>
      </c>
      <c r="AN108" s="19" t="n">
        <f aca="false">AN107*Time!AN51</f>
        <v>8.40514368042881</v>
      </c>
      <c r="AO108" s="19" t="n">
        <f aca="false">AO107*Time!AO51</f>
        <v>8.48808718709453</v>
      </c>
      <c r="AP108" s="19" t="n">
        <f aca="false">AP107*Time!AP51</f>
        <v>8.27435017055148</v>
      </c>
      <c r="AQ108" s="19" t="n">
        <f aca="false">AQ107*Time!AQ51</f>
        <v>8.32753974310431</v>
      </c>
      <c r="AR108" s="19" t="n">
        <f aca="false">AR107*Time!AR51</f>
        <v>8.17856594748887</v>
      </c>
      <c r="AS108" s="19" t="n">
        <f aca="false">AS107*Time!AS51</f>
        <v>8.20144880173149</v>
      </c>
      <c r="AT108" s="19" t="n">
        <f aca="false">AT107*Time!AT51</f>
        <v>7.99162288106562</v>
      </c>
      <c r="AU108" s="19" t="n">
        <f aca="false">AU107*Time!AU51</f>
        <v>8.0388495122953</v>
      </c>
      <c r="AV108" s="19" t="n">
        <f aca="false">AV107*Time!AV51</f>
        <v>7.812061667134</v>
      </c>
      <c r="AW108" s="19" t="n">
        <f aca="false">AW107*Time!AW51</f>
        <v>7.83580410103126</v>
      </c>
      <c r="AX108" s="19" t="n">
        <f aca="false">AX107*Time!AX51</f>
        <v>7.58569654639226</v>
      </c>
      <c r="AY108" s="19" t="n">
        <f aca="false">AY107*Time!AY51</f>
        <v>7.58132343430825</v>
      </c>
      <c r="AZ108" s="19" t="n">
        <f aca="false">AZ107*Time!AZ51</f>
        <v>7.37096074520707</v>
      </c>
      <c r="BA108" s="19" t="n">
        <f aca="false">BA107*Time!BA51</f>
        <v>7.31577959602727</v>
      </c>
      <c r="BB108" s="19" t="n">
        <f aca="false">BB107*Time!BB51</f>
        <v>7.05030777206491</v>
      </c>
      <c r="BC108" s="19" t="n">
        <f aca="false">BC107*Time!BC51</f>
        <v>7.01238965087743</v>
      </c>
      <c r="BD108" s="19" t="n">
        <f aca="false">BD107*Time!BD51</f>
        <v>6.70358320694253</v>
      </c>
      <c r="BE108" s="19" t="n">
        <f aca="false">BE107*Time!BE51</f>
        <v>6.61005838420294</v>
      </c>
      <c r="BF108" s="19" t="n">
        <f aca="false">BF107*Time!BF51</f>
        <v>6.27193168211502</v>
      </c>
      <c r="BG108" s="19" t="n">
        <f aca="false">BG107*Time!BG51</f>
        <v>6.13421010458151</v>
      </c>
      <c r="BH108" s="19" t="n">
        <f aca="false">BH107*Time!BH51</f>
        <v>5.81123051009063</v>
      </c>
      <c r="BI108" s="19" t="n">
        <f aca="false">BI107*Time!BI51</f>
        <v>5.6066199946192</v>
      </c>
      <c r="BJ108" s="19" t="n">
        <f aca="false">BJ107*Time!BJ51</f>
        <v>5.23407493429059</v>
      </c>
      <c r="BK108" s="19" t="n">
        <f aca="false">BK107*Time!BK51</f>
        <v>5.02676461289298</v>
      </c>
      <c r="BL108" s="19" t="n">
        <f aca="false">BL107*Time!BL51</f>
        <v>4.63568139377754</v>
      </c>
      <c r="BM108" s="19" t="n">
        <f aca="false">BM107*Time!BM51</f>
        <v>4.38957903147315</v>
      </c>
      <c r="BN108" s="19" t="n">
        <f aca="false">BN107*Time!BN51</f>
        <v>3.97916529329703</v>
      </c>
      <c r="BO108" s="19" t="n">
        <f aca="false">BO107*Time!BO51</f>
        <v>3.69154535744566</v>
      </c>
      <c r="BP108" s="19" t="n">
        <f aca="false">BP107*Time!BP51</f>
        <v>3.34192891949779</v>
      </c>
      <c r="BQ108" s="19" t="n">
        <f aca="false">BQ107*Time!BQ51</f>
        <v>3.0550289837903</v>
      </c>
      <c r="BR108" s="19" t="n">
        <f aca="false">BR107*Time!BR51</f>
        <v>2.66560675272257</v>
      </c>
      <c r="BS108" s="19" t="n">
        <f aca="false">BS107*Time!BS51</f>
        <v>2.36070280616787</v>
      </c>
      <c r="BT108" s="19" t="n">
        <f aca="false">BT107*Time!BT51</f>
        <v>1.95454416717571</v>
      </c>
      <c r="BU108" s="19" t="n">
        <f aca="false">BU107*Time!BU51</f>
        <v>1.6091507021852</v>
      </c>
      <c r="BV108" s="19" t="n">
        <f aca="false">BV107*Time!BV51</f>
        <v>1.12291300678361</v>
      </c>
      <c r="BW108" s="19" t="n">
        <f aca="false">BW107*Time!BW51</f>
        <v>0.668716911559608</v>
      </c>
      <c r="BX108" s="19" t="n">
        <f aca="false">BX107*Time!BX51</f>
        <v>0.187243795391294</v>
      </c>
      <c r="BY108" s="19" t="n">
        <f aca="false">BY107*Time!BY51</f>
        <v>-0.211535094746256</v>
      </c>
      <c r="BZ108" s="19" t="n">
        <f aca="false">BZ107*Time!BZ51</f>
        <v>-0.620793020720796</v>
      </c>
      <c r="CA108" s="19" t="n">
        <f aca="false">CA107*Time!CA51</f>
        <v>-1.05343219622959</v>
      </c>
      <c r="CB108" s="19" t="n">
        <f aca="false">CB107*Time!CB51</f>
        <v>-1.43271821119126</v>
      </c>
      <c r="CC108" s="19" t="n">
        <f aca="false">CC107*Time!CC51</f>
        <v>-1.86182693229382</v>
      </c>
      <c r="CD108" s="19" t="n">
        <f aca="false">CD107*Time!CD51</f>
        <v>-2.25224092564671</v>
      </c>
      <c r="CE108" s="19" t="n">
        <f aca="false">CE107*Time!CE51</f>
        <v>-2.71965035574765</v>
      </c>
      <c r="CF108" s="19" t="n">
        <f aca="false">CF107*Time!CF51</f>
        <v>-3.11894104747091</v>
      </c>
      <c r="CG108" s="19" t="n">
        <f aca="false">CG107*Time!CG51</f>
        <v>-3.5916253031782</v>
      </c>
      <c r="CH108" s="19" t="n">
        <f aca="false">CH107*Time!CH51</f>
        <v>-4.06677707761185</v>
      </c>
      <c r="CI108" s="19" t="n">
        <f aca="false">CI107*Time!CI51</f>
        <v>-5.42227204870634</v>
      </c>
      <c r="CJ108" s="19" t="n">
        <f aca="false">CJ107*Time!CJ51</f>
        <v>-6.6767398555328</v>
      </c>
      <c r="CK108" s="19" t="n">
        <f aca="false">CK107*Time!CK51</f>
        <v>-8.16133823699365</v>
      </c>
      <c r="CL108" s="19" t="n">
        <f aca="false">CL107*Time!CL51</f>
        <v>-9.62408979092836</v>
      </c>
      <c r="CM108" s="19" t="n">
        <f aca="false">CM107*Time!CM51</f>
        <v>-11.3097571535071</v>
      </c>
      <c r="CN108" s="19" t="n">
        <f aca="false">CN107*Time!CN51</f>
        <v>-12.7816722534738</v>
      </c>
      <c r="CO108" s="19" t="n">
        <f aca="false">CO107*Time!CO51</f>
        <v>-14.5544825151549</v>
      </c>
      <c r="CP108" s="19" t="n">
        <f aca="false">CP107*Time!CP51</f>
        <v>-16.0026409409371</v>
      </c>
      <c r="CQ108" s="19" t="n">
        <f aca="false">CQ107*Time!CQ51</f>
        <v>-16.2678780836045</v>
      </c>
      <c r="CR108" s="19" t="n">
        <f aca="false">CR107*Time!CR51</f>
        <v>-16.0026409409371</v>
      </c>
      <c r="CS108" s="19" t="n">
        <f aca="false">CS107*Time!CS51</f>
        <v>-16.2678780836045</v>
      </c>
      <c r="CT108" s="19" t="n">
        <f aca="false">CT107*Time!CT51</f>
        <v>-16.0026409409371</v>
      </c>
      <c r="CU108" s="19" t="n">
        <f aca="false">CU107*Time!CU51</f>
        <v>-16.2678780836045</v>
      </c>
      <c r="CV108" s="19" t="n">
        <f aca="false">CV107*Time!CV51</f>
        <v>-16.0910533218262</v>
      </c>
      <c r="CW108" s="19" t="n">
        <f aca="false">CW107*Time!CW51</f>
        <v>-16.2678780836045</v>
      </c>
      <c r="CX108" s="19" t="n">
        <f aca="false">CX107*Time!CX51</f>
        <v>-16.0026409409371</v>
      </c>
      <c r="CY108" s="19" t="n">
        <f aca="false">CY107*Time!CY51</f>
        <v>-16.2678780836045</v>
      </c>
      <c r="CZ108" s="19" t="n">
        <f aca="false">CZ107*Time!CZ51</f>
        <v>-16.0026409409371</v>
      </c>
      <c r="DA108" s="19" t="n">
        <f aca="false">DA107*Time!DA51</f>
        <v>-16.2678780836045</v>
      </c>
      <c r="DB108" s="19" t="n">
        <f aca="false">DB107*Time!DB51</f>
        <v>-16.0026409409371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1769.89250242502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10.400787663649</v>
      </c>
      <c r="AK110" s="19" t="n">
        <f aca="false">IF(Time!AK47=1,MAX(AK108,AK104/$F$115),0)</f>
        <v>10.9385917411493</v>
      </c>
      <c r="AL110" s="19" t="n">
        <f aca="false">IF(Time!AL47=1,MAX(AL108,AL104/$F$115),0)</f>
        <v>11.1702982864605</v>
      </c>
      <c r="AM110" s="19" t="n">
        <f aca="false">IF(Time!AM47=1,MAX(AM108,AM104/$F$115),0)</f>
        <v>11.8119113301828</v>
      </c>
      <c r="AN110" s="19" t="n">
        <f aca="false">IF(Time!AN47=1,MAX(AN108,AN104/$F$115),0)</f>
        <v>12.0593098978757</v>
      </c>
      <c r="AO110" s="19" t="n">
        <f aca="false">IF(Time!AO47=1,MAX(AO108,AO104/$F$115),0)</f>
        <v>13.4533610998663</v>
      </c>
      <c r="AP110" s="19" t="n">
        <f aca="false">IF(Time!AP47=1,MAX(AP108,AP104/$F$115),0)</f>
        <v>13.7168300685979</v>
      </c>
      <c r="AQ110" s="19" t="n">
        <f aca="false">IF(Time!AQ47=1,MAX(AQ108,AQ104/$F$115),0)</f>
        <v>12.1587590629771</v>
      </c>
      <c r="AR110" s="19" t="n">
        <f aca="false">IF(Time!AR47=1,MAX(AR108,AR104/$F$115),0)</f>
        <v>12.5214006204197</v>
      </c>
      <c r="AS110" s="19" t="n">
        <f aca="false">IF(Time!AS47=1,MAX(AS108,AS104/$F$115),0)</f>
        <v>13.2169628403829</v>
      </c>
      <c r="AT110" s="19" t="n">
        <f aca="false">IF(Time!AT47=1,MAX(AT108,AT104/$F$115),0)</f>
        <v>13.5168769306867</v>
      </c>
      <c r="AU110" s="19" t="n">
        <f aca="false">IF(Time!AU47=1,MAX(AU108,AU104/$F$115),0)</f>
        <v>14.3468824097444</v>
      </c>
      <c r="AV110" s="19" t="n">
        <f aca="false">IF(Time!AV47=1,MAX(AV108,AV104/$F$115),0)</f>
        <v>14.6667836559052</v>
      </c>
      <c r="AW110" s="19" t="n">
        <f aca="false">IF(Time!AW47=1,MAX(AW108,AW104/$F$115),0)</f>
        <v>15.8987994182104</v>
      </c>
      <c r="AX110" s="19" t="n">
        <f aca="false">IF(Time!AX47=1,MAX(AX108,AX104/$F$115),0)</f>
        <v>16.0198316913294</v>
      </c>
      <c r="AY110" s="19" t="n">
        <f aca="false">IF(Time!AY47=1,MAX(AY108,AY104/$F$115),0)</f>
        <v>15.9675018536872</v>
      </c>
      <c r="AZ110" s="19" t="n">
        <f aca="false">IF(Time!AZ47=1,MAX(AZ108,AZ104/$F$115),0)</f>
        <v>16.1991011970553</v>
      </c>
      <c r="BA110" s="19" t="n">
        <f aca="false">IF(Time!BA47=1,MAX(BA108,BA104/$F$115),0)</f>
        <v>16.9500509309414</v>
      </c>
      <c r="BB110" s="19" t="n">
        <f aca="false">IF(Time!BB47=1,MAX(BB108,BB104/$F$115),0)</f>
        <v>17.0837918328046</v>
      </c>
      <c r="BC110" s="19" t="n">
        <f aca="false">IF(Time!BC47=1,MAX(BC108,BC104/$F$115),0)</f>
        <v>19.8284463169763</v>
      </c>
      <c r="BD110" s="19" t="n">
        <f aca="false">IF(Time!BD47=1,MAX(BD108,BD104/$F$115),0)</f>
        <v>19.9693168818835</v>
      </c>
      <c r="BE110" s="19" t="n">
        <f aca="false">IF(Time!BE47=1,MAX(BE108,BE104/$F$115),0)</f>
        <v>21.7906480693238</v>
      </c>
      <c r="BF110" s="19" t="n">
        <f aca="false">IF(Time!BF47=1,MAX(BF108,BF104/$F$115),0)</f>
        <v>21.9389943950157</v>
      </c>
      <c r="BG110" s="19" t="n">
        <f aca="false">IF(Time!BG47=1,MAX(BG108,BG104/$F$115),0)</f>
        <v>22.9320877461119</v>
      </c>
      <c r="BH110" s="19" t="n">
        <f aca="false">IF(Time!BH47=1,MAX(BH108,BH104/$F$115),0)</f>
        <v>23.2152550666709</v>
      </c>
      <c r="BI110" s="19" t="n">
        <f aca="false">IF(Time!BI47=1,MAX(BI108,BI104/$F$115),0)</f>
        <v>24.1335878023305</v>
      </c>
      <c r="BJ110" s="19" t="n">
        <f aca="false">IF(Time!BJ47=1,MAX(BJ108,BJ104/$F$115),0)</f>
        <v>24.2971920814798</v>
      </c>
      <c r="BK110" s="19" t="n">
        <f aca="false">IF(Time!BK47=1,MAX(BK108,BK104/$F$115),0)</f>
        <v>25.398458119527</v>
      </c>
      <c r="BL110" s="19" t="n">
        <f aca="false">IF(Time!BL47=1,MAX(BL108,BL104/$F$115),0)</f>
        <v>25.5705979358497</v>
      </c>
      <c r="BM110" s="19" t="n">
        <f aca="false">IF(Time!BM47=1,MAX(BM108,BM104/$F$115),0)</f>
        <v>26.7198155380751</v>
      </c>
      <c r="BN110" s="19" t="n">
        <f aca="false">IF(Time!BN47=1,MAX(BN108,BN104/$F$115),0)</f>
        <v>26.9001171605292</v>
      </c>
      <c r="BO110" s="19" t="n">
        <f aca="false">IF(Time!BO47=1,MAX(BO108,BO104/$F$115),0)</f>
        <v>23.9752835784175</v>
      </c>
      <c r="BP110" s="19" t="n">
        <f aca="false">IF(Time!BP47=1,MAX(BP108,BP104/$F$115),0)</f>
        <v>24.3214182461615</v>
      </c>
      <c r="BQ110" s="19" t="n">
        <f aca="false">IF(Time!BQ47=1,MAX(BQ108,BQ104/$F$115),0)</f>
        <v>25.4358420416915</v>
      </c>
      <c r="BR110" s="19" t="n">
        <f aca="false">IF(Time!BR47=1,MAX(BR108,BR104/$F$115),0)</f>
        <v>25.2956374771791</v>
      </c>
      <c r="BS110" s="19" t="n">
        <f aca="false">IF(Time!BS47=1,MAX(BS108,BS104/$F$115),0)</f>
        <v>26.5905001473966</v>
      </c>
      <c r="BT110" s="19" t="n">
        <f aca="false">IF(Time!BT47=1,MAX(BT108,BT104/$F$115),0)</f>
        <v>26.4453560106717</v>
      </c>
      <c r="BU110" s="19" t="n">
        <f aca="false">IF(Time!BU47=1,MAX(BU108,BU104/$F$115),0)</f>
        <v>31.9237722792495</v>
      </c>
      <c r="BV110" s="19" t="n">
        <f aca="false">IF(Time!BV47=1,MAX(BV108,BV104/$F$115),0)</f>
        <v>31.7734686068898</v>
      </c>
      <c r="BW110" s="19" t="n">
        <f aca="false">IF(Time!BW47=1,MAX(BW108,BW104/$F$115),0)</f>
        <v>31.7476197596244</v>
      </c>
      <c r="BX110" s="19" t="n">
        <f aca="false">IF(Time!BX47=1,MAX(BX108,BX104/$F$115),0)</f>
        <v>26.172134337075</v>
      </c>
      <c r="BY110" s="19" t="n">
        <f aca="false">IF(Time!BY47=1,MAX(BY108,BY104/$F$115),0)</f>
        <v>26.9863139508426</v>
      </c>
      <c r="BZ110" s="19" t="n">
        <f aca="false">IF(Time!BZ47=1,MAX(BZ108,BZ104/$F$115),0)</f>
        <v>26.7587311294524</v>
      </c>
      <c r="CA110" s="19" t="n">
        <f aca="false">IF(Time!CA47=1,MAX(CA108,CA104/$F$115),0)</f>
        <v>25.0738313836588</v>
      </c>
      <c r="CB110" s="19" t="n">
        <f aca="false">IF(Time!CB47=1,MAX(CB108,CB104/$F$115),0)</f>
        <v>24.8455451099298</v>
      </c>
      <c r="CC110" s="19" t="n">
        <f aca="false">IF(Time!CC47=1,MAX(CC108,CC104/$F$115),0)</f>
        <v>25.8673828943553</v>
      </c>
      <c r="CD110" s="19" t="n">
        <f aca="false">IF(Time!CD47=1,MAX(CD108,CD104/$F$115),0)</f>
        <v>25.6283726280409</v>
      </c>
      <c r="CE110" s="19" t="n">
        <f aca="false">IF(Time!CE47=1,MAX(CE108,CE104/$F$115),0)</f>
        <v>25.3869034852435</v>
      </c>
      <c r="CF110" s="19" t="n">
        <f aca="false">IF(Time!CF47=1,MAX(CF108,CF104/$F$115),0)</f>
        <v>25.3017244586801</v>
      </c>
      <c r="CG110" s="19" t="n">
        <f aca="false">IF(Time!CG47=1,MAX(CG108,CG104/$F$115),0)</f>
        <v>31.5805250891124</v>
      </c>
      <c r="CH110" s="19" t="n">
        <f aca="false">IF(Time!CH47=1,MAX(CH108,CH104/$F$115),0)</f>
        <v>79.435778078153</v>
      </c>
      <c r="CI110" s="19" t="n">
        <f aca="false">IF(Time!CI47=1,MAX(CI108,CI104/$F$115),0)</f>
        <v>83.0746697697001</v>
      </c>
      <c r="CJ110" s="19" t="n">
        <f aca="false">IF(Time!CJ47=1,MAX(CJ108,CJ104/$F$115),0)</f>
        <v>82.3908179575025</v>
      </c>
      <c r="CK110" s="19" t="n">
        <f aca="false">IF(Time!CK47=1,MAX(CK108,CK104/$F$115),0)</f>
        <v>97.004795933393</v>
      </c>
      <c r="CL110" s="19" t="n">
        <f aca="false">IF(Time!CL47=1,MAX(CL108,CL104/$F$115),0)</f>
        <v>89.311243878877</v>
      </c>
      <c r="CM110" s="19" t="n">
        <f aca="false">IF(Time!CM47=1,MAX(CM108,CM104/$F$115),0)</f>
        <v>93.2149939189882</v>
      </c>
      <c r="CN110" s="19" t="n">
        <f aca="false">IF(Time!CN47=1,MAX(CN108,CN104/$F$115),0)</f>
        <v>93.0382692360964</v>
      </c>
      <c r="CO110" s="19" t="n">
        <f aca="false">IF(Time!CO47=1,MAX(CO108,CO104/$F$115),0)</f>
        <v>96.5192213929344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1622.76139063236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6.09901935382415</v>
      </c>
      <c r="AK111" s="19" t="n">
        <f aca="false">IF(Time!AK47=1,AK110-AK108,0)</f>
        <v>2.26823471448895</v>
      </c>
      <c r="AL111" s="19" t="n">
        <f aca="false">IF(Time!AL47=1,AL110-AL108,0)</f>
        <v>2.67572452938757</v>
      </c>
      <c r="AM111" s="19" t="n">
        <f aca="false">IF(Time!AM47=1,AM110-AM108,0)</f>
        <v>3.21781859976003</v>
      </c>
      <c r="AN111" s="19" t="n">
        <f aca="false">IF(Time!AN47=1,AN110-AN108,0)</f>
        <v>3.65416621744685</v>
      </c>
      <c r="AO111" s="19" t="n">
        <f aca="false">IF(Time!AO47=1,AO110-AO108,0)</f>
        <v>4.96527391277173</v>
      </c>
      <c r="AP111" s="19" t="n">
        <f aca="false">IF(Time!AP47=1,AP110-AP108,0)</f>
        <v>5.44247989804642</v>
      </c>
      <c r="AQ111" s="19" t="n">
        <f aca="false">IF(Time!AQ47=1,AQ110-AQ108,0)</f>
        <v>3.83121931987274</v>
      </c>
      <c r="AR111" s="19" t="n">
        <f aca="false">IF(Time!AR47=1,AR110-AR108,0)</f>
        <v>4.3428346729308</v>
      </c>
      <c r="AS111" s="19" t="n">
        <f aca="false">IF(Time!AS47=1,AS110-AS108,0)</f>
        <v>5.01551403865146</v>
      </c>
      <c r="AT111" s="19" t="n">
        <f aca="false">IF(Time!AT47=1,AT110-AT108,0)</f>
        <v>5.52525404962103</v>
      </c>
      <c r="AU111" s="19" t="n">
        <f aca="false">IF(Time!AU47=1,AU110-AU108,0)</f>
        <v>6.30803289744909</v>
      </c>
      <c r="AV111" s="19" t="n">
        <f aca="false">IF(Time!AV47=1,AV110-AV108,0)</f>
        <v>6.85472198877116</v>
      </c>
      <c r="AW111" s="19" t="n">
        <f aca="false">IF(Time!AW47=1,AW110-AW108,0)</f>
        <v>8.06299531717912</v>
      </c>
      <c r="AX111" s="19" t="n">
        <f aca="false">IF(Time!AX47=1,AX110-AX108,0)</f>
        <v>8.43413514493718</v>
      </c>
      <c r="AY111" s="19" t="n">
        <f aca="false">IF(Time!AY47=1,AY110-AY108,0)</f>
        <v>8.38617841937894</v>
      </c>
      <c r="AZ111" s="19" t="n">
        <f aca="false">IF(Time!AZ47=1,AZ110-AZ108,0)</f>
        <v>8.82814045184826</v>
      </c>
      <c r="BA111" s="19" t="n">
        <f aca="false">IF(Time!BA47=1,BA110-BA108,0)</f>
        <v>9.63427133491415</v>
      </c>
      <c r="BB111" s="19" t="n">
        <f aca="false">IF(Time!BB47=1,BB110-BB108,0)</f>
        <v>10.0334840607397</v>
      </c>
      <c r="BC111" s="19" t="n">
        <f aca="false">IF(Time!BC47=1,BC110-BC108,0)</f>
        <v>12.8160566660989</v>
      </c>
      <c r="BD111" s="19" t="n">
        <f aca="false">IF(Time!BD47=1,BD110-BD108,0)</f>
        <v>13.265733674941</v>
      </c>
      <c r="BE111" s="19" t="n">
        <f aca="false">IF(Time!BE47=1,BE110-BE108,0)</f>
        <v>15.1805896851209</v>
      </c>
      <c r="BF111" s="19" t="n">
        <f aca="false">IF(Time!BF47=1,BF110-BF108,0)</f>
        <v>15.6670627129007</v>
      </c>
      <c r="BG111" s="19" t="n">
        <f aca="false">IF(Time!BG47=1,BG110-BG108,0)</f>
        <v>16.7978776415304</v>
      </c>
      <c r="BH111" s="19" t="n">
        <f aca="false">IF(Time!BH47=1,BH110-BH108,0)</f>
        <v>17.4040245565803</v>
      </c>
      <c r="BI111" s="19" t="n">
        <f aca="false">IF(Time!BI47=1,BI110-BI108,0)</f>
        <v>18.5269678077113</v>
      </c>
      <c r="BJ111" s="19" t="n">
        <f aca="false">IF(Time!BJ47=1,BJ110-BJ108,0)</f>
        <v>19.0631171471892</v>
      </c>
      <c r="BK111" s="19" t="n">
        <f aca="false">IF(Time!BK47=1,BK110-BK108,0)</f>
        <v>20.371693506634</v>
      </c>
      <c r="BL111" s="19" t="n">
        <f aca="false">IF(Time!BL47=1,BL110-BL108,0)</f>
        <v>20.9349165420722</v>
      </c>
      <c r="BM111" s="19" t="n">
        <f aca="false">IF(Time!BM47=1,BM110-BM108,0)</f>
        <v>22.3302365066019</v>
      </c>
      <c r="BN111" s="19" t="n">
        <f aca="false">IF(Time!BN47=1,BN110-BN108,0)</f>
        <v>22.9209518672322</v>
      </c>
      <c r="BO111" s="19" t="n">
        <f aca="false">IF(Time!BO47=1,BO110-BO108,0)</f>
        <v>20.2837382209718</v>
      </c>
      <c r="BP111" s="19" t="n">
        <f aca="false">IF(Time!BP47=1,BP110-BP108,0)</f>
        <v>20.9794893266637</v>
      </c>
      <c r="BQ111" s="19" t="n">
        <f aca="false">IF(Time!BQ47=1,BQ110-BQ108,0)</f>
        <v>22.3808130579012</v>
      </c>
      <c r="BR111" s="19" t="n">
        <f aca="false">IF(Time!BR47=1,BR110-BR108,0)</f>
        <v>22.6300307244566</v>
      </c>
      <c r="BS111" s="19" t="n">
        <f aca="false">IF(Time!BS47=1,BS110-BS108,0)</f>
        <v>24.2297973412287</v>
      </c>
      <c r="BT111" s="19" t="n">
        <f aca="false">IF(Time!BT47=1,BT110-BT108,0)</f>
        <v>24.490811843496</v>
      </c>
      <c r="BU111" s="19" t="n">
        <f aca="false">IF(Time!BU47=1,BU110-BU108,0)</f>
        <v>30.3146215770643</v>
      </c>
      <c r="BV111" s="19" t="n">
        <f aca="false">IF(Time!BV47=1,BV110-BV108,0)</f>
        <v>30.6505556001062</v>
      </c>
      <c r="BW111" s="19" t="n">
        <f aca="false">IF(Time!BW47=1,BW110-BW108,0)</f>
        <v>31.0789028480648</v>
      </c>
      <c r="BX111" s="19" t="n">
        <f aca="false">IF(Time!BX47=1,BX110-BX108,0)</f>
        <v>25.9848905416837</v>
      </c>
      <c r="BY111" s="19" t="n">
        <f aca="false">IF(Time!BY47=1,BY110-BY108,0)</f>
        <v>27.1978490455888</v>
      </c>
      <c r="BZ111" s="19" t="n">
        <f aca="false">IF(Time!BZ47=1,BZ110-BZ108,0)</f>
        <v>27.3795241501732</v>
      </c>
      <c r="CA111" s="19" t="n">
        <f aca="false">IF(Time!CA47=1,CA110-CA108,0)</f>
        <v>26.1272635798884</v>
      </c>
      <c r="CB111" s="19" t="n">
        <f aca="false">IF(Time!CB47=1,CB110-CB108,0)</f>
        <v>26.278263321121</v>
      </c>
      <c r="CC111" s="19" t="n">
        <f aca="false">IF(Time!CC47=1,CC110-CC108,0)</f>
        <v>27.7292098266491</v>
      </c>
      <c r="CD111" s="19" t="n">
        <f aca="false">IF(Time!CD47=1,CD110-CD108,0)</f>
        <v>27.8806135536876</v>
      </c>
      <c r="CE111" s="19" t="n">
        <f aca="false">IF(Time!CE47=1,CE110-CE108,0)</f>
        <v>28.1065538409911</v>
      </c>
      <c r="CF111" s="19" t="n">
        <f aca="false">IF(Time!CF47=1,CF110-CF108,0)</f>
        <v>28.420665506151</v>
      </c>
      <c r="CG111" s="19" t="n">
        <f aca="false">IF(Time!CG47=1,CG110-CG108,0)</f>
        <v>35.1721503922906</v>
      </c>
      <c r="CH111" s="19" t="n">
        <f aca="false">IF(Time!CH47=1,CH110-CH108,0)</f>
        <v>83.5025551557648</v>
      </c>
      <c r="CI111" s="19" t="n">
        <f aca="false">IF(Time!CI47=1,CI110-CI108,0)</f>
        <v>88.4969418184065</v>
      </c>
      <c r="CJ111" s="19" t="n">
        <f aca="false">IF(Time!CJ47=1,CJ110-CJ108,0)</f>
        <v>89.0675578130353</v>
      </c>
      <c r="CK111" s="19" t="n">
        <f aca="false">IF(Time!CK47=1,CK110-CK108,0)</f>
        <v>105.166134170387</v>
      </c>
      <c r="CL111" s="19" t="n">
        <f aca="false">IF(Time!CL47=1,CL110-CL108,0)</f>
        <v>98.9353336698053</v>
      </c>
      <c r="CM111" s="19" t="n">
        <f aca="false">IF(Time!CM47=1,CM110-CM108,0)</f>
        <v>104.524751072495</v>
      </c>
      <c r="CN111" s="19" t="n">
        <f aca="false">IF(Time!CN47=1,CN110-CN108,0)</f>
        <v>105.81994148957</v>
      </c>
      <c r="CO111" s="19" t="n">
        <f aca="false">IF(Time!CO47=1,CO110-CO108,0)</f>
        <v>111.073703908089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562.070246293519</v>
      </c>
      <c r="AK112" s="19" t="n">
        <f aca="false">AK106+AK107-AK108-AK111</f>
        <v>559.80201157903</v>
      </c>
      <c r="AL112" s="19" t="n">
        <f aca="false">AL106+AL107-AL108-AL111</f>
        <v>557.126287049642</v>
      </c>
      <c r="AM112" s="19" t="n">
        <f aca="false">AM106+AM107-AM108-AM111</f>
        <v>553.908468449882</v>
      </c>
      <c r="AN112" s="19" t="n">
        <f aca="false">AN106+AN107-AN108-AN111</f>
        <v>550.254302232435</v>
      </c>
      <c r="AO112" s="19" t="n">
        <f aca="false">AO106+AO107-AO108-AO111</f>
        <v>545.289028319664</v>
      </c>
      <c r="AP112" s="19" t="n">
        <f aca="false">AP106+AP107-AP108-AP111</f>
        <v>539.846548421617</v>
      </c>
      <c r="AQ112" s="19" t="n">
        <f aca="false">AQ106+AQ107-AQ108-AQ111</f>
        <v>536.015329101745</v>
      </c>
      <c r="AR112" s="19" t="n">
        <f aca="false">AR106+AR107-AR108-AR111</f>
        <v>531.672494428814</v>
      </c>
      <c r="AS112" s="19" t="n">
        <f aca="false">AS106+AS107-AS108-AS111</f>
        <v>526.656980390162</v>
      </c>
      <c r="AT112" s="19" t="n">
        <f aca="false">AT106+AT107-AT108-AT111</f>
        <v>521.131726340541</v>
      </c>
      <c r="AU112" s="19" t="n">
        <f aca="false">AU106+AU107-AU108-AU111</f>
        <v>514.823693443092</v>
      </c>
      <c r="AV112" s="19" t="n">
        <f aca="false">AV106+AV107-AV108-AV111</f>
        <v>507.968971454321</v>
      </c>
      <c r="AW112" s="19" t="n">
        <f aca="false">AW106+AW107-AW108-AW111</f>
        <v>499.905976137142</v>
      </c>
      <c r="AX112" s="19" t="n">
        <f aca="false">AX106+AX107-AX108-AX111</f>
        <v>491.471840992205</v>
      </c>
      <c r="AY112" s="19" t="n">
        <f aca="false">AY106+AY107-AY108-AY111</f>
        <v>483.085662572826</v>
      </c>
      <c r="AZ112" s="19" t="n">
        <f aca="false">AZ106+AZ107-AZ108-AZ111</f>
        <v>474.257522120978</v>
      </c>
      <c r="BA112" s="19" t="n">
        <f aca="false">BA106+BA107-BA108-BA111</f>
        <v>464.623250786063</v>
      </c>
      <c r="BB112" s="19" t="n">
        <f aca="false">BB106+BB107-BB108-BB111</f>
        <v>454.589766725324</v>
      </c>
      <c r="BC112" s="19" t="n">
        <f aca="false">BC106+BC107-BC108-BC111</f>
        <v>441.773710059225</v>
      </c>
      <c r="BD112" s="19" t="n">
        <f aca="false">BD106+BD107-BD108-BD111</f>
        <v>428.507976384284</v>
      </c>
      <c r="BE112" s="19" t="n">
        <f aca="false">BE106+BE107-BE108-BE111</f>
        <v>413.327386699163</v>
      </c>
      <c r="BF112" s="19" t="n">
        <f aca="false">BF106+BF107-BF108-BF111</f>
        <v>397.660323986262</v>
      </c>
      <c r="BG112" s="19" t="n">
        <f aca="false">BG106+BG107-BG108-BG111</f>
        <v>380.862446344732</v>
      </c>
      <c r="BH112" s="19" t="n">
        <f aca="false">BH106+BH107-BH108-BH111</f>
        <v>363.458421788152</v>
      </c>
      <c r="BI112" s="19" t="n">
        <f aca="false">BI106+BI107-BI108-BI111</f>
        <v>344.93145398044</v>
      </c>
      <c r="BJ112" s="19" t="n">
        <f aca="false">BJ106+BJ107-BJ108-BJ111</f>
        <v>325.868336833251</v>
      </c>
      <c r="BK112" s="19" t="n">
        <f aca="false">BK106+BK107-BK108-BK111</f>
        <v>305.496643326617</v>
      </c>
      <c r="BL112" s="19" t="n">
        <f aca="false">BL106+BL107-BL108-BL111</f>
        <v>284.561726784545</v>
      </c>
      <c r="BM112" s="19" t="n">
        <f aca="false">BM106+BM107-BM108-BM111</f>
        <v>262.231490277943</v>
      </c>
      <c r="BN112" s="19" t="n">
        <f aca="false">BN106+BN107-BN108-BN111</f>
        <v>239.310538410711</v>
      </c>
      <c r="BO112" s="19" t="n">
        <f aca="false">BO106+BO107-BO108-BO111</f>
        <v>219.026800189739</v>
      </c>
      <c r="BP112" s="19" t="n">
        <f aca="false">BP106+BP107-BP108-BP111</f>
        <v>198.047310863075</v>
      </c>
      <c r="BQ112" s="19" t="n">
        <f aca="false">BQ106+BQ107-BQ108-BQ111</f>
        <v>175.666497805174</v>
      </c>
      <c r="BR112" s="19" t="n">
        <f aca="false">BR106+BR107-BR108-BR111</f>
        <v>153.036467080717</v>
      </c>
      <c r="BS112" s="19" t="n">
        <f aca="false">BS106+BS107-BS108-BS111</f>
        <v>128.806669739489</v>
      </c>
      <c r="BT112" s="19" t="n">
        <f aca="false">BT106+BT107-BT108-BT111</f>
        <v>104.315857895993</v>
      </c>
      <c r="BU112" s="19" t="n">
        <f aca="false">BU106+BU107-BU108-BU111</f>
        <v>74.0012363189285</v>
      </c>
      <c r="BV112" s="19" t="n">
        <f aca="false">BV106+BV107-BV108-BV111</f>
        <v>43.3506807188223</v>
      </c>
      <c r="BW112" s="19" t="n">
        <f aca="false">BW106+BW107-BW108-BW111</f>
        <v>12.2717778707575</v>
      </c>
      <c r="BX112" s="19" t="n">
        <f aca="false">BX106+BX107-BX108-BX111</f>
        <v>-13.7131126709263</v>
      </c>
      <c r="BY112" s="19" t="n">
        <f aca="false">BY106+BY107-BY108-BY111</f>
        <v>-40.9109617165151</v>
      </c>
      <c r="BZ112" s="19" t="n">
        <f aca="false">BZ106+BZ107-BZ108-BZ111</f>
        <v>-68.2904858666882</v>
      </c>
      <c r="CA112" s="19" t="n">
        <f aca="false">CA106+CA107-CA108-CA111</f>
        <v>-94.4177494465766</v>
      </c>
      <c r="CB112" s="19" t="n">
        <f aca="false">CB106+CB107-CB108-CB111</f>
        <v>-120.696012767698</v>
      </c>
      <c r="CC112" s="19" t="n">
        <f aca="false">CC106+CC107-CC108-CC111</f>
        <v>-148.425222594347</v>
      </c>
      <c r="CD112" s="19" t="n">
        <f aca="false">CD106+CD107-CD108-CD111</f>
        <v>-176.305836148034</v>
      </c>
      <c r="CE112" s="19" t="n">
        <f aca="false">CE106+CE107-CE108-CE111</f>
        <v>-204.412389989025</v>
      </c>
      <c r="CF112" s="19" t="n">
        <f aca="false">CF106+CF107-CF108-CF111</f>
        <v>-232.833055495177</v>
      </c>
      <c r="CG112" s="19" t="n">
        <f aca="false">CG106+CG107-CG108-CG111</f>
        <v>-268.005205887467</v>
      </c>
      <c r="CH112" s="19" t="n">
        <f aca="false">CH106+CH107-CH108-CH111</f>
        <v>-351.507761043232</v>
      </c>
      <c r="CI112" s="19" t="n">
        <f aca="false">CI106+CI107-CI108-CI111</f>
        <v>-440.004702861638</v>
      </c>
      <c r="CJ112" s="19" t="n">
        <f aca="false">CJ106+CJ107-CJ108-CJ111</f>
        <v>-529.072260674674</v>
      </c>
      <c r="CK112" s="19" t="n">
        <f aca="false">CK106+CK107-CK108-CK111</f>
        <v>-634.23839484506</v>
      </c>
      <c r="CL112" s="19" t="n">
        <f aca="false">CL106+CL107-CL108-CL111</f>
        <v>-733.173728514866</v>
      </c>
      <c r="CM112" s="19" t="n">
        <f aca="false">CM106+CM107-CM108-CM111</f>
        <v>-837.698479587361</v>
      </c>
      <c r="CN112" s="19" t="n">
        <f aca="false">CN106+CN107-CN108-CN111</f>
        <v>-943.518421076931</v>
      </c>
      <c r="CO112" s="19" t="n">
        <f aca="false">CO106+CO107-CO108-CO111</f>
        <v>-1054.59212498502</v>
      </c>
      <c r="CP112" s="19" t="n">
        <f aca="false">CP106+CP107-CP108-CP111</f>
        <v>-1054.59212498502</v>
      </c>
      <c r="CQ112" s="19" t="n">
        <f aca="false">CQ106+CQ107-CQ108-CQ111</f>
        <v>-1054.59212498502</v>
      </c>
      <c r="CR112" s="19" t="n">
        <f aca="false">CR106+CR107-CR108-CR111</f>
        <v>-1054.59212498502</v>
      </c>
      <c r="CS112" s="19" t="n">
        <f aca="false">CS106+CS107-CS108-CS111</f>
        <v>-1054.59212498502</v>
      </c>
      <c r="CT112" s="19" t="n">
        <f aca="false">CT106+CT107-CT108-CT111</f>
        <v>-1054.59212498502</v>
      </c>
      <c r="CU112" s="19" t="n">
        <f aca="false">CU106+CU107-CU108-CU111</f>
        <v>-1054.59212498502</v>
      </c>
      <c r="CV112" s="19" t="n">
        <f aca="false">CV106+CV107-CV108-CV111</f>
        <v>-1054.59212498502</v>
      </c>
      <c r="CW112" s="19" t="n">
        <f aca="false">CW106+CW107-CW108-CW111</f>
        <v>-1054.59212498502</v>
      </c>
      <c r="CX112" s="19" t="n">
        <f aca="false">CX106+CX107-CX108-CX111</f>
        <v>-1054.59212498502</v>
      </c>
      <c r="CY112" s="19" t="n">
        <f aca="false">CY106+CY107-CY108-CY111</f>
        <v>-1054.59212498502</v>
      </c>
      <c r="CZ112" s="19" t="n">
        <f aca="false">CZ106+CZ107-CZ108-CZ111</f>
        <v>-1054.59212498502</v>
      </c>
      <c r="DA112" s="19" t="n">
        <f aca="false">DA106+DA107-DA108-DA111</f>
        <v>-1054.59212498502</v>
      </c>
      <c r="DB112" s="19" t="n">
        <f aca="false">DB106+DB107-DB108-DB111</f>
        <v>-1054.59212498502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3.5494583387042</v>
      </c>
      <c r="AB6" s="19" t="n">
        <f aca="false">AA51</f>
        <v>11.0688293336412</v>
      </c>
      <c r="AC6" s="19" t="n">
        <f aca="false">AB51</f>
        <v>22.5816393888344</v>
      </c>
      <c r="AD6" s="19" t="n">
        <f aca="false">AC51</f>
        <v>32.9170210715514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6342.18648053102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11.9722770333237</v>
      </c>
      <c r="AA7" s="29" t="n">
        <f aca="false">Operations!AA48</f>
        <v>26.8224075022113</v>
      </c>
      <c r="AB7" s="29" t="n">
        <f aca="false">Operations!AB48</f>
        <v>32.0874032911033</v>
      </c>
      <c r="AC7" s="29" t="n">
        <f aca="false">Operations!AC48</f>
        <v>34.0691482578989</v>
      </c>
      <c r="AD7" s="29" t="n">
        <f aca="false">Operations!AD48</f>
        <v>37.6581565302267</v>
      </c>
      <c r="AE7" s="29" t="n">
        <f aca="false">Operations!AE48</f>
        <v>39.9820970130466</v>
      </c>
      <c r="AF7" s="29" t="n">
        <f aca="false">Operations!AF48</f>
        <v>42.8427680508151</v>
      </c>
      <c r="AG7" s="29" t="n">
        <f aca="false">Operations!AG48</f>
        <v>45.33785143152</v>
      </c>
      <c r="AH7" s="29" t="n">
        <f aca="false">Operations!AH48</f>
        <v>46.2520931917594</v>
      </c>
      <c r="AI7" s="29" t="n">
        <f aca="false">Operations!AI48</f>
        <v>45.551782513232</v>
      </c>
      <c r="AJ7" s="29" t="n">
        <f aca="false">Operations!AJ48</f>
        <v>46.8035444864203</v>
      </c>
      <c r="AK7" s="29" t="n">
        <f aca="false">Operations!AK48</f>
        <v>49.2236628351718</v>
      </c>
      <c r="AL7" s="29" t="n">
        <f aca="false">Operations!AL48</f>
        <v>50.2663422890722</v>
      </c>
      <c r="AM7" s="29" t="n">
        <f aca="false">Operations!AM48</f>
        <v>53.1536009858225</v>
      </c>
      <c r="AN7" s="29" t="n">
        <f aca="false">Operations!AN48</f>
        <v>54.2668945404405</v>
      </c>
      <c r="AO7" s="29" t="n">
        <f aca="false">Operations!AO48</f>
        <v>60.5401249493982</v>
      </c>
      <c r="AP7" s="29" t="n">
        <f aca="false">Operations!AP48</f>
        <v>61.7257353086905</v>
      </c>
      <c r="AQ7" s="29" t="n">
        <f aca="false">Operations!AQ48</f>
        <v>54.7144157833967</v>
      </c>
      <c r="AR7" s="29" t="n">
        <f aca="false">Operations!AR48</f>
        <v>56.3463027918885</v>
      </c>
      <c r="AS7" s="29" t="n">
        <f aca="false">Operations!AS48</f>
        <v>59.4763327817232</v>
      </c>
      <c r="AT7" s="29" t="n">
        <f aca="false">Operations!AT48</f>
        <v>60.8259461880899</v>
      </c>
      <c r="AU7" s="29" t="n">
        <f aca="false">Operations!AU48</f>
        <v>64.5609708438497</v>
      </c>
      <c r="AV7" s="29" t="n">
        <f aca="false">Operations!AV48</f>
        <v>66.0005264515732</v>
      </c>
      <c r="AW7" s="29" t="n">
        <f aca="false">Operations!AW48</f>
        <v>71.5445973819467</v>
      </c>
      <c r="AX7" s="29" t="n">
        <f aca="false">Operations!AX48</f>
        <v>72.0892426109825</v>
      </c>
      <c r="AY7" s="29" t="n">
        <f aca="false">Operations!AY48</f>
        <v>71.8537583415923</v>
      </c>
      <c r="AZ7" s="29" t="n">
        <f aca="false">Operations!AZ48</f>
        <v>72.895955386749</v>
      </c>
      <c r="BA7" s="29" t="n">
        <f aca="false">Operations!BA48</f>
        <v>76.2752291892364</v>
      </c>
      <c r="BB7" s="29" t="n">
        <f aca="false">Operations!BB48</f>
        <v>76.8770632476208</v>
      </c>
      <c r="BC7" s="29" t="n">
        <f aca="false">Operations!BC48</f>
        <v>89.2280084263935</v>
      </c>
      <c r="BD7" s="29" t="n">
        <f aca="false">Operations!BD48</f>
        <v>89.8619259684757</v>
      </c>
      <c r="BE7" s="29" t="n">
        <f aca="false">Operations!BE48</f>
        <v>98.0579163119572</v>
      </c>
      <c r="BF7" s="29" t="n">
        <f aca="false">Operations!BF48</f>
        <v>98.7254747775707</v>
      </c>
      <c r="BG7" s="29" t="n">
        <f aca="false">Operations!BG48</f>
        <v>103.194394857504</v>
      </c>
      <c r="BH7" s="29" t="n">
        <f aca="false">Operations!BH48</f>
        <v>104.468647800019</v>
      </c>
      <c r="BI7" s="29" t="n">
        <f aca="false">Operations!BI48</f>
        <v>108.601145110487</v>
      </c>
      <c r="BJ7" s="29" t="n">
        <f aca="false">Operations!BJ48</f>
        <v>109.337364366659</v>
      </c>
      <c r="BK7" s="29" t="n">
        <f aca="false">Operations!BK48</f>
        <v>114.293061537872</v>
      </c>
      <c r="BL7" s="29" t="n">
        <f aca="false">Operations!BL48</f>
        <v>115.067690711324</v>
      </c>
      <c r="BM7" s="29" t="n">
        <f aca="false">Operations!BM48</f>
        <v>120.239169921338</v>
      </c>
      <c r="BN7" s="29" t="n">
        <f aca="false">Operations!BN48</f>
        <v>121.050527222382</v>
      </c>
      <c r="BO7" s="29" t="n">
        <f aca="false">Operations!BO48</f>
        <v>107.888776102879</v>
      </c>
      <c r="BP7" s="29" t="n">
        <f aca="false">Operations!BP48</f>
        <v>109.446382107727</v>
      </c>
      <c r="BQ7" s="29" t="n">
        <f aca="false">Operations!BQ48</f>
        <v>114.461289187612</v>
      </c>
      <c r="BR7" s="29" t="n">
        <f aca="false">Operations!BR48</f>
        <v>113.830368647306</v>
      </c>
      <c r="BS7" s="29" t="n">
        <f aca="false">Operations!BS48</f>
        <v>119.657250663285</v>
      </c>
      <c r="BT7" s="29" t="n">
        <f aca="false">Operations!BT48</f>
        <v>119.004102048023</v>
      </c>
      <c r="BU7" s="29" t="n">
        <f aca="false">Operations!BU48</f>
        <v>143.656975256623</v>
      </c>
      <c r="BV7" s="29" t="n">
        <f aca="false">Operations!BV48</f>
        <v>142.980608731004</v>
      </c>
      <c r="BW7" s="29" t="n">
        <f aca="false">Operations!BW48</f>
        <v>142.86428891831</v>
      </c>
      <c r="BX7" s="29" t="n">
        <f aca="false">Operations!BX48</f>
        <v>117.774604516838</v>
      </c>
      <c r="BY7" s="29" t="n">
        <f aca="false">Operations!BY48</f>
        <v>121.438412778792</v>
      </c>
      <c r="BZ7" s="29" t="n">
        <f aca="false">Operations!BZ48</f>
        <v>120.414290082536</v>
      </c>
      <c r="CA7" s="29" t="n">
        <f aca="false">Operations!CA48</f>
        <v>112.832241226464</v>
      </c>
      <c r="CB7" s="29" t="n">
        <f aca="false">Operations!CB48</f>
        <v>111.804952994684</v>
      </c>
      <c r="CC7" s="29" t="n">
        <f aca="false">Operations!CC48</f>
        <v>116.403223024599</v>
      </c>
      <c r="CD7" s="29" t="n">
        <f aca="false">Operations!CD48</f>
        <v>115.327676826184</v>
      </c>
      <c r="CE7" s="29" t="n">
        <f aca="false">Operations!CE48</f>
        <v>114.241065683596</v>
      </c>
      <c r="CF7" s="29" t="n">
        <f aca="false">Operations!CF48</f>
        <v>113.857760064061</v>
      </c>
      <c r="CG7" s="29" t="n">
        <f aca="false">Operations!CG48</f>
        <v>142.112362901006</v>
      </c>
      <c r="CH7" s="29" t="n">
        <f aca="false">Operations!CH48</f>
        <v>119.153667117229</v>
      </c>
      <c r="CI7" s="29" t="n">
        <f aca="false">Operations!CI48</f>
        <v>124.61200465455</v>
      </c>
      <c r="CJ7" s="29" t="n">
        <f aca="false">Operations!CJ48</f>
        <v>123.586226936254</v>
      </c>
      <c r="CK7" s="29" t="n">
        <f aca="false">Operations!CK48</f>
        <v>145.507193900089</v>
      </c>
      <c r="CL7" s="29" t="n">
        <f aca="false">Operations!CL48</f>
        <v>133.966865818315</v>
      </c>
      <c r="CM7" s="29" t="n">
        <f aca="false">Operations!CM48</f>
        <v>139.822490878482</v>
      </c>
      <c r="CN7" s="29" t="n">
        <f aca="false">Operations!CN48</f>
        <v>139.557403854145</v>
      </c>
      <c r="CO7" s="29" t="n">
        <f aca="false">Operations!CO48</f>
        <v>144.778832089402</v>
      </c>
      <c r="CP7" s="29" t="n">
        <f aca="false">Operations!CP48</f>
        <v>157.063605300249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16.680981616201</v>
      </c>
      <c r="AA10" s="19" t="n">
        <f aca="false">(AA6+AA7+AA8+AA9)*(1-Time!AA20)</f>
        <v>38.4370866184834</v>
      </c>
      <c r="AB10" s="19" t="n">
        <f aca="false">(AB6+AB7+AB8+AB9)*(1-Time!AB20)</f>
        <v>47.2506898386343</v>
      </c>
      <c r="AC10" s="19" t="n">
        <f aca="false">(AC6+AC7+AC8+AC9)*(1-Time!AC20)</f>
        <v>60.0083315182588</v>
      </c>
      <c r="AD10" s="19" t="n">
        <f aca="false">(AD6+AD7+AD8+AD9)*(1-Time!AD20)</f>
        <v>70.5751776017781</v>
      </c>
      <c r="AE10" s="19" t="n">
        <f aca="false">(AE6+AE7+AE8+AE9)*(1-Time!AE20)</f>
        <v>39.9820970130466</v>
      </c>
      <c r="AF10" s="19" t="n">
        <f aca="false">(AF6+AF7+AF8+AF9)*(1-Time!AF20)</f>
        <v>42.8427680508151</v>
      </c>
      <c r="AG10" s="19" t="n">
        <f aca="false">(AG6+AG7+AG8+AG9)*(1-Time!AG20)</f>
        <v>45.33785143152</v>
      </c>
      <c r="AH10" s="19" t="n">
        <f aca="false">(AH6+AH7+AH8+AH9)*(1-Time!AH20)</f>
        <v>46.2520931917594</v>
      </c>
      <c r="AI10" s="19" t="n">
        <f aca="false">(AI6+AI7+AI8+AI9)*(1-Time!AI20)</f>
        <v>45.551782513232</v>
      </c>
      <c r="AJ10" s="19" t="n">
        <f aca="false">(AJ6+AJ7+AJ8+AJ9)*(1-Time!AJ20)</f>
        <v>46.8035444864203</v>
      </c>
      <c r="AK10" s="19" t="n">
        <f aca="false">(AK6+AK7+AK8+AK9)*(1-Time!AK20)</f>
        <v>49.2236628351718</v>
      </c>
      <c r="AL10" s="19" t="n">
        <f aca="false">(AL6+AL7+AL8+AL9)*(1-Time!AL20)</f>
        <v>50.2663422890722</v>
      </c>
      <c r="AM10" s="19" t="n">
        <f aca="false">(AM6+AM7+AM8+AM9)*(1-Time!AM20)</f>
        <v>53.1536009858225</v>
      </c>
      <c r="AN10" s="19" t="n">
        <f aca="false">(AN6+AN7+AN8+AN9)*(1-Time!AN20)</f>
        <v>54.2668945404405</v>
      </c>
      <c r="AO10" s="19" t="n">
        <f aca="false">(AO6+AO7+AO8+AO9)*(1-Time!AO20)</f>
        <v>60.5401249493982</v>
      </c>
      <c r="AP10" s="19" t="n">
        <f aca="false">(AP6+AP7+AP8+AP9)*(1-Time!AP20)</f>
        <v>61.7257353086905</v>
      </c>
      <c r="AQ10" s="19" t="n">
        <f aca="false">(AQ6+AQ7+AQ8+AQ9)*(1-Time!AQ20)</f>
        <v>54.7144157833967</v>
      </c>
      <c r="AR10" s="19" t="n">
        <f aca="false">(AR6+AR7+AR8+AR9)*(1-Time!AR20)</f>
        <v>56.3463027918885</v>
      </c>
      <c r="AS10" s="19" t="n">
        <f aca="false">(AS6+AS7+AS8+AS9)*(1-Time!AS20)</f>
        <v>59.4763327817232</v>
      </c>
      <c r="AT10" s="19" t="n">
        <f aca="false">(AT6+AT7+AT8+AT9)*(1-Time!AT20)</f>
        <v>60.8259461880899</v>
      </c>
      <c r="AU10" s="19" t="n">
        <f aca="false">(AU6+AU7+AU8+AU9)*(1-Time!AU20)</f>
        <v>64.5609708438497</v>
      </c>
      <c r="AV10" s="19" t="n">
        <f aca="false">(AV6+AV7+AV8+AV9)*(1-Time!AV20)</f>
        <v>66.0005264515732</v>
      </c>
      <c r="AW10" s="19" t="n">
        <f aca="false">(AW6+AW7+AW8+AW9)*(1-Time!AW20)</f>
        <v>71.5445973819467</v>
      </c>
      <c r="AX10" s="19" t="n">
        <f aca="false">(AX6+AX7+AX8+AX9)*(1-Time!AX20)</f>
        <v>72.0892426109825</v>
      </c>
      <c r="AY10" s="19" t="n">
        <f aca="false">(AY6+AY7+AY8+AY9)*(1-Time!AY20)</f>
        <v>71.8537583415923</v>
      </c>
      <c r="AZ10" s="19" t="n">
        <f aca="false">(AZ6+AZ7+AZ8+AZ9)*(1-Time!AZ20)</f>
        <v>72.895955386749</v>
      </c>
      <c r="BA10" s="19" t="n">
        <f aca="false">(BA6+BA7+BA8+BA9)*(1-Time!BA20)</f>
        <v>76.2752291892364</v>
      </c>
      <c r="BB10" s="19" t="n">
        <f aca="false">(BB6+BB7+BB8+BB9)*(1-Time!BB20)</f>
        <v>76.8770632476208</v>
      </c>
      <c r="BC10" s="19" t="n">
        <f aca="false">(BC6+BC7+BC8+BC9)*(1-Time!BC20)</f>
        <v>89.2280084263935</v>
      </c>
      <c r="BD10" s="19" t="n">
        <f aca="false">(BD6+BD7+BD8+BD9)*(1-Time!BD20)</f>
        <v>89.8619259684757</v>
      </c>
      <c r="BE10" s="19" t="n">
        <f aca="false">(BE6+BE7+BE8+BE9)*(1-Time!BE20)</f>
        <v>98.0579163119572</v>
      </c>
      <c r="BF10" s="19" t="n">
        <f aca="false">(BF6+BF7+BF8+BF9)*(1-Time!BF20)</f>
        <v>98.7254747775707</v>
      </c>
      <c r="BG10" s="19" t="n">
        <f aca="false">(BG6+BG7+BG8+BG9)*(1-Time!BG20)</f>
        <v>103.194394857504</v>
      </c>
      <c r="BH10" s="19" t="n">
        <f aca="false">(BH6+BH7+BH8+BH9)*(1-Time!BH20)</f>
        <v>104.468647800019</v>
      </c>
      <c r="BI10" s="19" t="n">
        <f aca="false">(BI6+BI7+BI8+BI9)*(1-Time!BI20)</f>
        <v>108.601145110487</v>
      </c>
      <c r="BJ10" s="19" t="n">
        <f aca="false">(BJ6+BJ7+BJ8+BJ9)*(1-Time!BJ20)</f>
        <v>109.337364366659</v>
      </c>
      <c r="BK10" s="19" t="n">
        <f aca="false">(BK6+BK7+BK8+BK9)*(1-Time!BK20)</f>
        <v>114.293061537872</v>
      </c>
      <c r="BL10" s="19" t="n">
        <f aca="false">(BL6+BL7+BL8+BL9)*(1-Time!BL20)</f>
        <v>115.067690711324</v>
      </c>
      <c r="BM10" s="19" t="n">
        <f aca="false">(BM6+BM7+BM8+BM9)*(1-Time!BM20)</f>
        <v>120.239169921338</v>
      </c>
      <c r="BN10" s="19" t="n">
        <f aca="false">(BN6+BN7+BN8+BN9)*(1-Time!BN20)</f>
        <v>121.050527222382</v>
      </c>
      <c r="BO10" s="19" t="n">
        <f aca="false">(BO6+BO7+BO8+BO9)*(1-Time!BO20)</f>
        <v>107.888776102879</v>
      </c>
      <c r="BP10" s="19" t="n">
        <f aca="false">(BP6+BP7+BP8+BP9)*(1-Time!BP20)</f>
        <v>109.446382107727</v>
      </c>
      <c r="BQ10" s="19" t="n">
        <f aca="false">(BQ6+BQ7+BQ8+BQ9)*(1-Time!BQ20)</f>
        <v>114.461289187612</v>
      </c>
      <c r="BR10" s="19" t="n">
        <f aca="false">(BR6+BR7+BR8+BR9)*(1-Time!BR20)</f>
        <v>113.830368647306</v>
      </c>
      <c r="BS10" s="19" t="n">
        <f aca="false">(BS6+BS7+BS8+BS9)*(1-Time!BS20)</f>
        <v>119.657250663285</v>
      </c>
      <c r="BT10" s="19" t="n">
        <f aca="false">(BT6+BT7+BT8+BT9)*(1-Time!BT20)</f>
        <v>119.004102048023</v>
      </c>
      <c r="BU10" s="19" t="n">
        <f aca="false">(BU6+BU7+BU8+BU9)*(1-Time!BU20)</f>
        <v>143.656975256623</v>
      </c>
      <c r="BV10" s="19" t="n">
        <f aca="false">(BV6+BV7+BV8+BV9)*(1-Time!BV20)</f>
        <v>142.980608731004</v>
      </c>
      <c r="BW10" s="19" t="n">
        <f aca="false">(BW6+BW7+BW8+BW9)*(1-Time!BW20)</f>
        <v>142.86428891831</v>
      </c>
      <c r="BX10" s="19" t="n">
        <f aca="false">(BX6+BX7+BX8+BX9)*(1-Time!BX20)</f>
        <v>117.774604516838</v>
      </c>
      <c r="BY10" s="19" t="n">
        <f aca="false">(BY6+BY7+BY8+BY9)*(1-Time!BY20)</f>
        <v>121.438412778792</v>
      </c>
      <c r="BZ10" s="19" t="n">
        <f aca="false">(BZ6+BZ7+BZ8+BZ9)*(1-Time!BZ20)</f>
        <v>120.414290082536</v>
      </c>
      <c r="CA10" s="19" t="n">
        <f aca="false">(CA6+CA7+CA8+CA9)*(1-Time!CA20)</f>
        <v>112.832241226464</v>
      </c>
      <c r="CB10" s="19" t="n">
        <f aca="false">(CB6+CB7+CB8+CB9)*(1-Time!CB20)</f>
        <v>111.804952994684</v>
      </c>
      <c r="CC10" s="19" t="n">
        <f aca="false">(CC6+CC7+CC8+CC9)*(1-Time!CC20)</f>
        <v>116.403223024599</v>
      </c>
      <c r="CD10" s="19" t="n">
        <f aca="false">(CD6+CD7+CD8+CD9)*(1-Time!CD20)</f>
        <v>115.327676826184</v>
      </c>
      <c r="CE10" s="19" t="n">
        <f aca="false">(CE6+CE7+CE8+CE9)*(1-Time!CE20)</f>
        <v>114.241065683596</v>
      </c>
      <c r="CF10" s="19" t="n">
        <f aca="false">(CF6+CF7+CF8+CF9)*(1-Time!CF20)</f>
        <v>113.857760064061</v>
      </c>
      <c r="CG10" s="19" t="n">
        <f aca="false">(CG6+CG7+CG8+CG9)*(1-Time!CG20)</f>
        <v>142.112362901006</v>
      </c>
      <c r="CH10" s="19" t="n">
        <f aca="false">(CH6+CH7+CH8+CH9)*(1-Time!CH20)</f>
        <v>119.153667117229</v>
      </c>
      <c r="CI10" s="19" t="n">
        <f aca="false">(CI6+CI7+CI8+CI9)*(1-Time!CI20)</f>
        <v>124.61200465455</v>
      </c>
      <c r="CJ10" s="19" t="n">
        <f aca="false">(CJ6+CJ7+CJ8+CJ9)*(1-Time!CJ20)</f>
        <v>123.586226936254</v>
      </c>
      <c r="CK10" s="19" t="n">
        <f aca="false">(CK6+CK7+CK8+CK9)*(1-Time!CK20)</f>
        <v>145.507193900089</v>
      </c>
      <c r="CL10" s="19" t="n">
        <f aca="false">(CL6+CL7+CL8+CL9)*(1-Time!CL20)</f>
        <v>133.966865818315</v>
      </c>
      <c r="CM10" s="19" t="n">
        <f aca="false">(CM6+CM7+CM8+CM9)*(1-Time!CM20)</f>
        <v>139.822490878482</v>
      </c>
      <c r="CN10" s="19" t="n">
        <f aca="false">(CN6+CN7+CN8+CN9)*(1-Time!CN20)</f>
        <v>139.557403854145</v>
      </c>
      <c r="CO10" s="19" t="n">
        <f aca="false">(CO6+CO7+CO8+CO9)*(1-Time!CO20)</f>
        <v>144.778832089402</v>
      </c>
      <c r="CP10" s="19" t="n">
        <f aca="false">(CP6+CP7+CP8+CP9)*(1-Time!CP20)</f>
        <v>157.063605300249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5.02845595968021</v>
      </c>
      <c r="AA24" s="19" t="n">
        <f aca="false">AA10-AA14+AA23</f>
        <v>15.0052260726524</v>
      </c>
      <c r="AB24" s="19" t="n">
        <f aca="false">AB10-AB14+AB23</f>
        <v>23.8531961174702</v>
      </c>
      <c r="AC24" s="19" t="n">
        <f aca="false">AC10-AC14+AC23</f>
        <v>36.0761944108233</v>
      </c>
      <c r="AD24" s="19" t="n">
        <f aca="false">AD10-AD14+AD23</f>
        <v>46.8414110265962</v>
      </c>
      <c r="AE24" s="19" t="n">
        <f aca="false">AE10-AE14+AE23</f>
        <v>16.0499599056111</v>
      </c>
      <c r="AF24" s="19" t="n">
        <f aca="false">AF10-AF14+AF23</f>
        <v>14.2764386463067</v>
      </c>
      <c r="AG24" s="19" t="n">
        <f aca="false">AG10-AG14+AG23</f>
        <v>22.1061015103309</v>
      </c>
      <c r="AH24" s="19" t="n">
        <f aca="false">AH10-AH14+AH23</f>
        <v>23.2072944465265</v>
      </c>
      <c r="AI24" s="19" t="n">
        <f aca="false">AI10-AI14+AI23</f>
        <v>22.3200325920429</v>
      </c>
      <c r="AJ24" s="19" t="n">
        <f aca="false">AJ10-AJ14+AJ23</f>
        <v>23.6964286825353</v>
      </c>
      <c r="AK24" s="19" t="n">
        <f aca="false">AK10-AK14+AK23</f>
        <v>25.9919129139828</v>
      </c>
      <c r="AL24" s="19" t="n">
        <f aca="false">AL10-AL14+AL23</f>
        <v>27.2215435438393</v>
      </c>
      <c r="AM24" s="19" t="n">
        <f aca="false">AM10-AM14+AM23</f>
        <v>29.9218510646334</v>
      </c>
      <c r="AN24" s="19" t="n">
        <f aca="false">AN10-AN14+AN23</f>
        <v>31.2220957952076</v>
      </c>
      <c r="AO24" s="19" t="n">
        <f aca="false">AO10-AO14+AO23</f>
        <v>37.3083750282091</v>
      </c>
      <c r="AP24" s="19" t="n">
        <f aca="false">AP10-AP14+AP23</f>
        <v>38.6809365634576</v>
      </c>
      <c r="AQ24" s="19" t="n">
        <f aca="false">AQ10-AQ14+AQ23</f>
        <v>31.4826658622076</v>
      </c>
      <c r="AR24" s="19" t="n">
        <f aca="false">AR10-AR14+AR23</f>
        <v>33.2391869880035</v>
      </c>
      <c r="AS24" s="19" t="n">
        <f aca="false">AS10-AS14+AS23</f>
        <v>36.2445828605342</v>
      </c>
      <c r="AT24" s="19" t="n">
        <f aca="false">AT10-AT14+AT23</f>
        <v>37.781147442857</v>
      </c>
      <c r="AU24" s="19" t="n">
        <f aca="false">AU10-AU14+AU23</f>
        <v>41.3292209226607</v>
      </c>
      <c r="AV24" s="19" t="n">
        <f aca="false">AV10-AV14+AV23</f>
        <v>42.9471862696427</v>
      </c>
      <c r="AW24" s="19" t="n">
        <f aca="false">AW10-AW14+AW23</f>
        <v>46.494206947076</v>
      </c>
      <c r="AX24" s="19" t="n">
        <f aca="false">AX10-AX14+AX23</f>
        <v>46.9383803204229</v>
      </c>
      <c r="AY24" s="19" t="n">
        <f aca="false">AY10-AY14+AY23</f>
        <v>46.8790841565492</v>
      </c>
      <c r="AZ24" s="19" t="n">
        <f aca="false">AZ10-AZ14+AZ23</f>
        <v>47.6511938672179</v>
      </c>
      <c r="BA24" s="19" t="n">
        <f aca="false">BA10-BA14+BA23</f>
        <v>49.8456209148013</v>
      </c>
      <c r="BB24" s="19" t="n">
        <f aca="false">BB10-BB14+BB23</f>
        <v>50.3366447315475</v>
      </c>
      <c r="BC24" s="19" t="n">
        <f aca="false">BC10-BC14+BC23</f>
        <v>58.1549262072073</v>
      </c>
      <c r="BD24" s="19" t="n">
        <f aca="false">BD10-BD14+BD23</f>
        <v>58.6720269964339</v>
      </c>
      <c r="BE24" s="19" t="n">
        <f aca="false">BE10-BE14+BE23</f>
        <v>63.9058876715316</v>
      </c>
      <c r="BF24" s="19" t="n">
        <f aca="false">BF10-BF14+BF23</f>
        <v>64.4503687238506</v>
      </c>
      <c r="BG24" s="19" t="n">
        <f aca="false">BG10-BG14+BG23</f>
        <v>67.3667354813377</v>
      </c>
      <c r="BH24" s="19" t="n">
        <f aca="false">BH10-BH14+BH23</f>
        <v>68.313652285657</v>
      </c>
      <c r="BI24" s="19" t="n">
        <f aca="false">BI10-BI14+BI23</f>
        <v>71.0145598030797</v>
      </c>
      <c r="BJ24" s="19" t="n">
        <f aca="false">BJ10-BJ14+BJ23</f>
        <v>71.6155396566193</v>
      </c>
      <c r="BK24" s="19" t="n">
        <f aca="false">BK10-BK14+BK23</f>
        <v>74.8598772020552</v>
      </c>
      <c r="BL24" s="19" t="n">
        <f aca="false">BL10-BL14+BL23</f>
        <v>75.4922435613277</v>
      </c>
      <c r="BM24" s="19" t="n">
        <f aca="false">BM10-BM14+BM23</f>
        <v>78.8833564547375</v>
      </c>
      <c r="BN24" s="19" t="n">
        <f aca="false">BN10-BN14+BN23</f>
        <v>79.5463103851703</v>
      </c>
      <c r="BO24" s="19" t="n">
        <f aca="false">BO10-BO14+BO23</f>
        <v>71.5028483409175</v>
      </c>
      <c r="BP24" s="19" t="n">
        <f aca="false">BP10-BP14+BP23</f>
        <v>72.6637750063056</v>
      </c>
      <c r="BQ24" s="19" t="n">
        <f aca="false">BQ10-BQ14+BQ23</f>
        <v>75.9621797303678</v>
      </c>
      <c r="BR24" s="19" t="n">
        <f aca="false">BR10-BR14+BR23</f>
        <v>75.6479964091521</v>
      </c>
      <c r="BS24" s="19" t="n">
        <f aca="false">BS10-BS14+BS23</f>
        <v>79.481915746644</v>
      </c>
      <c r="BT24" s="19" t="n">
        <f aca="false">BT10-BT14+BT23</f>
        <v>79.1562516147465</v>
      </c>
      <c r="BU24" s="19" t="n">
        <f aca="false">BU10-BU14+BU23</f>
        <v>94.7581881527858</v>
      </c>
      <c r="BV24" s="19" t="n">
        <f aca="false">BV10-BV14+BV23</f>
        <v>94.4204901915834</v>
      </c>
      <c r="BW24" s="19" t="n">
        <f aca="false">BW10-BW14+BW23</f>
        <v>92.1642637104597</v>
      </c>
      <c r="BX24" s="19" t="n">
        <f aca="false">BX10-BX14+BX23</f>
        <v>67.1466476474752</v>
      </c>
      <c r="BY24" s="19" t="n">
        <f aca="false">BY10-BY14+BY23</f>
        <v>68.8725592396153</v>
      </c>
      <c r="BZ24" s="19" t="n">
        <f aca="false">BZ10-BZ14+BZ23</f>
        <v>68.2108250998984</v>
      </c>
      <c r="CA24" s="19" t="n">
        <f aca="false">CA10-CA14+CA23</f>
        <v>62.844490063629</v>
      </c>
      <c r="CB24" s="19" t="n">
        <f aca="false">CB10-CB14+CB23</f>
        <v>62.1921474702443</v>
      </c>
      <c r="CC24" s="19" t="n">
        <f aca="false">CC10-CC14+CC23</f>
        <v>64.4161748277857</v>
      </c>
      <c r="CD24" s="19" t="n">
        <f aca="false">CD10-CD14+CD23</f>
        <v>63.7286105143064</v>
      </c>
      <c r="CE24" s="19" t="n">
        <f aca="false">CE10-CE14+CE23</f>
        <v>62.3692533418508</v>
      </c>
      <c r="CF24" s="19" t="n">
        <f aca="false">CF10-CF14+CF23</f>
        <v>68.2883754054801</v>
      </c>
      <c r="CG24" s="19" t="n">
        <f aca="false">CG10-CG14+CG23</f>
        <v>93.5593716213859</v>
      </c>
      <c r="CH24" s="19" t="n">
        <f aca="false">CH10-CH14+CH23</f>
        <v>119.153667117229</v>
      </c>
      <c r="CI24" s="19" t="n">
        <f aca="false">CI10-CI14+CI23</f>
        <v>124.61200465455</v>
      </c>
      <c r="CJ24" s="19" t="n">
        <f aca="false">CJ10-CJ14+CJ23</f>
        <v>123.586226936254</v>
      </c>
      <c r="CK24" s="19" t="n">
        <f aca="false">CK10-CK14+CK23</f>
        <v>145.507193900089</v>
      </c>
      <c r="CL24" s="19" t="n">
        <f aca="false">CL10-CL14+CL23</f>
        <v>133.966865818315</v>
      </c>
      <c r="CM24" s="19" t="n">
        <f aca="false">CM10-CM14+CM23</f>
        <v>139.822490878482</v>
      </c>
      <c r="CN24" s="19" t="n">
        <f aca="false">CN10-CN14+CN23</f>
        <v>139.557403854145</v>
      </c>
      <c r="CO24" s="19" t="n">
        <f aca="false">CO10-CO14+CO23</f>
        <v>144.778832089402</v>
      </c>
      <c r="CP24" s="19" t="n">
        <f aca="false">CP10-CP14+CP23</f>
        <v>157.063605300249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3.5494583387042</v>
      </c>
      <c r="AA26" s="19" t="n">
        <f aca="false">AA24-Reserves!AA11+Reserves!AA12</f>
        <v>11.0688293336412</v>
      </c>
      <c r="AB26" s="19" t="n">
        <f aca="false">AB24-Reserves!AB11+Reserves!AB12</f>
        <v>22.5816393888344</v>
      </c>
      <c r="AC26" s="19" t="n">
        <f aca="false">AC24-Reserves!AC11+Reserves!AC12</f>
        <v>32.9170210715514</v>
      </c>
      <c r="AD26" s="19" t="n">
        <f aca="false">AD24-Reserves!AD11+Reserves!AD12</f>
        <v>46.6430404943425</v>
      </c>
      <c r="AE26" s="19" t="n">
        <f aca="false">AE24-Reserves!AE11+Reserves!AE12</f>
        <v>16.3777498092364</v>
      </c>
      <c r="AF26" s="19" t="n">
        <f aca="false">AF24-Reserves!AF11+Reserves!AF12</f>
        <v>14.6490359289279</v>
      </c>
      <c r="AG26" s="19" t="n">
        <f aca="false">AG24-Reserves!AG11+Reserves!AG12</f>
        <v>22.2930526862871</v>
      </c>
      <c r="AH26" s="19" t="n">
        <f aca="false">AH24-Reserves!AH11+Reserves!AH12</f>
        <v>23.0203432705703</v>
      </c>
      <c r="AI26" s="19" t="n">
        <f aca="false">AI24-Reserves!AI11+Reserves!AI12</f>
        <v>22.444666709347</v>
      </c>
      <c r="AJ26" s="19" t="n">
        <f aca="false">AJ24-Reserves!AJ11+Reserves!AJ12</f>
        <v>23.5717945652312</v>
      </c>
      <c r="AK26" s="19" t="n">
        <f aca="false">AK24-Reserves!AK11+Reserves!AK12</f>
        <v>26.1788640899389</v>
      </c>
      <c r="AL26" s="19" t="n">
        <f aca="false">AL24-Reserves!AL11+Reserves!AL12</f>
        <v>27.0345923678831</v>
      </c>
      <c r="AM26" s="19" t="n">
        <f aca="false">AM24-Reserves!AM11+Reserves!AM12</f>
        <v>30.1088022405896</v>
      </c>
      <c r="AN26" s="19" t="n">
        <f aca="false">AN24-Reserves!AN11+Reserves!AN12</f>
        <v>31.0351446192514</v>
      </c>
      <c r="AO26" s="19" t="n">
        <f aca="false">AO24-Reserves!AO11+Reserves!AO12</f>
        <v>37.4953262041653</v>
      </c>
      <c r="AP26" s="19" t="n">
        <f aca="false">AP24-Reserves!AP11+Reserves!AP12</f>
        <v>38.4939853875014</v>
      </c>
      <c r="AQ26" s="19" t="n">
        <f aca="false">AQ24-Reserves!AQ11+Reserves!AQ12</f>
        <v>31.6072999795118</v>
      </c>
      <c r="AR26" s="19" t="n">
        <f aca="false">AR24-Reserves!AR11+Reserves!AR12</f>
        <v>33.1145528706994</v>
      </c>
      <c r="AS26" s="19" t="n">
        <f aca="false">AS24-Reserves!AS11+Reserves!AS12</f>
        <v>36.4315340364903</v>
      </c>
      <c r="AT26" s="19" t="n">
        <f aca="false">AT24-Reserves!AT11+Reserves!AT12</f>
        <v>37.5941962669009</v>
      </c>
      <c r="AU26" s="19" t="n">
        <f aca="false">AU24-Reserves!AU11+Reserves!AU12</f>
        <v>41.5076306619192</v>
      </c>
      <c r="AV26" s="19" t="n">
        <f aca="false">AV24-Reserves!AV11+Reserves!AV12</f>
        <v>40.9501360167026</v>
      </c>
      <c r="AW26" s="19" t="n">
        <f aca="false">AW24-Reserves!AW11+Reserves!AW12</f>
        <v>46.3937350913871</v>
      </c>
      <c r="AX26" s="19" t="n">
        <f aca="false">AX24-Reserves!AX11+Reserves!AX12</f>
        <v>47.1145684259393</v>
      </c>
      <c r="AY26" s="19" t="n">
        <f aca="false">AY24-Reserves!AY11+Reserves!AY12</f>
        <v>46.6089968220613</v>
      </c>
      <c r="AZ26" s="19" t="n">
        <f aca="false">AZ24-Reserves!AZ11+Reserves!AZ12</f>
        <v>46.4663471123139</v>
      </c>
      <c r="BA26" s="19" t="n">
        <f aca="false">BA24-Reserves!BA11+Reserves!BA12</f>
        <v>49.7348106731631</v>
      </c>
      <c r="BB26" s="19" t="n">
        <f aca="false">BB24-Reserves!BB11+Reserves!BB12</f>
        <v>45.8039810284346</v>
      </c>
      <c r="BC26" s="19" t="n">
        <f aca="false">BC24-Reserves!BC11+Reserves!BC12</f>
        <v>58.0381094543517</v>
      </c>
      <c r="BD26" s="19" t="n">
        <f aca="false">BD24-Reserves!BD11+Reserves!BD12</f>
        <v>55.7098973280501</v>
      </c>
      <c r="BE26" s="19" t="n">
        <f aca="false">BE24-Reserves!BE11+Reserves!BE12</f>
        <v>63.782810258237</v>
      </c>
      <c r="BF26" s="19" t="n">
        <f aca="false">BF24-Reserves!BF11+Reserves!BF12</f>
        <v>62.8978154014048</v>
      </c>
      <c r="BG26" s="19" t="n">
        <f aca="false">BG24-Reserves!BG11+Reserves!BG12</f>
        <v>67.0393993431416</v>
      </c>
      <c r="BH26" s="19" t="n">
        <f aca="false">BH24-Reserves!BH11+Reserves!BH12</f>
        <v>66.8820624926117</v>
      </c>
      <c r="BI26" s="19" t="n">
        <f aca="false">BI24-Reserves!BI11+Reserves!BI12</f>
        <v>70.8793204004474</v>
      </c>
      <c r="BJ26" s="19" t="n">
        <f aca="false">BJ24-Reserves!BJ11+Reserves!BJ12</f>
        <v>69.9041800308425</v>
      </c>
      <c r="BK26" s="19" t="n">
        <f aca="false">BK24-Reserves!BK11+Reserves!BK12</f>
        <v>74.7176143878755</v>
      </c>
      <c r="BL26" s="19" t="n">
        <f aca="false">BL24-Reserves!BL11+Reserves!BL12</f>
        <v>73.7118772447236</v>
      </c>
      <c r="BM26" s="19" t="n">
        <f aca="false">BM24-Reserves!BM11+Reserves!BM12</f>
        <v>78.7349530841265</v>
      </c>
      <c r="BN26" s="19" t="n">
        <f aca="false">BN24-Reserves!BN11+Reserves!BN12</f>
        <v>84.6645994604204</v>
      </c>
      <c r="BO26" s="19" t="n">
        <f aca="false">BO24-Reserves!BO11+Reserves!BO12</f>
        <v>71.1061690014577</v>
      </c>
      <c r="BP26" s="19" t="n">
        <f aca="false">BP24-Reserves!BP11+Reserves!BP12</f>
        <v>70.9472726504827</v>
      </c>
      <c r="BQ26" s="19" t="n">
        <f aca="false">BQ24-Reserves!BQ11+Reserves!BQ12</f>
        <v>76.2789169494577</v>
      </c>
      <c r="BR26" s="19" t="n">
        <f aca="false">BR24-Reserves!BR11+Reserves!BR12</f>
        <v>73.6550337306655</v>
      </c>
      <c r="BS26" s="19" t="n">
        <f aca="false">BS24-Reserves!BS11+Reserves!BS12</f>
        <v>79.8094002300085</v>
      </c>
      <c r="BT26" s="19" t="n">
        <f aca="false">BT24-Reserves!BT11+Reserves!BT12</f>
        <v>70.1053149441858</v>
      </c>
      <c r="BU26" s="19" t="n">
        <f aca="false">BU24-Reserves!BU11+Reserves!BU12</f>
        <v>95.0968567172017</v>
      </c>
      <c r="BV26" s="19" t="n">
        <f aca="false">BV24-Reserves!BV11+Reserves!BV12</f>
        <v>92.2805835231542</v>
      </c>
      <c r="BW26" s="19" t="n">
        <f aca="false">BW24-Reserves!BW11+Reserves!BW12</f>
        <v>92.2363320489474</v>
      </c>
      <c r="BX26" s="19" t="n">
        <f aca="false">BX24-Reserves!BX11+Reserves!BX12</f>
        <v>65.2087509776615</v>
      </c>
      <c r="BY26" s="19" t="n">
        <f aca="false">BY24-Reserves!BY11+Reserves!BY12</f>
        <v>69.2349477961543</v>
      </c>
      <c r="BZ26" s="19" t="n">
        <f aca="false">BZ24-Reserves!BZ11+Reserves!BZ12</f>
        <v>70.4265389197002</v>
      </c>
      <c r="CA26" s="19" t="n">
        <f aca="false">CA24-Reserves!CA11+Reserves!CA12</f>
        <v>63.2194357020247</v>
      </c>
      <c r="CB26" s="19" t="n">
        <f aca="false">CB24-Reserves!CB11+Reserves!CB12</f>
        <v>59.8179047978708</v>
      </c>
      <c r="CC26" s="19" t="n">
        <f aca="false">CC24-Reserves!CC11+Reserves!CC12</f>
        <v>64.8041567127215</v>
      </c>
      <c r="CD26" s="19" t="n">
        <f aca="false">CD24-Reserves!CD11+Reserves!CD12</f>
        <v>63.4558644844391</v>
      </c>
      <c r="CE26" s="19" t="n">
        <f aca="false">CE24-Reserves!CE11+Reserves!CE12</f>
        <v>68.6716810250151</v>
      </c>
      <c r="CF26" s="19" t="n">
        <f aca="false">CF24-Reserves!CF11+Reserves!CF12</f>
        <v>65.3047687844406</v>
      </c>
      <c r="CG26" s="19" t="n">
        <f aca="false">CG24-Reserves!CG11+Reserves!CG12</f>
        <v>142.112362901006</v>
      </c>
      <c r="CH26" s="19" t="n">
        <f aca="false">CH24-Reserves!CH11+Reserves!CH12</f>
        <v>119.153667117229</v>
      </c>
      <c r="CI26" s="19" t="n">
        <f aca="false">CI24-Reserves!CI11+Reserves!CI12</f>
        <v>124.61200465455</v>
      </c>
      <c r="CJ26" s="19" t="n">
        <f aca="false">CJ24-Reserves!CJ11+Reserves!CJ12</f>
        <v>123.586226936254</v>
      </c>
      <c r="CK26" s="19" t="n">
        <f aca="false">CK24-Reserves!CK11+Reserves!CK12</f>
        <v>145.507193900089</v>
      </c>
      <c r="CL26" s="19" t="n">
        <f aca="false">CL24-Reserves!CL11+Reserves!CL12</f>
        <v>133.966865818315</v>
      </c>
      <c r="CM26" s="19" t="n">
        <f aca="false">CM24-Reserves!CM11+Reserves!CM12</f>
        <v>139.822490878482</v>
      </c>
      <c r="CN26" s="19" t="n">
        <f aca="false">CN24-Reserves!CN11+Reserves!CN12</f>
        <v>139.557403854145</v>
      </c>
      <c r="CO26" s="19" t="n">
        <f aca="false">CO24-Reserves!CO11+Reserves!CO12</f>
        <v>144.778832089402</v>
      </c>
      <c r="CP26" s="19" t="n">
        <f aca="false">CP24-Reserves!CP11+Reserves!CP12</f>
        <v>157.063605300249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3.5494583387042</v>
      </c>
      <c r="AA33" s="19" t="n">
        <f aca="false">AA26-AA30</f>
        <v>11.0688293336412</v>
      </c>
      <c r="AB33" s="19" t="n">
        <f aca="false">AB26-AB30</f>
        <v>22.5816393888344</v>
      </c>
      <c r="AC33" s="19" t="n">
        <f aca="false">AC26-AC30</f>
        <v>32.9170210715514</v>
      </c>
      <c r="AD33" s="19" t="n">
        <f aca="false">AD26-AD30</f>
        <v>46.6430404943425</v>
      </c>
      <c r="AE33" s="19" t="n">
        <f aca="false">AE26-AE30</f>
        <v>16.3777498092364</v>
      </c>
      <c r="AF33" s="19" t="n">
        <f aca="false">AF26-AF30</f>
        <v>14.6490359289279</v>
      </c>
      <c r="AG33" s="19" t="n">
        <f aca="false">AG26-AG30</f>
        <v>22.2930526862871</v>
      </c>
      <c r="AH33" s="19" t="n">
        <f aca="false">AH26-AH30</f>
        <v>23.0203432705703</v>
      </c>
      <c r="AI33" s="19" t="n">
        <f aca="false">AI26-AI30</f>
        <v>22.444666709347</v>
      </c>
      <c r="AJ33" s="19" t="n">
        <f aca="false">AJ26-AJ30</f>
        <v>23.5717945652312</v>
      </c>
      <c r="AK33" s="19" t="n">
        <f aca="false">AK26-AK30</f>
        <v>26.1788640899389</v>
      </c>
      <c r="AL33" s="19" t="n">
        <f aca="false">AL26-AL30</f>
        <v>27.0345923678831</v>
      </c>
      <c r="AM33" s="19" t="n">
        <f aca="false">AM26-AM30</f>
        <v>30.1088022405896</v>
      </c>
      <c r="AN33" s="19" t="n">
        <f aca="false">AN26-AN30</f>
        <v>31.0351446192514</v>
      </c>
      <c r="AO33" s="19" t="n">
        <f aca="false">AO26-AO30</f>
        <v>37.4953262041653</v>
      </c>
      <c r="AP33" s="19" t="n">
        <f aca="false">AP26-AP30</f>
        <v>38.4939853875014</v>
      </c>
      <c r="AQ33" s="19" t="n">
        <f aca="false">AQ26-AQ30</f>
        <v>31.6072999795118</v>
      </c>
      <c r="AR33" s="19" t="n">
        <f aca="false">AR26-AR30</f>
        <v>33.1145528706994</v>
      </c>
      <c r="AS33" s="19" t="n">
        <f aca="false">AS26-AS30</f>
        <v>36.4315340364903</v>
      </c>
      <c r="AT33" s="19" t="n">
        <f aca="false">AT26-AT30</f>
        <v>37.5941962669009</v>
      </c>
      <c r="AU33" s="19" t="n">
        <f aca="false">AU26-AU30</f>
        <v>41.5076306619192</v>
      </c>
      <c r="AV33" s="19" t="n">
        <f aca="false">AV26-AV30</f>
        <v>40.9501360167026</v>
      </c>
      <c r="AW33" s="19" t="n">
        <f aca="false">AW26-AW30</f>
        <v>46.3937350913871</v>
      </c>
      <c r="AX33" s="19" t="n">
        <f aca="false">AX26-AX30</f>
        <v>47.1145684259393</v>
      </c>
      <c r="AY33" s="19" t="n">
        <f aca="false">AY26-AY30</f>
        <v>46.6089968220613</v>
      </c>
      <c r="AZ33" s="19" t="n">
        <f aca="false">AZ26-AZ30</f>
        <v>46.4663471123139</v>
      </c>
      <c r="BA33" s="19" t="n">
        <f aca="false">BA26-BA30</f>
        <v>49.7348106731631</v>
      </c>
      <c r="BB33" s="19" t="n">
        <f aca="false">BB26-BB30</f>
        <v>45.8039810284346</v>
      </c>
      <c r="BC33" s="19" t="n">
        <f aca="false">BC26-BC30</f>
        <v>58.0381094543517</v>
      </c>
      <c r="BD33" s="19" t="n">
        <f aca="false">BD26-BD30</f>
        <v>55.7098973280501</v>
      </c>
      <c r="BE33" s="19" t="n">
        <f aca="false">BE26-BE30</f>
        <v>63.782810258237</v>
      </c>
      <c r="BF33" s="19" t="n">
        <f aca="false">BF26-BF30</f>
        <v>62.8978154014048</v>
      </c>
      <c r="BG33" s="19" t="n">
        <f aca="false">BG26-BG30</f>
        <v>67.0393993431416</v>
      </c>
      <c r="BH33" s="19" t="n">
        <f aca="false">BH26-BH30</f>
        <v>66.8820624926117</v>
      </c>
      <c r="BI33" s="19" t="n">
        <f aca="false">BI26-BI30</f>
        <v>70.8793204004474</v>
      </c>
      <c r="BJ33" s="19" t="n">
        <f aca="false">BJ26-BJ30</f>
        <v>69.9041800308425</v>
      </c>
      <c r="BK33" s="19" t="n">
        <f aca="false">BK26-BK30</f>
        <v>74.7176143878755</v>
      </c>
      <c r="BL33" s="19" t="n">
        <f aca="false">BL26-BL30</f>
        <v>73.7118772447236</v>
      </c>
      <c r="BM33" s="19" t="n">
        <f aca="false">BM26-BM30</f>
        <v>78.7349530841265</v>
      </c>
      <c r="BN33" s="19" t="n">
        <f aca="false">BN26-BN30</f>
        <v>84.6645994604204</v>
      </c>
      <c r="BO33" s="19" t="n">
        <f aca="false">BO26-BO30</f>
        <v>71.1061690014577</v>
      </c>
      <c r="BP33" s="19" t="n">
        <f aca="false">BP26-BP30</f>
        <v>70.9472726504827</v>
      </c>
      <c r="BQ33" s="19" t="n">
        <f aca="false">BQ26-BQ30</f>
        <v>76.2789169494577</v>
      </c>
      <c r="BR33" s="19" t="n">
        <f aca="false">BR26-BR30</f>
        <v>73.6550337306655</v>
      </c>
      <c r="BS33" s="19" t="n">
        <f aca="false">BS26-BS30</f>
        <v>79.8094002300085</v>
      </c>
      <c r="BT33" s="19" t="n">
        <f aca="false">BT26-BT30</f>
        <v>70.1053149441858</v>
      </c>
      <c r="BU33" s="19" t="n">
        <f aca="false">BU26-BU30</f>
        <v>95.0968567172017</v>
      </c>
      <c r="BV33" s="19" t="n">
        <f aca="false">BV26-BV30</f>
        <v>92.2805835231542</v>
      </c>
      <c r="BW33" s="19" t="n">
        <f aca="false">BW26-BW30</f>
        <v>92.2363320489474</v>
      </c>
      <c r="BX33" s="19" t="n">
        <f aca="false">BX26-BX30</f>
        <v>65.2087509776615</v>
      </c>
      <c r="BY33" s="19" t="n">
        <f aca="false">BY26-BY30</f>
        <v>69.2349477961543</v>
      </c>
      <c r="BZ33" s="19" t="n">
        <f aca="false">BZ26-BZ30</f>
        <v>70.4265389197002</v>
      </c>
      <c r="CA33" s="19" t="n">
        <f aca="false">CA26-CA30</f>
        <v>63.2194357020247</v>
      </c>
      <c r="CB33" s="19" t="n">
        <f aca="false">CB26-CB30</f>
        <v>59.8179047978708</v>
      </c>
      <c r="CC33" s="19" t="n">
        <f aca="false">CC26-CC30</f>
        <v>64.8041567127215</v>
      </c>
      <c r="CD33" s="19" t="n">
        <f aca="false">CD26-CD30</f>
        <v>63.4558644844391</v>
      </c>
      <c r="CE33" s="19" t="n">
        <f aca="false">CE26-CE30</f>
        <v>68.6716810250151</v>
      </c>
      <c r="CF33" s="19" t="n">
        <f aca="false">CF26-CF30</f>
        <v>65.3047687844406</v>
      </c>
      <c r="CG33" s="19" t="n">
        <f aca="false">CG26-CG30</f>
        <v>142.112362901006</v>
      </c>
      <c r="CH33" s="19" t="n">
        <f aca="false">CH26-CH30</f>
        <v>119.153667117229</v>
      </c>
      <c r="CI33" s="19" t="n">
        <f aca="false">CI26-CI30</f>
        <v>124.61200465455</v>
      </c>
      <c r="CJ33" s="19" t="n">
        <f aca="false">CJ26-CJ30</f>
        <v>123.586226936254</v>
      </c>
      <c r="CK33" s="19" t="n">
        <f aca="false">CK26-CK30</f>
        <v>145.507193900089</v>
      </c>
      <c r="CL33" s="19" t="n">
        <f aca="false">CL26-CL30</f>
        <v>133.966865818315</v>
      </c>
      <c r="CM33" s="19" t="n">
        <f aca="false">CM26-CM30</f>
        <v>139.822490878482</v>
      </c>
      <c r="CN33" s="19" t="n">
        <f aca="false">CN26-CN30</f>
        <v>139.557403854145</v>
      </c>
      <c r="CO33" s="19" t="n">
        <f aca="false">CO26-CO30</f>
        <v>144.778832089402</v>
      </c>
      <c r="CP33" s="19" t="n">
        <f aca="false">CP26-CP30</f>
        <v>157.063605300249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3.5494583387042</v>
      </c>
      <c r="AA36" s="19" t="n">
        <f aca="false">AA33-AA35</f>
        <v>11.0688293336412</v>
      </c>
      <c r="AB36" s="19" t="n">
        <f aca="false">AB33-AB35</f>
        <v>22.5816393888344</v>
      </c>
      <c r="AC36" s="19" t="n">
        <f aca="false">AC33-AC35</f>
        <v>32.9170210715514</v>
      </c>
      <c r="AD36" s="19" t="n">
        <f aca="false">AD33-AD35</f>
        <v>46.6430404943425</v>
      </c>
      <c r="AE36" s="19" t="n">
        <f aca="false">AE33-AE35</f>
        <v>16.3777498092364</v>
      </c>
      <c r="AF36" s="19" t="n">
        <f aca="false">AF33-AF35</f>
        <v>14.6490359289279</v>
      </c>
      <c r="AG36" s="19" t="n">
        <f aca="false">AG33-AG35</f>
        <v>22.2930526862871</v>
      </c>
      <c r="AH36" s="19" t="n">
        <f aca="false">AH33-AH35</f>
        <v>23.0203432705703</v>
      </c>
      <c r="AI36" s="19" t="n">
        <f aca="false">AI33-AI35</f>
        <v>22.444666709347</v>
      </c>
      <c r="AJ36" s="19" t="n">
        <f aca="false">AJ33-AJ35</f>
        <v>18.1070762155505</v>
      </c>
      <c r="AK36" s="19" t="n">
        <f aca="false">AK33-AK35</f>
        <v>17.4323644751543</v>
      </c>
      <c r="AL36" s="19" t="n">
        <f aca="false">AL33-AL35</f>
        <v>18.4306987250787</v>
      </c>
      <c r="AM36" s="19" t="n">
        <f aca="false">AM33-AM35</f>
        <v>21.362302625805</v>
      </c>
      <c r="AN36" s="19" t="n">
        <f aca="false">AN33-AN35</f>
        <v>22.4312509764469</v>
      </c>
      <c r="AO36" s="19" t="n">
        <f aca="false">AO33-AO35</f>
        <v>28.7488265893806</v>
      </c>
      <c r="AP36" s="19" t="n">
        <f aca="false">AP33-AP35</f>
        <v>29.6823701846621</v>
      </c>
      <c r="AQ36" s="19" t="n">
        <f aca="false">AQ33-AQ35</f>
        <v>22.8640046262932</v>
      </c>
      <c r="AR36" s="19" t="n">
        <f aca="false">AR33-AR35</f>
        <v>24.4662933365376</v>
      </c>
      <c r="AS36" s="19" t="n">
        <f aca="false">AS33-AS35</f>
        <v>27.6882386832718</v>
      </c>
      <c r="AT36" s="19" t="n">
        <f aca="false">AT33-AT35</f>
        <v>28.9934546422674</v>
      </c>
      <c r="AU36" s="19" t="n">
        <f aca="false">AU33-AU35</f>
        <v>32.3841573143614</v>
      </c>
      <c r="AV36" s="19" t="n">
        <f aca="false">AV33-AV35</f>
        <v>31.5421796845589</v>
      </c>
      <c r="AW36" s="19" t="n">
        <f aca="false">AW33-AW35</f>
        <v>36.170792235621</v>
      </c>
      <c r="AX36" s="19" t="n">
        <f aca="false">AX33-AX35</f>
        <v>36.8506234931001</v>
      </c>
      <c r="AY36" s="19" t="n">
        <f aca="false">AY33-AY35</f>
        <v>36.4169534006673</v>
      </c>
      <c r="AZ36" s="19" t="n">
        <f aca="false">AZ33-AZ35</f>
        <v>36.1640823594914</v>
      </c>
      <c r="BA36" s="19" t="n">
        <f aca="false">BA33-BA35</f>
        <v>38.9490157055235</v>
      </c>
      <c r="BB36" s="19" t="n">
        <f aca="false">BB33-BB35</f>
        <v>34.9729649385516</v>
      </c>
      <c r="BC36" s="19" t="n">
        <f aca="false">BC33-BC35</f>
        <v>45.3573352881704</v>
      </c>
      <c r="BD36" s="19" t="n">
        <f aca="false">BD33-BD35</f>
        <v>42.9814508115258</v>
      </c>
      <c r="BE36" s="19" t="n">
        <f aca="false">BE33-BE35</f>
        <v>49.8455329887555</v>
      </c>
      <c r="BF36" s="19" t="n">
        <f aca="false">BF33-BF35</f>
        <v>48.9103108364159</v>
      </c>
      <c r="BG36" s="19" t="n">
        <f aca="false">BG33-BG35</f>
        <v>52.4183052962978</v>
      </c>
      <c r="BH36" s="19" t="n">
        <f aca="false">BH33-BH35</f>
        <v>52.1273841551715</v>
      </c>
      <c r="BI36" s="19" t="n">
        <f aca="false">BI33-BI35</f>
        <v>55.5404172108937</v>
      </c>
      <c r="BJ36" s="19" t="n">
        <f aca="false">BJ33-BJ35</f>
        <v>54.5100862969117</v>
      </c>
      <c r="BK36" s="19" t="n">
        <f aca="false">BK33-BK35</f>
        <v>58.6251230898242</v>
      </c>
      <c r="BL36" s="19" t="n">
        <f aca="false">BL33-BL35</f>
        <v>57.5613291821025</v>
      </c>
      <c r="BM36" s="19" t="n">
        <f aca="false">BM33-BM35</f>
        <v>61.857846161503</v>
      </c>
      <c r="BN36" s="19" t="n">
        <f aca="false">BN33-BN35</f>
        <v>67.7269298419257</v>
      </c>
      <c r="BO36" s="19" t="n">
        <f aca="false">BO33-BO35</f>
        <v>56.2572483336676</v>
      </c>
      <c r="BP36" s="19" t="n">
        <f aca="false">BP33-BP35</f>
        <v>55.936469067937</v>
      </c>
      <c r="BQ36" s="19" t="n">
        <f aca="false">BQ33-BQ35</f>
        <v>60.5676170795991</v>
      </c>
      <c r="BR36" s="19" t="n">
        <f aca="false">BR33-BR35</f>
        <v>58.0729927839151</v>
      </c>
      <c r="BS36" s="19" t="n">
        <f aca="false">BS33-BS35</f>
        <v>63.4140408789475</v>
      </c>
      <c r="BT36" s="19" t="n">
        <f aca="false">BT33-BT35</f>
        <v>53.8436004226652</v>
      </c>
      <c r="BU36" s="19" t="n">
        <f aca="false">BU33-BU35</f>
        <v>75.1414988325221</v>
      </c>
      <c r="BV36" s="19" t="n">
        <f aca="false">BV33-BV35</f>
        <v>72.4634346372552</v>
      </c>
      <c r="BW36" s="19" t="n">
        <f aca="false">BW33-BW35</f>
        <v>71.5458976290405</v>
      </c>
      <c r="BX36" s="19" t="n">
        <f aca="false">BX33-BX35</f>
        <v>44.5477272971993</v>
      </c>
      <c r="BY36" s="19" t="n">
        <f aca="false">BY33-BY35</f>
        <v>47.783077882481</v>
      </c>
      <c r="BZ36" s="19" t="n">
        <f aca="false">BZ33-BZ35</f>
        <v>49.122558018564</v>
      </c>
      <c r="CA36" s="19" t="n">
        <f aca="false">CA33-CA35</f>
        <v>42.8196768657484</v>
      </c>
      <c r="CB36" s="19" t="n">
        <f aca="false">CB33-CB35</f>
        <v>39.5711594583423</v>
      </c>
      <c r="CC36" s="19" t="n">
        <f aca="false">CC33-CC35</f>
        <v>43.5884944523769</v>
      </c>
      <c r="CD36" s="19" t="n">
        <f aca="false">CD33-CD35</f>
        <v>42.3985357498366</v>
      </c>
      <c r="CE36" s="19" t="n">
        <f aca="false">CE33-CE35</f>
        <v>47.503045958293</v>
      </c>
      <c r="CF36" s="19" t="n">
        <f aca="false">CF33-CF35</f>
        <v>46.7081238918876</v>
      </c>
      <c r="CG36" s="19" t="n">
        <f aca="false">CG33-CG35</f>
        <v>122.298122615268</v>
      </c>
      <c r="CH36" s="19" t="n">
        <f aca="false">CH33-CH35</f>
        <v>93.2106260201925</v>
      </c>
      <c r="CI36" s="19" t="n">
        <f aca="false">CI33-CI35</f>
        <v>97.4702486744249</v>
      </c>
      <c r="CJ36" s="19" t="n">
        <f aca="false">CJ33-CJ35</f>
        <v>96.7430591147527</v>
      </c>
      <c r="CK36" s="19" t="n">
        <f aca="false">CK33-CK35</f>
        <v>113.432767668704</v>
      </c>
      <c r="CL36" s="19" t="n">
        <f aca="false">CL33-CL35</f>
        <v>104.772781974886</v>
      </c>
      <c r="CM36" s="19" t="n">
        <f aca="false">CM33-CM35</f>
        <v>109.348472680609</v>
      </c>
      <c r="CN36" s="19" t="n">
        <f aca="false">CN33-CN35</f>
        <v>109.219722400503</v>
      </c>
      <c r="CO36" s="19" t="n">
        <f aca="false">CO33-CO35</f>
        <v>113.303535457093</v>
      </c>
      <c r="CP36" s="19" t="n">
        <f aca="false">CP33-CP35</f>
        <v>157.063605300249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3.5494583387042</v>
      </c>
      <c r="AA39" s="19" t="n">
        <f aca="false">AA36-AA38</f>
        <v>11.0688293336412</v>
      </c>
      <c r="AB39" s="19" t="n">
        <f aca="false">AB36-AB38</f>
        <v>22.5816393888344</v>
      </c>
      <c r="AC39" s="19" t="n">
        <f aca="false">AC36-AC38</f>
        <v>32.9170210715514</v>
      </c>
      <c r="AD39" s="19" t="n">
        <f aca="false">AD36-AD38</f>
        <v>46.6430404943425</v>
      </c>
      <c r="AE39" s="19" t="n">
        <f aca="false">AE36-AE38</f>
        <v>16.3777498092364</v>
      </c>
      <c r="AF39" s="19" t="n">
        <f aca="false">AF36-AF38</f>
        <v>14.6490359289279</v>
      </c>
      <c r="AG39" s="19" t="n">
        <f aca="false">AG36-AG38</f>
        <v>22.2930526862871</v>
      </c>
      <c r="AH39" s="19" t="n">
        <f aca="false">AH36-AH38</f>
        <v>23.0203432705703</v>
      </c>
      <c r="AI39" s="19" t="n">
        <f aca="false">AI36-AI38</f>
        <v>22.444666709347</v>
      </c>
      <c r="AJ39" s="19" t="n">
        <f aca="false">AJ36-AJ38</f>
        <v>18.1070762155505</v>
      </c>
      <c r="AK39" s="19" t="n">
        <f aca="false">AK36-AK38</f>
        <v>17.4323644751543</v>
      </c>
      <c r="AL39" s="19" t="n">
        <f aca="false">AL36-AL38</f>
        <v>18.4306987250787</v>
      </c>
      <c r="AM39" s="19" t="n">
        <f aca="false">AM36-AM38</f>
        <v>21.362302625805</v>
      </c>
      <c r="AN39" s="19" t="n">
        <f aca="false">AN36-AN38</f>
        <v>22.4312509764469</v>
      </c>
      <c r="AO39" s="19" t="n">
        <f aca="false">AO36-AO38</f>
        <v>28.7488265893806</v>
      </c>
      <c r="AP39" s="19" t="n">
        <f aca="false">AP36-AP38</f>
        <v>29.6823701846621</v>
      </c>
      <c r="AQ39" s="19" t="n">
        <f aca="false">AQ36-AQ38</f>
        <v>22.8640046262932</v>
      </c>
      <c r="AR39" s="19" t="n">
        <f aca="false">AR36-AR38</f>
        <v>24.4662933365376</v>
      </c>
      <c r="AS39" s="19" t="n">
        <f aca="false">AS36-AS38</f>
        <v>27.6882386832718</v>
      </c>
      <c r="AT39" s="19" t="n">
        <f aca="false">AT36-AT38</f>
        <v>28.9934546422674</v>
      </c>
      <c r="AU39" s="19" t="n">
        <f aca="false">AU36-AU38</f>
        <v>32.3841573143614</v>
      </c>
      <c r="AV39" s="19" t="n">
        <f aca="false">AV36-AV38</f>
        <v>31.5421796845589</v>
      </c>
      <c r="AW39" s="19" t="n">
        <f aca="false">AW36-AW38</f>
        <v>36.170792235621</v>
      </c>
      <c r="AX39" s="19" t="n">
        <f aca="false">AX36-AX38</f>
        <v>36.8506234931001</v>
      </c>
      <c r="AY39" s="19" t="n">
        <f aca="false">AY36-AY38</f>
        <v>36.4169534006673</v>
      </c>
      <c r="AZ39" s="19" t="n">
        <f aca="false">AZ36-AZ38</f>
        <v>36.1640823594914</v>
      </c>
      <c r="BA39" s="19" t="n">
        <f aca="false">BA36-BA38</f>
        <v>38.9490157055235</v>
      </c>
      <c r="BB39" s="19" t="n">
        <f aca="false">BB36-BB38</f>
        <v>34.9729649385516</v>
      </c>
      <c r="BC39" s="19" t="n">
        <f aca="false">BC36-BC38</f>
        <v>45.3573352881704</v>
      </c>
      <c r="BD39" s="19" t="n">
        <f aca="false">BD36-BD38</f>
        <v>42.9814508115258</v>
      </c>
      <c r="BE39" s="19" t="n">
        <f aca="false">BE36-BE38</f>
        <v>49.8455329887555</v>
      </c>
      <c r="BF39" s="19" t="n">
        <f aca="false">BF36-BF38</f>
        <v>48.9103108364159</v>
      </c>
      <c r="BG39" s="19" t="n">
        <f aca="false">BG36-BG38</f>
        <v>52.4183052962978</v>
      </c>
      <c r="BH39" s="19" t="n">
        <f aca="false">BH36-BH38</f>
        <v>52.1273841551715</v>
      </c>
      <c r="BI39" s="19" t="n">
        <f aca="false">BI36-BI38</f>
        <v>55.5404172108937</v>
      </c>
      <c r="BJ39" s="19" t="n">
        <f aca="false">BJ36-BJ38</f>
        <v>54.5100862969117</v>
      </c>
      <c r="BK39" s="19" t="n">
        <f aca="false">BK36-BK38</f>
        <v>58.6251230898242</v>
      </c>
      <c r="BL39" s="19" t="n">
        <f aca="false">BL36-BL38</f>
        <v>57.5613291821025</v>
      </c>
      <c r="BM39" s="19" t="n">
        <f aca="false">BM36-BM38</f>
        <v>61.857846161503</v>
      </c>
      <c r="BN39" s="19" t="n">
        <f aca="false">BN36-BN38</f>
        <v>67.7269298419257</v>
      </c>
      <c r="BO39" s="19" t="n">
        <f aca="false">BO36-BO38</f>
        <v>56.2572483336676</v>
      </c>
      <c r="BP39" s="19" t="n">
        <f aca="false">BP36-BP38</f>
        <v>55.936469067937</v>
      </c>
      <c r="BQ39" s="19" t="n">
        <f aca="false">BQ36-BQ38</f>
        <v>60.5676170795991</v>
      </c>
      <c r="BR39" s="19" t="n">
        <f aca="false">BR36-BR38</f>
        <v>58.0729927839151</v>
      </c>
      <c r="BS39" s="19" t="n">
        <f aca="false">BS36-BS38</f>
        <v>63.4140408789475</v>
      </c>
      <c r="BT39" s="19" t="n">
        <f aca="false">BT36-BT38</f>
        <v>53.8436004226652</v>
      </c>
      <c r="BU39" s="19" t="n">
        <f aca="false">BU36-BU38</f>
        <v>75.1414988325221</v>
      </c>
      <c r="BV39" s="19" t="n">
        <f aca="false">BV36-BV38</f>
        <v>72.4634346372552</v>
      </c>
      <c r="BW39" s="19" t="n">
        <f aca="false">BW36-BW38</f>
        <v>71.5458976290405</v>
      </c>
      <c r="BX39" s="19" t="n">
        <f aca="false">BX36-BX38</f>
        <v>44.5477272971993</v>
      </c>
      <c r="BY39" s="19" t="n">
        <f aca="false">BY36-BY38</f>
        <v>47.783077882481</v>
      </c>
      <c r="BZ39" s="19" t="n">
        <f aca="false">BZ36-BZ38</f>
        <v>49.122558018564</v>
      </c>
      <c r="CA39" s="19" t="n">
        <f aca="false">CA36-CA38</f>
        <v>42.8196768657484</v>
      </c>
      <c r="CB39" s="19" t="n">
        <f aca="false">CB36-CB38</f>
        <v>39.5711594583423</v>
      </c>
      <c r="CC39" s="19" t="n">
        <f aca="false">CC36-CC38</f>
        <v>43.5884944523769</v>
      </c>
      <c r="CD39" s="19" t="n">
        <f aca="false">CD36-CD38</f>
        <v>42.3985357498366</v>
      </c>
      <c r="CE39" s="19" t="n">
        <f aca="false">CE36-CE38</f>
        <v>47.503045958293</v>
      </c>
      <c r="CF39" s="19" t="n">
        <f aca="false">CF36-CF38</f>
        <v>46.7081238918876</v>
      </c>
      <c r="CG39" s="19" t="n">
        <f aca="false">CG36-CG38</f>
        <v>122.298122615268</v>
      </c>
      <c r="CH39" s="19" t="n">
        <f aca="false">CH36-CH38</f>
        <v>93.2106260201925</v>
      </c>
      <c r="CI39" s="19" t="n">
        <f aca="false">CI36-CI38</f>
        <v>97.4702486744249</v>
      </c>
      <c r="CJ39" s="19" t="n">
        <f aca="false">CJ36-CJ38</f>
        <v>96.7430591147527</v>
      </c>
      <c r="CK39" s="19" t="n">
        <f aca="false">CK36-CK38</f>
        <v>113.432767668704</v>
      </c>
      <c r="CL39" s="19" t="n">
        <f aca="false">CL36-CL38</f>
        <v>104.772781974886</v>
      </c>
      <c r="CM39" s="19" t="n">
        <f aca="false">CM36-CM38</f>
        <v>109.348472680609</v>
      </c>
      <c r="CN39" s="19" t="n">
        <f aca="false">CN36-CN38</f>
        <v>109.219722400503</v>
      </c>
      <c r="CO39" s="19" t="n">
        <f aca="false">CO36-CO38</f>
        <v>113.303535457093</v>
      </c>
      <c r="CP39" s="19" t="n">
        <f aca="false">CP36-CP38</f>
        <v>157.063605300249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1.72416266294168</v>
      </c>
      <c r="AA41" s="31" t="n">
        <f aca="false">IF(Debt!AA68&gt;Inputs!$F$9,AA7/Debt!AA68,0)</f>
        <v>1.74549595140559</v>
      </c>
      <c r="AB41" s="31" t="n">
        <f aca="false">IF(Debt!AB68&gt;Inputs!$F$9,AB7/Debt!AB68,0)</f>
        <v>1.66229822333969</v>
      </c>
      <c r="AC41" s="31" t="n">
        <f aca="false">IF(Debt!AC68&gt;Inputs!$F$9,AC7/Debt!AC68,0)</f>
        <v>1.65588441371643</v>
      </c>
      <c r="AD41" s="31" t="n">
        <f aca="false">IF(Debt!AD68&gt;Inputs!$F$9,AD7/Debt!AD68,0)</f>
        <v>1.58669111415317</v>
      </c>
      <c r="AE41" s="31" t="n">
        <f aca="false">IF(Debt!AE68&gt;Inputs!$F$9,AE7/Debt!AE68,0)</f>
        <v>1.67064465799941</v>
      </c>
      <c r="AF41" s="31" t="n">
        <f aca="false">IF(Debt!AF68&gt;Inputs!$F$9,AF7/Debt!AF68,0)</f>
        <v>1.81503719128057</v>
      </c>
      <c r="AG41" s="31" t="n">
        <f aca="false">IF(Debt!AG68&gt;Inputs!$F$9,AG7/Debt!AG68,0)</f>
        <v>1.95154698140791</v>
      </c>
      <c r="AH41" s="31" t="n">
        <f aca="false">IF(Debt!AH68&gt;Inputs!$F$9,AH7/Debt!AH68,0)</f>
        <v>2.00705129617707</v>
      </c>
      <c r="AI41" s="31" t="n">
        <f aca="false">IF(Debt!AI68&gt;Inputs!$F$9,AI7/Debt!AI68,0)</f>
        <v>1.96075554651548</v>
      </c>
      <c r="AJ41" s="31" t="n">
        <f aca="false">IF(Debt!AJ68&gt;Inputs!$F$9,AJ7/Debt!AJ68,0)</f>
        <v>2.02550352383447</v>
      </c>
      <c r="AK41" s="31" t="n">
        <f aca="false">IF(Debt!AK68&gt;Inputs!$F$9,AK7/Debt!AK68,0)</f>
        <v>2.11880994768613</v>
      </c>
      <c r="AL41" s="31" t="n">
        <f aca="false">IF(Debt!AL68&gt;Inputs!$F$9,AL7/Debt!AL68,0)</f>
        <v>2.18124457691219</v>
      </c>
      <c r="AM41" s="31" t="n">
        <f aca="false">IF(Debt!AM68&gt;Inputs!$F$9,AM7/Debt!AM68,0)</f>
        <v>2.28797232951197</v>
      </c>
      <c r="AN41" s="31" t="n">
        <f aca="false">IF(Debt!AN68&gt;Inputs!$F$9,AN7/Debt!AN68,0)</f>
        <v>2.35484350027861</v>
      </c>
      <c r="AO41" s="31" t="n">
        <f aca="false">IF(Debt!AO68&gt;Inputs!$F$9,AO7/Debt!AO68,0)</f>
        <v>2.60592185929916</v>
      </c>
      <c r="AP41" s="31" t="n">
        <f aca="false">IF(Debt!AP68&gt;Inputs!$F$9,AP7/Debt!AP68,0)</f>
        <v>2.6785104956258</v>
      </c>
      <c r="AQ41" s="31" t="n">
        <f aca="false">IF(Debt!AQ68&gt;Inputs!$F$9,AQ7/Debt!AQ68,0)</f>
        <v>2.3551568852544</v>
      </c>
      <c r="AR41" s="31" t="n">
        <f aca="false">IF(Debt!AR68&gt;Inputs!$F$9,AR7/Debt!AR68,0)</f>
        <v>2.43848272844225</v>
      </c>
      <c r="AS41" s="31" t="n">
        <f aca="false">IF(Debt!AS68&gt;Inputs!$F$9,AS7/Debt!AS68,0)</f>
        <v>2.56013141427097</v>
      </c>
      <c r="AT41" s="31" t="n">
        <f aca="false">IF(Debt!AT68&gt;Inputs!$F$9,AT7/Debt!AT68,0)</f>
        <v>2.63946528067087</v>
      </c>
      <c r="AU41" s="31" t="n">
        <f aca="false">IF(Debt!AU68&gt;Inputs!$F$9,AU7/Debt!AU68,0)</f>
        <v>2.77899732318336</v>
      </c>
      <c r="AV41" s="31" t="n">
        <f aca="false">IF(Debt!AV68&gt;Inputs!$F$9,AV7/Debt!AV68,0)</f>
        <v>2.86294853286836</v>
      </c>
      <c r="AW41" s="31" t="n">
        <f aca="false">IF(Debt!AW68&gt;Inputs!$F$9,AW7/Debt!AW68,0)</f>
        <v>2.85602723709868</v>
      </c>
      <c r="AX41" s="31" t="n">
        <f aca="false">IF(Debt!AX68&gt;Inputs!$F$9,AX7/Debt!AX68,0)</f>
        <v>2.86627320280948</v>
      </c>
      <c r="AY41" s="31" t="n">
        <f aca="false">IF(Debt!AY68&gt;Inputs!$F$9,AY7/Debt!AY68,0)</f>
        <v>2.87706489418886</v>
      </c>
      <c r="AZ41" s="31" t="n">
        <f aca="false">IF(Debt!AZ68&gt;Inputs!$F$9,AZ7/Debt!AZ68,0)</f>
        <v>2.88756759814711</v>
      </c>
      <c r="BA41" s="31" t="n">
        <f aca="false">IF(Debt!BA68&gt;Inputs!$F$9,BA7/Debt!BA68,0)</f>
        <v>2.88597653045869</v>
      </c>
      <c r="BB41" s="31" t="n">
        <f aca="false">IF(Debt!BB68&gt;Inputs!$F$9,BB7/Debt!BB68,0)</f>
        <v>2.89660327703811</v>
      </c>
      <c r="BC41" s="31" t="n">
        <f aca="false">IF(Debt!BC68&gt;Inputs!$F$9,BC7/Debt!BC68,0)</f>
        <v>2.87155319182657</v>
      </c>
      <c r="BD41" s="31" t="n">
        <f aca="false">IF(Debt!BD68&gt;Inputs!$F$9,BD7/Debt!BD68,0)</f>
        <v>2.88112270094324</v>
      </c>
      <c r="BE41" s="31" t="n">
        <f aca="false">IF(Debt!BE68&gt;Inputs!$F$9,BE7/Debt!BE68,0)</f>
        <v>2.87121791049</v>
      </c>
      <c r="BF41" s="31" t="n">
        <f aca="false">IF(Debt!BF68&gt;Inputs!$F$9,BF7/Debt!BF68,0)</f>
        <v>2.88038422471505</v>
      </c>
      <c r="BG41" s="31" t="n">
        <f aca="false">IF(Debt!BG68&gt;Inputs!$F$9,BG7/Debt!BG68,0)</f>
        <v>2.88029965267987</v>
      </c>
      <c r="BH41" s="31" t="n">
        <f aca="false">IF(Debt!BH68&gt;Inputs!$F$9,BH7/Debt!BH68,0)</f>
        <v>2.88946648488783</v>
      </c>
      <c r="BI41" s="31" t="n">
        <f aca="false">IF(Debt!BI68&gt;Inputs!$F$9,BI7/Debt!BI68,0)</f>
        <v>2.88935917488319</v>
      </c>
      <c r="BJ41" s="31" t="n">
        <f aca="false">IF(Debt!BJ68&gt;Inputs!$F$9,BJ7/Debt!BJ68,0)</f>
        <v>2.89851737573975</v>
      </c>
      <c r="BK41" s="31" t="n">
        <f aca="false">IF(Debt!BK68&gt;Inputs!$F$9,BK7/Debt!BK68,0)</f>
        <v>2.89839797274656</v>
      </c>
      <c r="BL41" s="31" t="n">
        <f aca="false">IF(Debt!BL68&gt;Inputs!$F$9,BL7/Debt!BL68,0)</f>
        <v>2.90755251040379</v>
      </c>
      <c r="BM41" s="31" t="n">
        <f aca="false">IF(Debt!BM68&gt;Inputs!$F$9,BM7/Debt!BM68,0)</f>
        <v>2.90743089888548</v>
      </c>
      <c r="BN41" s="31" t="n">
        <f aca="false">IF(Debt!BN68&gt;Inputs!$F$9,BN7/Debt!BN68,0)</f>
        <v>2.91658381839052</v>
      </c>
      <c r="BO41" s="31" t="n">
        <f aca="false">IF(Debt!BO68&gt;Inputs!$F$9,BO7/Debt!BO68,0)</f>
        <v>2.96512368211945</v>
      </c>
      <c r="BP41" s="31" t="n">
        <f aca="false">IF(Debt!BP68&gt;Inputs!$F$9,BP7/Debt!BP68,0)</f>
        <v>2.97549278673883</v>
      </c>
      <c r="BQ41" s="31" t="n">
        <f aca="false">IF(Debt!BQ68&gt;Inputs!$F$9,BQ7/Debt!BQ68,0)</f>
        <v>2.97308926884996</v>
      </c>
      <c r="BR41" s="31" t="n">
        <f aca="false">IF(Debt!BR68&gt;Inputs!$F$9,BR7/Debt!BR68,0)</f>
        <v>2.98122829920872</v>
      </c>
      <c r="BS41" s="31" t="n">
        <f aca="false">IF(Debt!BS68&gt;Inputs!$F$9,BS7/Debt!BS68,0)</f>
        <v>2.97837593417852</v>
      </c>
      <c r="BT41" s="31" t="n">
        <f aca="false">IF(Debt!BT68&gt;Inputs!$F$9,BT7/Debt!BT68,0)</f>
        <v>2.98646227472899</v>
      </c>
      <c r="BU41" s="31" t="n">
        <f aca="false">IF(Debt!BU68&gt;Inputs!$F$9,BU7/Debt!BU68,0)</f>
        <v>2.93784332424374</v>
      </c>
      <c r="BV41" s="31" t="n">
        <f aca="false">IF(Debt!BV68&gt;Inputs!$F$9,BV7/Debt!BV68,0)</f>
        <v>2.94440403012882</v>
      </c>
      <c r="BW41" s="31" t="n">
        <f aca="false">IF(Debt!BW68&gt;Inputs!$F$9,BW7/Debt!BW68,0)</f>
        <v>2.8178346723226</v>
      </c>
      <c r="BX41" s="31" t="n">
        <f aca="false">IF(Debt!BX68&gt;Inputs!$F$9,BX7/Debt!BX68,0)</f>
        <v>2.32627606957825</v>
      </c>
      <c r="BY41" s="31" t="n">
        <f aca="false">IF(Debt!BY68&gt;Inputs!$F$9,BY7/Debt!BY68,0)</f>
        <v>2.31021479920013</v>
      </c>
      <c r="BZ41" s="31" t="n">
        <f aca="false">IF(Debt!BZ68&gt;Inputs!$F$9,BZ7/Debt!BZ68,0)</f>
        <v>2.30663405432159</v>
      </c>
      <c r="CA41" s="31" t="n">
        <f aca="false">IF(Debt!CA68&gt;Inputs!$F$9,CA7/Debt!CA68,0)</f>
        <v>2.25719778549174</v>
      </c>
      <c r="CB41" s="31" t="n">
        <f aca="false">IF(Debt!CB68&gt;Inputs!$F$9,CB7/Debt!CB68,0)</f>
        <v>2.25355030445936</v>
      </c>
      <c r="CC41" s="31" t="n">
        <f aca="false">IF(Debt!CC68&gt;Inputs!$F$9,CC7/Debt!CC68,0)</f>
        <v>2.23908121468867</v>
      </c>
      <c r="CD41" s="31" t="n">
        <f aca="false">IF(Debt!CD68&gt;Inputs!$F$9,CD7/Debt!CD68,0)</f>
        <v>2.23507293967521</v>
      </c>
      <c r="CE41" s="31" t="n">
        <f aca="false">IF(Debt!CE68&gt;Inputs!$F$9,CE7/Debt!CE68,0)</f>
        <v>2.2023727440049</v>
      </c>
      <c r="CF41" s="31" t="n">
        <f aca="false">IF(Debt!CF68&gt;Inputs!$F$9,CF7/Debt!CF68,0)</f>
        <v>2.49855820782126</v>
      </c>
      <c r="CG41" s="31" t="n">
        <f aca="false">IF(Debt!CG68&gt;Inputs!$F$9,CG7/Debt!CG68,0)</f>
        <v>2.92695381181709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11.9722770333237</v>
      </c>
      <c r="AA42" s="19" t="n">
        <f aca="false">IF(OR(Time!AA36=1,Time!Z44=0),AA7,AA7+Z7)</f>
        <v>26.8224075022113</v>
      </c>
      <c r="AB42" s="19" t="n">
        <f aca="false">IF(OR(Time!AB36=1,Time!AA44=0),AB7,AB7+AA7)</f>
        <v>58.9098107933146</v>
      </c>
      <c r="AC42" s="19" t="n">
        <f aca="false">IF(OR(Time!AC36=1,Time!AB44=0),AC7,AC7+AB7)</f>
        <v>66.1565515490022</v>
      </c>
      <c r="AD42" s="19" t="n">
        <f aca="false">IF(OR(Time!AD36=1,Time!AC44=0),AD7,AD7+AC7)</f>
        <v>71.7273047881256</v>
      </c>
      <c r="AE42" s="19" t="n">
        <f aca="false">IF(OR(Time!AE36=1,Time!AD44=0),AE7,AE7+AD7)</f>
        <v>77.6402535432733</v>
      </c>
      <c r="AF42" s="19" t="n">
        <f aca="false">IF(OR(Time!AF36=1,Time!AE44=0),AF7,AF7+AE7)</f>
        <v>82.8248650638617</v>
      </c>
      <c r="AG42" s="19" t="n">
        <f aca="false">IF(OR(Time!AG36=1,Time!AF44=0),AG7,AG7+AF7)</f>
        <v>88.1806194823351</v>
      </c>
      <c r="AH42" s="19" t="n">
        <f aca="false">IF(OR(Time!AH36=1,Time!AG44=0),AH7,AH7+AG7)</f>
        <v>91.5899446232794</v>
      </c>
      <c r="AI42" s="19" t="n">
        <f aca="false">IF(OR(Time!AI36=1,Time!AH44=0),AI7,AI7+AH7)</f>
        <v>91.8038757049914</v>
      </c>
      <c r="AJ42" s="19" t="n">
        <f aca="false">IF(OR(Time!AJ36=1,Time!AI44=0),AJ7,AJ7+AI7)</f>
        <v>92.3553269996523</v>
      </c>
      <c r="AK42" s="19" t="n">
        <f aca="false">IF(OR(Time!AK36=1,Time!AJ44=0),AK7,AK7+AJ7)</f>
        <v>96.0272073215921</v>
      </c>
      <c r="AL42" s="19" t="n">
        <f aca="false">IF(OR(Time!AL36=1,Time!AK44=0),AL7,AL7+AK7)</f>
        <v>99.490005124244</v>
      </c>
      <c r="AM42" s="19" t="n">
        <f aca="false">IF(OR(Time!AM36=1,Time!AL44=0),AM7,AM7+AL7)</f>
        <v>103.419943274895</v>
      </c>
      <c r="AN42" s="19" t="n">
        <f aca="false">IF(OR(Time!AN36=1,Time!AM44=0),AN7,AN7+AM7)</f>
        <v>107.420495526263</v>
      </c>
      <c r="AO42" s="19" t="n">
        <f aca="false">IF(OR(Time!AO36=1,Time!AN44=0),AO7,AO7+AN7)</f>
        <v>114.807019489839</v>
      </c>
      <c r="AP42" s="19" t="n">
        <f aca="false">IF(OR(Time!AP36=1,Time!AO44=0),AP7,AP7+AO7)</f>
        <v>122.265860258089</v>
      </c>
      <c r="AQ42" s="19" t="n">
        <f aca="false">IF(OR(Time!AQ36=1,Time!AP44=0),AQ7,AQ7+AP7)</f>
        <v>116.440151092087</v>
      </c>
      <c r="AR42" s="19" t="n">
        <f aca="false">IF(OR(Time!AR36=1,Time!AQ44=0),AR7,AR7+AQ7)</f>
        <v>111.060718575285</v>
      </c>
      <c r="AS42" s="19" t="n">
        <f aca="false">IF(OR(Time!AS36=1,Time!AR44=0),AS7,AS7+AR7)</f>
        <v>115.822635573612</v>
      </c>
      <c r="AT42" s="19" t="n">
        <f aca="false">IF(OR(Time!AT36=1,Time!AS44=0),AT7,AT7+AS7)</f>
        <v>120.302278969813</v>
      </c>
      <c r="AU42" s="19" t="n">
        <f aca="false">IF(OR(Time!AU36=1,Time!AT44=0),AU7,AU7+AT7)</f>
        <v>125.38691703194</v>
      </c>
      <c r="AV42" s="19" t="n">
        <f aca="false">IF(OR(Time!AV36=1,Time!AU44=0),AV7,AV7+AU7)</f>
        <v>130.561497295423</v>
      </c>
      <c r="AW42" s="19" t="n">
        <f aca="false">IF(OR(Time!AW36=1,Time!AV44=0),AW7,AW7+AV7)</f>
        <v>137.54512383352</v>
      </c>
      <c r="AX42" s="19" t="n">
        <f aca="false">IF(OR(Time!AX36=1,Time!AW44=0),AX7,AX7+AW7)</f>
        <v>143.633839992929</v>
      </c>
      <c r="AY42" s="19" t="n">
        <f aca="false">IF(OR(Time!AY36=1,Time!AX44=0),AY7,AY7+AX7)</f>
        <v>143.943000952575</v>
      </c>
      <c r="AZ42" s="19" t="n">
        <f aca="false">IF(OR(Time!AZ36=1,Time!AY44=0),AZ7,AZ7+AY7)</f>
        <v>144.749713728341</v>
      </c>
      <c r="BA42" s="19" t="n">
        <f aca="false">IF(OR(Time!BA36=1,Time!AZ44=0),BA7,BA7+AZ7)</f>
        <v>149.171184575985</v>
      </c>
      <c r="BB42" s="19" t="n">
        <f aca="false">IF(OR(Time!BB36=1,Time!BA44=0),BB7,BB7+BA7)</f>
        <v>153.152292436857</v>
      </c>
      <c r="BC42" s="19" t="n">
        <f aca="false">IF(OR(Time!BC36=1,Time!BB44=0),BC7,BC7+BB7)</f>
        <v>166.105071674014</v>
      </c>
      <c r="BD42" s="19" t="n">
        <f aca="false">IF(OR(Time!BD36=1,Time!BC44=0),BD7,BD7+BC7)</f>
        <v>179.089934394869</v>
      </c>
      <c r="BE42" s="19" t="n">
        <f aca="false">IF(OR(Time!BE36=1,Time!BD44=0),BE7,BE7+BD7)</f>
        <v>187.919842280433</v>
      </c>
      <c r="BF42" s="19" t="n">
        <f aca="false">IF(OR(Time!BF36=1,Time!BE44=0),BF7,BF7+BE7)</f>
        <v>196.783391089528</v>
      </c>
      <c r="BG42" s="19" t="n">
        <f aca="false">IF(OR(Time!BG36=1,Time!BF44=0),BG7,BG7+BF7)</f>
        <v>201.919869635074</v>
      </c>
      <c r="BH42" s="19" t="n">
        <f aca="false">IF(OR(Time!BH36=1,Time!BG44=0),BH7,BH7+BG7)</f>
        <v>207.663042657523</v>
      </c>
      <c r="BI42" s="19" t="n">
        <f aca="false">IF(OR(Time!BI36=1,Time!BH44=0),BI7,BI7+BH7)</f>
        <v>213.069792910506</v>
      </c>
      <c r="BJ42" s="19" t="n">
        <f aca="false">IF(OR(Time!BJ36=1,Time!BI44=0),BJ7,BJ7+BI7)</f>
        <v>217.938509477146</v>
      </c>
      <c r="BK42" s="19" t="n">
        <f aca="false">IF(OR(Time!BK36=1,Time!BJ44=0),BK7,BK7+BJ7)</f>
        <v>223.630425904531</v>
      </c>
      <c r="BL42" s="19" t="n">
        <f aca="false">IF(OR(Time!BL36=1,Time!BK44=0),BL7,BL7+BK7)</f>
        <v>229.360752249195</v>
      </c>
      <c r="BM42" s="19" t="n">
        <f aca="false">IF(OR(Time!BM36=1,Time!BL44=0),BM7,BM7+BL7)</f>
        <v>235.306860632662</v>
      </c>
      <c r="BN42" s="19" t="n">
        <f aca="false">IF(OR(Time!BN36=1,Time!BM44=0),BN7,BN7+BM7)</f>
        <v>241.289697143719</v>
      </c>
      <c r="BO42" s="19" t="n">
        <f aca="false">IF(OR(Time!BO36=1,Time!BN44=0),BO7,BO7+BN7)</f>
        <v>228.93930332526</v>
      </c>
      <c r="BP42" s="19" t="n">
        <f aca="false">IF(OR(Time!BP36=1,Time!BO44=0),BP7,BP7+BO7)</f>
        <v>217.335158210605</v>
      </c>
      <c r="BQ42" s="19" t="n">
        <f aca="false">IF(OR(Time!BQ36=1,Time!BP44=0),BQ7,BQ7+BP7)</f>
        <v>223.907671295338</v>
      </c>
      <c r="BR42" s="19" t="n">
        <f aca="false">IF(OR(Time!BR36=1,Time!BQ44=0),BR7,BR7+BQ7)</f>
        <v>228.291657834918</v>
      </c>
      <c r="BS42" s="19" t="n">
        <f aca="false">IF(OR(Time!BS36=1,Time!BR44=0),BS7,BS7+BR7)</f>
        <v>233.487619310591</v>
      </c>
      <c r="BT42" s="19" t="n">
        <f aca="false">IF(OR(Time!BT36=1,Time!BS44=0),BT7,BT7+BS7)</f>
        <v>238.661352711307</v>
      </c>
      <c r="BU42" s="19" t="n">
        <f aca="false">IF(OR(Time!BU36=1,Time!BT44=0),BU7,BU7+BT7)</f>
        <v>262.661077304645</v>
      </c>
      <c r="BV42" s="19" t="n">
        <f aca="false">IF(OR(Time!BV36=1,Time!BU44=0),BV7,BV7+BU7)</f>
        <v>286.637583987627</v>
      </c>
      <c r="BW42" s="19" t="n">
        <f aca="false">IF(OR(Time!BW36=1,Time!BV44=0),BW7,BW7+BV7)</f>
        <v>285.844897649314</v>
      </c>
      <c r="BX42" s="19" t="n">
        <f aca="false">IF(OR(Time!BX36=1,Time!BW44=0),BX7,BX7+BW7)</f>
        <v>260.638893435148</v>
      </c>
      <c r="BY42" s="19" t="n">
        <f aca="false">IF(OR(Time!BY36=1,Time!BX44=0),BY7,BY7+BX7)</f>
        <v>239.213017295629</v>
      </c>
      <c r="BZ42" s="19" t="n">
        <f aca="false">IF(OR(Time!BZ36=1,Time!BY44=0),BZ7,BZ7+BY7)</f>
        <v>241.852702861327</v>
      </c>
      <c r="CA42" s="19" t="n">
        <f aca="false">IF(OR(Time!CA36=1,Time!BZ44=0),CA7,CA7+BZ7)</f>
        <v>233.246531309</v>
      </c>
      <c r="CB42" s="19" t="n">
        <f aca="false">IF(OR(Time!CB36=1,Time!CA44=0),CB7,CB7+CA7)</f>
        <v>224.637194221148</v>
      </c>
      <c r="CC42" s="19" t="n">
        <f aca="false">IF(OR(Time!CC36=1,Time!CB44=0),CC7,CC7+CB7)</f>
        <v>228.208176019283</v>
      </c>
      <c r="CD42" s="19" t="n">
        <f aca="false">IF(OR(Time!CD36=1,Time!CC44=0),CD7,CD7+CC7)</f>
        <v>231.730899850783</v>
      </c>
      <c r="CE42" s="19" t="n">
        <f aca="false">IF(OR(Time!CE36=1,Time!CD44=0),CE7,CE7+CD7)</f>
        <v>229.56874250978</v>
      </c>
      <c r="CF42" s="19" t="n">
        <f aca="false">IF(OR(Time!CF36=1,Time!CE44=0),CF7,CF7+CE7)</f>
        <v>228.098825747656</v>
      </c>
      <c r="CG42" s="19" t="n">
        <f aca="false">IF(OR(Time!CG36=1,Time!CF44=0),CG7,CG7+CF7)</f>
        <v>255.970122965067</v>
      </c>
      <c r="CH42" s="19" t="n">
        <f aca="false">IF(OR(Time!CH36=1,Time!CG44=0),CH7,CH7+CG7)</f>
        <v>261.266030018235</v>
      </c>
      <c r="CI42" s="19" t="n">
        <f aca="false">IF(OR(Time!CI36=1,Time!CH44=0),CI7,CI7+CH7)</f>
        <v>243.76567177178</v>
      </c>
      <c r="CJ42" s="19" t="n">
        <f aca="false">IF(OR(Time!CJ36=1,Time!CI44=0),CJ7,CJ7+CI7)</f>
        <v>248.198231590804</v>
      </c>
      <c r="CK42" s="19" t="n">
        <f aca="false">IF(OR(Time!CK36=1,Time!CJ44=0),CK7,CK7+CJ7)</f>
        <v>269.093420836343</v>
      </c>
      <c r="CL42" s="19" t="n">
        <f aca="false">IF(OR(Time!CL36=1,Time!CK44=0),CL7,CL7+CK7)</f>
        <v>279.474059718405</v>
      </c>
      <c r="CM42" s="19" t="n">
        <f aca="false">IF(OR(Time!CM36=1,Time!CL44=0),CM7,CM7+CL7)</f>
        <v>273.789356696798</v>
      </c>
      <c r="CN42" s="19" t="n">
        <f aca="false">IF(OR(Time!CN36=1,Time!CM44=0),CN7,CN7+CM7)</f>
        <v>279.379894732627</v>
      </c>
      <c r="CO42" s="19" t="n">
        <f aca="false">IF(OR(Time!CO36=1,Time!CN44=0),CO7,CO7+CN7)</f>
        <v>284.336235943546</v>
      </c>
      <c r="CP42" s="19" t="n">
        <f aca="false">IF(OR(Time!CP36=1,Time!CO44=0),CP7,CP7+CO7)</f>
        <v>301.842437389651</v>
      </c>
      <c r="CQ42" s="19" t="n">
        <f aca="false">IF(OR(Time!CQ36=1,Time!CP44=0),CQ7,CQ7+CP7)</f>
        <v>157.063605300249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1.74549595140559</v>
      </c>
      <c r="AB44" s="31" t="n">
        <f aca="false">IF(AND(Time!AB44=1,AB43&gt;Inputs!$F$9),AB42/AB43,0)</f>
        <v>1.69917395031695</v>
      </c>
      <c r="AC44" s="31" t="n">
        <f aca="false">IF(AND(Time!AC44=1,AC43&gt;Inputs!$F$9),AC42/AC43,0)</f>
        <v>1.65898906166331</v>
      </c>
      <c r="AD44" s="31" t="n">
        <f aca="false">IF(AND(Time!AD44=1,AD43&gt;Inputs!$F$9),AD42/AD43,0)</f>
        <v>1.61882103273364</v>
      </c>
      <c r="AE44" s="31" t="n">
        <f aca="false">IF(AND(Time!AE44=1,AE43&gt;Inputs!$F$9),AE42/AE43,0)</f>
        <v>1.62884258022757</v>
      </c>
      <c r="AF44" s="31" t="n">
        <f aca="false">IF(AND(Time!AF44=1,AF43&gt;Inputs!$F$9),AF42/AF43,0)</f>
        <v>1.74234309213035</v>
      </c>
      <c r="AG44" s="31" t="n">
        <f aca="false">IF(AND(Time!AG44=1,AG43&gt;Inputs!$F$9),AG42/AG43,0)</f>
        <v>1.88274909514755</v>
      </c>
      <c r="AH44" s="31" t="n">
        <f aca="false">IF(AND(Time!AH44=1,AH43&gt;Inputs!$F$9),AH42/AH43,0)</f>
        <v>1.97918702372324</v>
      </c>
      <c r="AI44" s="31" t="n">
        <f aca="false">IF(AND(Time!AI44=1,AI43&gt;Inputs!$F$9),AI42/AI43,0)</f>
        <v>1.98380990697355</v>
      </c>
      <c r="AJ44" s="31" t="n">
        <f aca="false">IF(AND(Time!AJ44=1,AJ43&gt;Inputs!$F$9),AJ42/AJ43,0)</f>
        <v>1.99304246132375</v>
      </c>
      <c r="AK44" s="31" t="n">
        <f aca="false">IF(AND(Time!AK44=1,AK43&gt;Inputs!$F$9),AK42/AK43,0)</f>
        <v>2.07228221535064</v>
      </c>
      <c r="AL44" s="31" t="n">
        <f aca="false">IF(AND(Time!AL44=1,AL43&gt;Inputs!$F$9),AL42/AL43,0)</f>
        <v>2.14990114845002</v>
      </c>
      <c r="AM44" s="31" t="n">
        <f aca="false">IF(AND(Time!AM44=1,AM43&gt;Inputs!$F$9),AM42/AM43,0)</f>
        <v>2.23482403626042</v>
      </c>
      <c r="AN44" s="31" t="n">
        <f aca="false">IF(AND(Time!AN44=1,AN43&gt;Inputs!$F$9),AN42/AN43,0)</f>
        <v>2.32127283952372</v>
      </c>
      <c r="AO44" s="31" t="n">
        <f aca="false">IF(AND(Time!AO44=1,AO43&gt;Inputs!$F$9),AO42/AO43,0)</f>
        <v>2.48088984157848</v>
      </c>
      <c r="AP44" s="31" t="n">
        <f aca="false">IF(AND(Time!AP44=1,AP43&gt;Inputs!$F$9),AP42/AP43,0)</f>
        <v>2.64206955318611</v>
      </c>
      <c r="AQ44" s="31" t="n">
        <f aca="false">IF(AND(Time!AQ44=1,AQ43&gt;Inputs!$F$9),AQ42/AQ43,0)</f>
        <v>2.51618053739119</v>
      </c>
      <c r="AR44" s="31" t="n">
        <f aca="false">IF(AND(Time!AR44=1,AR43&gt;Inputs!$F$9),AR42/AR43,0)</f>
        <v>2.39670774926176</v>
      </c>
      <c r="AS44" s="31" t="n">
        <f aca="false">IF(AND(Time!AS44=1,AS43&gt;Inputs!$F$9),AS42/AS43,0)</f>
        <v>2.49947066595849</v>
      </c>
      <c r="AT44" s="31" t="n">
        <f aca="false">IF(AND(Time!AT44=1,AT43&gt;Inputs!$F$9),AT42/AT43,0)</f>
        <v>2.59963809827296</v>
      </c>
      <c r="AU44" s="31" t="n">
        <f aca="false">IF(AND(Time!AU44=1,AU43&gt;Inputs!$F$9),AU42/AU43,0)</f>
        <v>2.70951314748586</v>
      </c>
      <c r="AV44" s="31" t="n">
        <f aca="false">IF(AND(Time!AV44=1,AV43&gt;Inputs!$F$9),AV42/AV43,0)</f>
        <v>2.82081112955688</v>
      </c>
      <c r="AW44" s="31" t="n">
        <f aca="false">IF(AND(Time!AW44=1,AW43&gt;Inputs!$F$9),AW42/AW43,0)</f>
        <v>2.85934421446888</v>
      </c>
      <c r="AX44" s="31" t="n">
        <f aca="false">IF(AND(Time!AX44=1,AX43&gt;Inputs!$F$9),AX42/AX43,0)</f>
        <v>2.86116047299691</v>
      </c>
      <c r="AY44" s="31" t="n">
        <f aca="false">IF(AND(Time!AY44=1,AY43&gt;Inputs!$F$9),AY42/AY43,0)</f>
        <v>2.87165008244122</v>
      </c>
      <c r="AZ44" s="31" t="n">
        <f aca="false">IF(AND(Time!AZ44=1,AZ43&gt;Inputs!$F$9),AZ42/AZ43,0)</f>
        <v>2.88234448869279</v>
      </c>
      <c r="BA44" s="31" t="n">
        <f aca="false">IF(AND(Time!BA44=1,BA43&gt;Inputs!$F$9),BA42/BA43,0)</f>
        <v>2.88675382342841</v>
      </c>
      <c r="BB44" s="31" t="n">
        <f aca="false">IF(AND(Time!BB44=1,BB43&gt;Inputs!$F$9),BB42/BB43,0)</f>
        <v>2.89130101901894</v>
      </c>
      <c r="BC44" s="31" t="n">
        <f aca="false">IF(AND(Time!BC44=1,BC43&gt;Inputs!$F$9),BC42/BC43,0)</f>
        <v>2.88309284376392</v>
      </c>
      <c r="BD44" s="31" t="n">
        <f aca="false">IF(AND(Time!BD44=1,BD43&gt;Inputs!$F$9),BD42/BD43,0)</f>
        <v>2.87634692346053</v>
      </c>
      <c r="BE44" s="31" t="n">
        <f aca="false">IF(AND(Time!BE44=1,BE43&gt;Inputs!$F$9),BE42/BE43,0)</f>
        <v>2.87594579999164</v>
      </c>
      <c r="BF44" s="31" t="n">
        <f aca="false">IF(AND(Time!BF44=1,BF43&gt;Inputs!$F$9),BF42/BF43,0)</f>
        <v>2.87580931116152</v>
      </c>
      <c r="BG44" s="31" t="n">
        <f aca="false">IF(AND(Time!BG44=1,BG43&gt;Inputs!$F$9),BG42/BG43,0)</f>
        <v>2.88034100219664</v>
      </c>
      <c r="BH44" s="31" t="n">
        <f aca="false">IF(AND(Time!BH44=1,BH43&gt;Inputs!$F$9),BH42/BH43,0)</f>
        <v>2.88490391155118</v>
      </c>
      <c r="BI44" s="31" t="n">
        <f aca="false">IF(AND(Time!BI44=1,BI43&gt;Inputs!$F$9),BI42/BI43,0)</f>
        <v>2.88941178824858</v>
      </c>
      <c r="BJ44" s="31" t="n">
        <f aca="false">IF(AND(Time!BJ44=1,BJ43&gt;Inputs!$F$9),BJ42/BJ43,0)</f>
        <v>2.89394649849406</v>
      </c>
      <c r="BK44" s="31" t="n">
        <f aca="false">IF(AND(Time!BK44=1,BK43&gt;Inputs!$F$9),BK42/BK43,0)</f>
        <v>2.89845635001635</v>
      </c>
      <c r="BL44" s="31" t="n">
        <f aca="false">IF(AND(Time!BL44=1,BL43&gt;Inputs!$F$9),BL42/BL43,0)</f>
        <v>2.90298348339803</v>
      </c>
      <c r="BM44" s="31" t="n">
        <f aca="false">IF(AND(Time!BM44=1,BM43&gt;Inputs!$F$9),BM42/BM43,0)</f>
        <v>2.90749036700916</v>
      </c>
      <c r="BN44" s="31" t="n">
        <f aca="false">IF(AND(Time!BN44=1,BN43&gt;Inputs!$F$9),BN42/BN43,0)</f>
        <v>2.91201555513576</v>
      </c>
      <c r="BO44" s="31" t="n">
        <f aca="false">IF(AND(Time!BO44=1,BO43&gt;Inputs!$F$9),BO42/BO43,0)</f>
        <v>2.93925893325011</v>
      </c>
      <c r="BP44" s="31" t="n">
        <f aca="false">IF(AND(Time!BP44=1,BP43&gt;Inputs!$F$9),BP42/BP43,0)</f>
        <v>2.97033634220511</v>
      </c>
      <c r="BQ44" s="31" t="n">
        <f aca="false">IF(AND(Time!BQ44=1,BQ43&gt;Inputs!$F$9),BQ42/BQ43,0)</f>
        <v>2.97426362642586</v>
      </c>
      <c r="BR44" s="31" t="n">
        <f aca="false">IF(AND(Time!BR44=1,BR43&gt;Inputs!$F$9),BR42/BR43,0)</f>
        <v>2.97714197466556</v>
      </c>
      <c r="BS44" s="31" t="n">
        <f aca="false">IF(AND(Time!BS44=1,BS43&gt;Inputs!$F$9),BS42/BS43,0)</f>
        <v>2.97976584293539</v>
      </c>
      <c r="BT44" s="31" t="n">
        <f aca="false">IF(AND(Time!BT44=1,BT43&gt;Inputs!$F$9),BT42/BT43,0)</f>
        <v>2.982402558305</v>
      </c>
      <c r="BU44" s="31" t="n">
        <f aca="false">IF(AND(Time!BU44=1,BU43&gt;Inputs!$F$9),BU42/BU43,0)</f>
        <v>2.95967356729209</v>
      </c>
      <c r="BV44" s="31" t="n">
        <f aca="false">IF(AND(Time!BV44=1,BV43&gt;Inputs!$F$9),BV42/BV43,0)</f>
        <v>2.94111227799793</v>
      </c>
      <c r="BW44" s="31" t="n">
        <f aca="false">IF(AND(Time!BW44=1,BW43&gt;Inputs!$F$9),BW42/BW43,0)</f>
        <v>2.87975502410224</v>
      </c>
      <c r="BX44" s="31" t="n">
        <f aca="false">IF(AND(Time!BX44=1,BX43&gt;Inputs!$F$9),BX42/BX43,0)</f>
        <v>2.57223017859508</v>
      </c>
      <c r="BY44" s="31" t="n">
        <f aca="false">IF(AND(Time!BY44=1,BY43&gt;Inputs!$F$9),BY42/BY43,0)</f>
        <v>2.31809462552645</v>
      </c>
      <c r="BZ44" s="31" t="n">
        <f aca="false">IF(AND(Time!BZ44=1,BZ43&gt;Inputs!$F$9),BZ42/BZ43,0)</f>
        <v>2.3084306195136</v>
      </c>
      <c r="CA44" s="31" t="n">
        <f aca="false">IF(AND(Time!CA44=1,CA43&gt;Inputs!$F$9),CA42/CA43,0)</f>
        <v>2.28245185943345</v>
      </c>
      <c r="CB44" s="31" t="n">
        <f aca="false">IF(AND(Time!CB44=1,CB43&gt;Inputs!$F$9),CB42/CB43,0)</f>
        <v>2.25538091043469</v>
      </c>
      <c r="CC44" s="31" t="n">
        <f aca="false">IF(AND(Time!CC44=1,CC43&gt;Inputs!$F$9),CC42/CC43,0)</f>
        <v>2.24614669864968</v>
      </c>
      <c r="CD44" s="31" t="n">
        <f aca="false">IF(AND(Time!CD44=1,CD43&gt;Inputs!$F$9),CD42/CD43,0)</f>
        <v>2.23708458368077</v>
      </c>
      <c r="CE44" s="31" t="n">
        <f aca="false">IF(AND(Time!CE44=1,CE43&gt;Inputs!$F$9),CE42/CE43,0)</f>
        <v>2.2186797434888</v>
      </c>
      <c r="CF44" s="31" t="n">
        <f aca="false">IF(AND(Time!CF44=1,CF43&gt;Inputs!$F$9),CF42/CF43,0)</f>
        <v>2.3408869427876</v>
      </c>
      <c r="CG44" s="31" t="n">
        <f aca="false">IF(AND(Time!CG44=1,CG43&gt;Inputs!$F$9),CG42/CG43,0)</f>
        <v>2.71954591470505</v>
      </c>
      <c r="CH44" s="31" t="n">
        <f aca="false">IF(AND(Time!CH44=1,CH43&gt;Inputs!$F$9),CH42/CH43,0)</f>
        <v>5.38104909980903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3424.69573141749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46.6430404943425</v>
      </c>
      <c r="AE49" s="19" t="n">
        <f aca="false">IF(AE48=1,0,MAX(0,AE39))*(1-Time!AE20)</f>
        <v>16.3777498092364</v>
      </c>
      <c r="AF49" s="19" t="n">
        <f aca="false">IF(AF48=1,0,MAX(0,AF39))*(1-Time!AF20)</f>
        <v>14.6490359289279</v>
      </c>
      <c r="AG49" s="19" t="n">
        <f aca="false">IF(AG48=1,0,MAX(0,AG39))*(1-Time!AG20)</f>
        <v>22.2930526862871</v>
      </c>
      <c r="AH49" s="19" t="n">
        <f aca="false">IF(AH48=1,0,MAX(0,AH39))*(1-Time!AH20)</f>
        <v>23.0203432705703</v>
      </c>
      <c r="AI49" s="19" t="n">
        <f aca="false">IF(AI48=1,0,MAX(0,AI39))*(1-Time!AI20)</f>
        <v>22.444666709347</v>
      </c>
      <c r="AJ49" s="19" t="n">
        <f aca="false">IF(AJ48=1,0,MAX(0,AJ39))*(1-Time!AJ20)</f>
        <v>18.1070762155505</v>
      </c>
      <c r="AK49" s="19" t="n">
        <f aca="false">IF(AK48=1,0,MAX(0,AK39))*(1-Time!AK20)</f>
        <v>17.4323644751543</v>
      </c>
      <c r="AL49" s="19" t="n">
        <f aca="false">IF(AL48=1,0,MAX(0,AL39))*(1-Time!AL20)</f>
        <v>18.4306987250787</v>
      </c>
      <c r="AM49" s="19" t="n">
        <f aca="false">IF(AM48=1,0,MAX(0,AM39))*(1-Time!AM20)</f>
        <v>21.362302625805</v>
      </c>
      <c r="AN49" s="19" t="n">
        <f aca="false">IF(AN48=1,0,MAX(0,AN39))*(1-Time!AN20)</f>
        <v>22.4312509764469</v>
      </c>
      <c r="AO49" s="19" t="n">
        <f aca="false">IF(AO48=1,0,MAX(0,AO39))*(1-Time!AO20)</f>
        <v>28.7488265893806</v>
      </c>
      <c r="AP49" s="19" t="n">
        <f aca="false">IF(AP48=1,0,MAX(0,AP39))*(1-Time!AP20)</f>
        <v>29.6823701846621</v>
      </c>
      <c r="AQ49" s="19" t="n">
        <f aca="false">IF(AQ48=1,0,MAX(0,AQ39))*(1-Time!AQ20)</f>
        <v>22.8640046262932</v>
      </c>
      <c r="AR49" s="19" t="n">
        <f aca="false">IF(AR48=1,0,MAX(0,AR39))*(1-Time!AR20)</f>
        <v>24.4662933365376</v>
      </c>
      <c r="AS49" s="19" t="n">
        <f aca="false">IF(AS48=1,0,MAX(0,AS39))*(1-Time!AS20)</f>
        <v>27.6882386832718</v>
      </c>
      <c r="AT49" s="19" t="n">
        <f aca="false">IF(AT48=1,0,MAX(0,AT39))*(1-Time!AT20)</f>
        <v>28.9934546422674</v>
      </c>
      <c r="AU49" s="19" t="n">
        <f aca="false">IF(AU48=1,0,MAX(0,AU39))*(1-Time!AU20)</f>
        <v>32.3841573143614</v>
      </c>
      <c r="AV49" s="19" t="n">
        <f aca="false">IF(AV48=1,0,MAX(0,AV39))*(1-Time!AV20)</f>
        <v>31.5421796845589</v>
      </c>
      <c r="AW49" s="19" t="n">
        <f aca="false">IF(AW48=1,0,MAX(0,AW39))*(1-Time!AW20)</f>
        <v>36.170792235621</v>
      </c>
      <c r="AX49" s="19" t="n">
        <f aca="false">IF(AX48=1,0,MAX(0,AX39))*(1-Time!AX20)</f>
        <v>36.8506234931001</v>
      </c>
      <c r="AY49" s="19" t="n">
        <f aca="false">IF(AY48=1,0,MAX(0,AY39))*(1-Time!AY20)</f>
        <v>36.4169534006673</v>
      </c>
      <c r="AZ49" s="19" t="n">
        <f aca="false">IF(AZ48=1,0,MAX(0,AZ39))*(1-Time!AZ20)</f>
        <v>36.1640823594914</v>
      </c>
      <c r="BA49" s="19" t="n">
        <f aca="false">IF(BA48=1,0,MAX(0,BA39))*(1-Time!BA20)</f>
        <v>38.9490157055235</v>
      </c>
      <c r="BB49" s="19" t="n">
        <f aca="false">IF(BB48=1,0,MAX(0,BB39))*(1-Time!BB20)</f>
        <v>34.9729649385516</v>
      </c>
      <c r="BC49" s="19" t="n">
        <f aca="false">IF(BC48=1,0,MAX(0,BC39))*(1-Time!BC20)</f>
        <v>45.3573352881704</v>
      </c>
      <c r="BD49" s="19" t="n">
        <f aca="false">IF(BD48=1,0,MAX(0,BD39))*(1-Time!BD20)</f>
        <v>42.9814508115258</v>
      </c>
      <c r="BE49" s="19" t="n">
        <f aca="false">IF(BE48=1,0,MAX(0,BE39))*(1-Time!BE20)</f>
        <v>49.8455329887555</v>
      </c>
      <c r="BF49" s="19" t="n">
        <f aca="false">IF(BF48=1,0,MAX(0,BF39))*(1-Time!BF20)</f>
        <v>48.9103108364159</v>
      </c>
      <c r="BG49" s="19" t="n">
        <f aca="false">IF(BG48=1,0,MAX(0,BG39))*(1-Time!BG20)</f>
        <v>52.4183052962978</v>
      </c>
      <c r="BH49" s="19" t="n">
        <f aca="false">IF(BH48=1,0,MAX(0,BH39))*(1-Time!BH20)</f>
        <v>52.1273841551715</v>
      </c>
      <c r="BI49" s="19" t="n">
        <f aca="false">IF(BI48=1,0,MAX(0,BI39))*(1-Time!BI20)</f>
        <v>55.5404172108937</v>
      </c>
      <c r="BJ49" s="19" t="n">
        <f aca="false">IF(BJ48=1,0,MAX(0,BJ39))*(1-Time!BJ20)</f>
        <v>54.5100862969117</v>
      </c>
      <c r="BK49" s="19" t="n">
        <f aca="false">IF(BK48=1,0,MAX(0,BK39))*(1-Time!BK20)</f>
        <v>58.6251230898242</v>
      </c>
      <c r="BL49" s="19" t="n">
        <f aca="false">IF(BL48=1,0,MAX(0,BL39))*(1-Time!BL20)</f>
        <v>57.5613291821025</v>
      </c>
      <c r="BM49" s="19" t="n">
        <f aca="false">IF(BM48=1,0,MAX(0,BM39))*(1-Time!BM20)</f>
        <v>61.857846161503</v>
      </c>
      <c r="BN49" s="19" t="n">
        <f aca="false">IF(BN48=1,0,MAX(0,BN39))*(1-Time!BN20)</f>
        <v>67.7269298419257</v>
      </c>
      <c r="BO49" s="19" t="n">
        <f aca="false">IF(BO48=1,0,MAX(0,BO39))*(1-Time!BO20)</f>
        <v>56.2572483336676</v>
      </c>
      <c r="BP49" s="19" t="n">
        <f aca="false">IF(BP48=1,0,MAX(0,BP39))*(1-Time!BP20)</f>
        <v>55.936469067937</v>
      </c>
      <c r="BQ49" s="19" t="n">
        <f aca="false">IF(BQ48=1,0,MAX(0,BQ39))*(1-Time!BQ20)</f>
        <v>60.5676170795991</v>
      </c>
      <c r="BR49" s="19" t="n">
        <f aca="false">IF(BR48=1,0,MAX(0,BR39))*(1-Time!BR20)</f>
        <v>58.0729927839151</v>
      </c>
      <c r="BS49" s="19" t="n">
        <f aca="false">IF(BS48=1,0,MAX(0,BS39))*(1-Time!BS20)</f>
        <v>63.4140408789475</v>
      </c>
      <c r="BT49" s="19" t="n">
        <f aca="false">IF(BT48=1,0,MAX(0,BT39))*(1-Time!BT20)</f>
        <v>53.8436004226652</v>
      </c>
      <c r="BU49" s="19" t="n">
        <f aca="false">IF(BU48=1,0,MAX(0,BU39))*(1-Time!BU20)</f>
        <v>75.1414988325221</v>
      </c>
      <c r="BV49" s="19" t="n">
        <f aca="false">IF(BV48=1,0,MAX(0,BV39))*(1-Time!BV20)</f>
        <v>72.4634346372552</v>
      </c>
      <c r="BW49" s="19" t="n">
        <f aca="false">IF(BW48=1,0,MAX(0,BW39))*(1-Time!BW20)</f>
        <v>71.5458976290405</v>
      </c>
      <c r="BX49" s="19" t="n">
        <f aca="false">IF(BX48=1,0,MAX(0,BX39))*(1-Time!BX20)</f>
        <v>44.5477272971993</v>
      </c>
      <c r="BY49" s="19" t="n">
        <f aca="false">IF(BY48=1,0,MAX(0,BY39))*(1-Time!BY20)</f>
        <v>47.783077882481</v>
      </c>
      <c r="BZ49" s="19" t="n">
        <f aca="false">IF(BZ48=1,0,MAX(0,BZ39))*(1-Time!BZ20)</f>
        <v>49.122558018564</v>
      </c>
      <c r="CA49" s="19" t="n">
        <f aca="false">IF(CA48=1,0,MAX(0,CA39))*(1-Time!CA20)</f>
        <v>42.8196768657484</v>
      </c>
      <c r="CB49" s="19" t="n">
        <f aca="false">IF(CB48=1,0,MAX(0,CB39))*(1-Time!CB20)</f>
        <v>39.5711594583423</v>
      </c>
      <c r="CC49" s="19" t="n">
        <f aca="false">IF(CC48=1,0,MAX(0,CC39))*(1-Time!CC20)</f>
        <v>43.5884944523769</v>
      </c>
      <c r="CD49" s="19" t="n">
        <f aca="false">IF(CD48=1,0,MAX(0,CD39))*(1-Time!CD20)</f>
        <v>42.3985357498366</v>
      </c>
      <c r="CE49" s="19" t="n">
        <f aca="false">IF(CE48=1,0,MAX(0,CE39))*(1-Time!CE20)</f>
        <v>47.503045958293</v>
      </c>
      <c r="CF49" s="19" t="n">
        <f aca="false">IF(CF48=1,0,MAX(0,CF39))*(1-Time!CF20)</f>
        <v>46.7081238918876</v>
      </c>
      <c r="CG49" s="19" t="n">
        <f aca="false">IF(CG48=1,0,MAX(0,CG39))*(1-Time!CG20)</f>
        <v>122.298122615268</v>
      </c>
      <c r="CH49" s="19" t="n">
        <f aca="false">IF(CH48=1,0,MAX(0,CH39))*(1-Time!CH20)</f>
        <v>93.2106260201925</v>
      </c>
      <c r="CI49" s="19" t="n">
        <f aca="false">IF(CI48=1,0,MAX(0,CI39))*(1-Time!CI20)</f>
        <v>97.4702486744249</v>
      </c>
      <c r="CJ49" s="19" t="n">
        <f aca="false">IF(CJ48=1,0,MAX(0,CJ39))*(1-Time!CJ20)</f>
        <v>96.7430591147527</v>
      </c>
      <c r="CK49" s="19" t="n">
        <f aca="false">IF(CK48=1,0,MAX(0,CK39))*(1-Time!CK20)</f>
        <v>113.432767668704</v>
      </c>
      <c r="CL49" s="19" t="n">
        <f aca="false">IF(CL48=1,0,MAX(0,CL39))*(1-Time!CL20)</f>
        <v>104.772781974886</v>
      </c>
      <c r="CM49" s="19" t="n">
        <f aca="false">IF(CM48=1,0,MAX(0,CM39))*(1-Time!CM20)</f>
        <v>109.348472680609</v>
      </c>
      <c r="CN49" s="19" t="n">
        <f aca="false">IF(CN48=1,0,MAX(0,CN39))*(1-Time!CN20)</f>
        <v>109.219722400503</v>
      </c>
      <c r="CO49" s="19" t="n">
        <f aca="false">IF(CO48=1,0,MAX(0,CO39))*(1-Time!CO20)</f>
        <v>113.303535457093</v>
      </c>
      <c r="CP49" s="19" t="n">
        <f aca="false">IF(CP48=1,0,MAX(0,CP39))*(1-Time!CP20)</f>
        <v>157.063605300249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3.5494583387042</v>
      </c>
      <c r="AA51" s="19" t="n">
        <f aca="false">(AA39-AA49+AA50)*(1-Time!AA20)</f>
        <v>11.0688293336412</v>
      </c>
      <c r="AB51" s="19" t="n">
        <f aca="false">(AB39-AB49+AB50)*(1-Time!AB20)</f>
        <v>22.5816393888344</v>
      </c>
      <c r="AC51" s="19" t="n">
        <f aca="false">(AC39-AC49+AC50)*(1-Time!AC20)</f>
        <v>32.9170210715514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509.887261539305</v>
      </c>
      <c r="AF53" s="19" t="n">
        <f aca="false">AE59</f>
        <v>519.856015161935</v>
      </c>
      <c r="AG53" s="19" t="n">
        <f aca="false">AF59</f>
        <v>531.630619565314</v>
      </c>
      <c r="AH53" s="19" t="n">
        <f aca="false">AG59</f>
        <v>536.807576426977</v>
      </c>
      <c r="AI53" s="19" t="n">
        <f aca="false">AH59</f>
        <v>541.07250044863</v>
      </c>
      <c r="AJ53" s="19" t="n">
        <f aca="false">AI59</f>
        <v>546.585716913149</v>
      </c>
      <c r="AK53" s="19" t="n">
        <f aca="false">AJ59</f>
        <v>556.414412064762</v>
      </c>
      <c r="AL53" s="19" t="n">
        <f aca="false">AK59</f>
        <v>567.732666251366</v>
      </c>
      <c r="AM53" s="19" t="n">
        <f aca="false">AL59</f>
        <v>578.159119007461</v>
      </c>
      <c r="AN53" s="19" t="n">
        <f aca="false">AM59</f>
        <v>586.671010859685</v>
      </c>
      <c r="AO53" s="19" t="n">
        <f aca="false">AN59</f>
        <v>594.059524072209</v>
      </c>
      <c r="AP53" s="19" t="n">
        <f aca="false">AO59</f>
        <v>596.006485493792</v>
      </c>
      <c r="AQ53" s="19" t="n">
        <f aca="false">AP59</f>
        <v>596.618390164263</v>
      </c>
      <c r="AR53" s="19" t="n">
        <f aca="false">AQ59</f>
        <v>604.582393314677</v>
      </c>
      <c r="AS53" s="19" t="n">
        <f aca="false">AR59</f>
        <v>611.016057641935</v>
      </c>
      <c r="AT53" s="19" t="n">
        <f aca="false">AS59</f>
        <v>614.89977196449</v>
      </c>
      <c r="AU53" s="19" t="n">
        <f aca="false">AT59</f>
        <v>617.160914635568</v>
      </c>
      <c r="AV53" s="19" t="n">
        <f aca="false">AU59</f>
        <v>616.666222663746</v>
      </c>
      <c r="AW53" s="19" t="n">
        <f aca="false">AV59</f>
        <v>616.46842680376</v>
      </c>
      <c r="AX53" s="19" t="n">
        <f aca="false">AW59</f>
        <v>612.151318210657</v>
      </c>
      <c r="AY53" s="19" t="n">
        <f aca="false">AX59</f>
        <v>606.4155915151</v>
      </c>
      <c r="AZ53" s="19" t="n">
        <f aca="false">AY59</f>
        <v>601.332879363679</v>
      </c>
      <c r="BA53" s="19" t="n">
        <f aca="false">AZ59</f>
        <v>595.902673345364</v>
      </c>
      <c r="BB53" s="19" t="n">
        <f aca="false">BA59</f>
        <v>587.744683446124</v>
      </c>
      <c r="BC53" s="19" t="n">
        <f aca="false">BB59</f>
        <v>582.646056150406</v>
      </c>
      <c r="BD53" s="19" t="n">
        <f aca="false">BC59</f>
        <v>567.394760914281</v>
      </c>
      <c r="BE53" s="19" t="n">
        <f aca="false">BD59</f>
        <v>553.253286272241</v>
      </c>
      <c r="BF53" s="19" t="n">
        <f aca="false">BE59</f>
        <v>531.995032678264</v>
      </c>
      <c r="BG53" s="19" t="n">
        <f aca="false">BF59</f>
        <v>510.125373468598</v>
      </c>
      <c r="BH53" s="19" t="n">
        <f aca="false">BG59</f>
        <v>484.065875141116</v>
      </c>
      <c r="BI53" s="19" t="n">
        <f aca="false">BH59</f>
        <v>456.678898933225</v>
      </c>
      <c r="BJ53" s="19" t="n">
        <f aca="false">BI59</f>
        <v>424.73564345899</v>
      </c>
      <c r="BK53" s="19" t="n">
        <f aca="false">BJ59</f>
        <v>391.814346272416</v>
      </c>
      <c r="BL53" s="19" t="n">
        <f aca="false">BK59</f>
        <v>353.43475351327</v>
      </c>
      <c r="BM53" s="19" t="n">
        <f aca="false">BL59</f>
        <v>313.83807711077</v>
      </c>
      <c r="BN53" s="19" t="n">
        <f aca="false">BM59</f>
        <v>268.196631317238</v>
      </c>
      <c r="BO53" s="19" t="n">
        <f aca="false">BN59</f>
        <v>214.101805591786</v>
      </c>
      <c r="BP53" s="19" t="n">
        <f aca="false">BO59</f>
        <v>168.907461514176</v>
      </c>
      <c r="BQ53" s="19" t="n">
        <f aca="false">BP59</f>
        <v>121.603783390203</v>
      </c>
      <c r="BR53" s="19" t="n">
        <f aca="false">BQ59</f>
        <v>67.3195837208488</v>
      </c>
      <c r="BS53" s="19" t="n">
        <f aca="false">BR59</f>
        <v>12.6683623807175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1257.94658940992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26.3465034318666</v>
      </c>
      <c r="AF54" s="19" t="n">
        <f aca="false">AF53*Inputs!$F$89*Time!AF9/Inputs!$F$45</f>
        <v>26.4236403323063</v>
      </c>
      <c r="AG54" s="19" t="n">
        <f aca="false">AG53*Inputs!$F$89*Time!AG9/Inputs!$F$45</f>
        <v>27.4700095479502</v>
      </c>
      <c r="AH54" s="19" t="n">
        <f aca="false">AH53*Inputs!$F$89*Time!AH9/Inputs!$F$45</f>
        <v>27.2852672922233</v>
      </c>
      <c r="AI54" s="19" t="n">
        <f aca="false">AI53*Inputs!$F$89*Time!AI9/Inputs!$F$45</f>
        <v>27.9578831738662</v>
      </c>
      <c r="AJ54" s="19" t="n">
        <f aca="false">AJ53*Inputs!$F$89*Time!AJ9/Inputs!$F$45</f>
        <v>27.9357713671638</v>
      </c>
      <c r="AK54" s="19" t="n">
        <f aca="false">AK53*Inputs!$F$89*Time!AK9/Inputs!$F$45</f>
        <v>28.7506186617573</v>
      </c>
      <c r="AL54" s="19" t="n">
        <f aca="false">AL53*Inputs!$F$89*Time!AL9/Inputs!$F$45</f>
        <v>28.8571514811739</v>
      </c>
      <c r="AM54" s="19" t="n">
        <f aca="false">AM53*Inputs!$F$89*Time!AM9/Inputs!$F$45</f>
        <v>29.8741944780293</v>
      </c>
      <c r="AN54" s="19" t="n">
        <f aca="false">AN53*Inputs!$F$89*Time!AN9/Inputs!$F$45</f>
        <v>29.8197641889707</v>
      </c>
      <c r="AO54" s="19" t="n">
        <f aca="false">AO53*Inputs!$F$89*Time!AO9/Inputs!$F$45</f>
        <v>30.695788010964</v>
      </c>
      <c r="AP54" s="19" t="n">
        <f aca="false">AP53*Inputs!$F$89*Time!AP9/Inputs!$F$45</f>
        <v>30.2942748551331</v>
      </c>
      <c r="AQ54" s="19" t="n">
        <f aca="false">AQ53*Inputs!$F$89*Time!AQ9/Inputs!$F$45</f>
        <v>30.8280077767069</v>
      </c>
      <c r="AR54" s="19" t="n">
        <f aca="false">AR53*Inputs!$F$89*Time!AR9/Inputs!$F$45</f>
        <v>30.8999576637953</v>
      </c>
      <c r="AS54" s="19" t="n">
        <f aca="false">AS53*Inputs!$F$89*Time!AS9/Inputs!$F$45</f>
        <v>31.5719530058271</v>
      </c>
      <c r="AT54" s="19" t="n">
        <f aca="false">AT53*Inputs!$F$89*Time!AT9/Inputs!$F$45</f>
        <v>31.2545973133457</v>
      </c>
      <c r="AU54" s="19" t="n">
        <f aca="false">AU53*Inputs!$F$89*Time!AU9/Inputs!$F$45</f>
        <v>31.8894653425392</v>
      </c>
      <c r="AV54" s="19" t="n">
        <f aca="false">AV53*Inputs!$F$89*Time!AV9/Inputs!$F$45</f>
        <v>31.344383824573</v>
      </c>
      <c r="AW54" s="19" t="n">
        <f aca="false">AW53*Inputs!$F$89*Time!AW9/Inputs!$F$45</f>
        <v>31.8536836425176</v>
      </c>
      <c r="AX54" s="19" t="n">
        <f aca="false">AX53*Inputs!$F$89*Time!AX9/Inputs!$F$45</f>
        <v>31.114896797543</v>
      </c>
      <c r="AY54" s="19" t="n">
        <f aca="false">AY53*Inputs!$F$89*Time!AY9/Inputs!$F$45</f>
        <v>31.334241249246</v>
      </c>
      <c r="AZ54" s="19" t="n">
        <f aca="false">AZ53*Inputs!$F$89*Time!AZ9/Inputs!$F$45</f>
        <v>30.7338763411765</v>
      </c>
      <c r="BA54" s="19" t="n">
        <f aca="false">BA53*Inputs!$F$89*Time!BA9/Inputs!$F$45</f>
        <v>30.7910258062837</v>
      </c>
      <c r="BB54" s="19" t="n">
        <f aca="false">BB53*Inputs!$F$89*Time!BB9/Inputs!$F$45</f>
        <v>29.8743376428335</v>
      </c>
      <c r="BC54" s="19" t="n">
        <f aca="false">BC53*Inputs!$F$89*Time!BC9/Inputs!$F$45</f>
        <v>30.1060400520456</v>
      </c>
      <c r="BD54" s="19" t="n">
        <f aca="false">BD53*Inputs!$F$89*Time!BD9/Inputs!$F$45</f>
        <v>28.8399761694855</v>
      </c>
      <c r="BE54" s="19" t="n">
        <f aca="false">BE53*Inputs!$F$89*Time!BE9/Inputs!$F$45</f>
        <v>28.5872793947793</v>
      </c>
      <c r="BF54" s="19" t="n">
        <f aca="false">BF53*Inputs!$F$89*Time!BF9/Inputs!$F$45</f>
        <v>27.0406516267493</v>
      </c>
      <c r="BG54" s="19" t="n">
        <f aca="false">BG53*Inputs!$F$89*Time!BG9/Inputs!$F$45</f>
        <v>26.3588069688158</v>
      </c>
      <c r="BH54" s="19" t="n">
        <f aca="false">BH53*Inputs!$F$89*Time!BH9/Inputs!$F$45</f>
        <v>24.7404079472809</v>
      </c>
      <c r="BI54" s="19" t="n">
        <f aca="false">BI53*Inputs!$F$89*Time!BI9/Inputs!$F$45</f>
        <v>23.5971617366592</v>
      </c>
      <c r="BJ54" s="19" t="n">
        <f aca="false">BJ53*Inputs!$F$89*Time!BJ9/Inputs!$F$45</f>
        <v>21.5887891103368</v>
      </c>
      <c r="BK54" s="19" t="n">
        <f aca="false">BK53*Inputs!$F$89*Time!BK9/Inputs!$F$45</f>
        <v>20.2455303306788</v>
      </c>
      <c r="BL54" s="19" t="n">
        <f aca="false">BL53*Inputs!$F$89*Time!BL9/Inputs!$F$45</f>
        <v>17.9646527796026</v>
      </c>
      <c r="BM54" s="19" t="n">
        <f aca="false">BM53*Inputs!$F$89*Time!BM9/Inputs!$F$45</f>
        <v>16.2164003679702</v>
      </c>
      <c r="BN54" s="19" t="n">
        <f aca="false">BN53*Inputs!$F$89*Time!BN9/Inputs!$F$45</f>
        <v>13.6321041164741</v>
      </c>
      <c r="BO54" s="19" t="n">
        <f aca="false">BO53*Inputs!$F$89*Time!BO9/Inputs!$F$45</f>
        <v>11.0629042560578</v>
      </c>
      <c r="BP54" s="19" t="n">
        <f aca="false">BP53*Inputs!$F$89*Time!BP9/Inputs!$F$45</f>
        <v>8.63279094396426</v>
      </c>
      <c r="BQ54" s="19" t="n">
        <f aca="false">BQ53*Inputs!$F$89*Time!BQ9/Inputs!$F$45</f>
        <v>6.28341741024449</v>
      </c>
      <c r="BR54" s="19" t="n">
        <f aca="false">BR53*Inputs!$F$89*Time!BR9/Inputs!$F$45</f>
        <v>3.42177144378369</v>
      </c>
      <c r="BS54" s="19" t="n">
        <f aca="false">BS53*Inputs!$F$89*Time!BS9/Inputs!$F$45</f>
        <v>0.654589902740635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536.233764971172</v>
      </c>
      <c r="AF55" s="19" t="n">
        <f aca="false">AF53+AF54+AF9+Funding!AF38</f>
        <v>546.279655494242</v>
      </c>
      <c r="AG55" s="19" t="n">
        <f aca="false">AG53+AG54+AG9+Funding!AG38</f>
        <v>559.100629113264</v>
      </c>
      <c r="AH55" s="19" t="n">
        <f aca="false">AH53+AH54+AH9+Funding!AH38</f>
        <v>564.0928437192</v>
      </c>
      <c r="AI55" s="19" t="n">
        <f aca="false">AI53+AI54+AI9+Funding!AI38</f>
        <v>569.030383622496</v>
      </c>
      <c r="AJ55" s="19" t="n">
        <f aca="false">AJ53+AJ54+AJ9+Funding!AJ38</f>
        <v>574.521488280313</v>
      </c>
      <c r="AK55" s="19" t="n">
        <f aca="false">AK53+AK54+AK9+Funding!AK38</f>
        <v>585.16503072652</v>
      </c>
      <c r="AL55" s="19" t="n">
        <f aca="false">AL53+AL54+AL9+Funding!AL38</f>
        <v>596.589817732539</v>
      </c>
      <c r="AM55" s="19" t="n">
        <f aca="false">AM53+AM54+AM9+Funding!AM38</f>
        <v>608.03331348549</v>
      </c>
      <c r="AN55" s="19" t="n">
        <f aca="false">AN53+AN54+AN9+Funding!AN38</f>
        <v>616.490775048656</v>
      </c>
      <c r="AO55" s="19" t="n">
        <f aca="false">AO53+AO54+AO9+Funding!AO38</f>
        <v>624.755312083173</v>
      </c>
      <c r="AP55" s="19" t="n">
        <f aca="false">AP53+AP54+AP9+Funding!AP38</f>
        <v>626.300760348925</v>
      </c>
      <c r="AQ55" s="19" t="n">
        <f aca="false">AQ53+AQ54+AQ9+Funding!AQ38</f>
        <v>627.44639794097</v>
      </c>
      <c r="AR55" s="19" t="n">
        <f aca="false">AR53+AR54+AR9+Funding!AR38</f>
        <v>635.482350978472</v>
      </c>
      <c r="AS55" s="19" t="n">
        <f aca="false">AS53+AS54+AS9+Funding!AS38</f>
        <v>642.588010647762</v>
      </c>
      <c r="AT55" s="19" t="n">
        <f aca="false">AT53+AT54+AT9+Funding!AT38</f>
        <v>646.154369277836</v>
      </c>
      <c r="AU55" s="19" t="n">
        <f aca="false">AU53+AU54+AU9+Funding!AU38</f>
        <v>649.050379978108</v>
      </c>
      <c r="AV55" s="19" t="n">
        <f aca="false">AV53+AV54+AV9+Funding!AV38</f>
        <v>648.010606488319</v>
      </c>
      <c r="AW55" s="19" t="n">
        <f aca="false">AW53+AW54+AW9+Funding!AW38</f>
        <v>648.322110446278</v>
      </c>
      <c r="AX55" s="19" t="n">
        <f aca="false">AX53+AX54+AX9+Funding!AX38</f>
        <v>643.2662150082</v>
      </c>
      <c r="AY55" s="19" t="n">
        <f aca="false">AY53+AY54+AY9+Funding!AY38</f>
        <v>637.749832764346</v>
      </c>
      <c r="AZ55" s="19" t="n">
        <f aca="false">AZ53+AZ54+AZ9+Funding!AZ38</f>
        <v>632.066755704855</v>
      </c>
      <c r="BA55" s="19" t="n">
        <f aca="false">BA53+BA54+BA9+Funding!BA38</f>
        <v>626.693699151647</v>
      </c>
      <c r="BB55" s="19" t="n">
        <f aca="false">BB53+BB54+BB9+Funding!BB38</f>
        <v>617.619021088957</v>
      </c>
      <c r="BC55" s="19" t="n">
        <f aca="false">BC53+BC54+BC9+Funding!BC38</f>
        <v>612.752096202451</v>
      </c>
      <c r="BD55" s="19" t="n">
        <f aca="false">BD53+BD54+BD9+Funding!BD38</f>
        <v>596.234737083766</v>
      </c>
      <c r="BE55" s="19" t="n">
        <f aca="false">BE53+BE54+BE9+Funding!BE38</f>
        <v>581.84056566702</v>
      </c>
      <c r="BF55" s="19" t="n">
        <f aca="false">BF53+BF54+BF9+Funding!BF38</f>
        <v>559.035684305014</v>
      </c>
      <c r="BG55" s="19" t="n">
        <f aca="false">BG53+BG54+BG9+Funding!BG38</f>
        <v>536.484180437413</v>
      </c>
      <c r="BH55" s="19" t="n">
        <f aca="false">BH53+BH54+BH9+Funding!BH38</f>
        <v>508.806283088396</v>
      </c>
      <c r="BI55" s="19" t="n">
        <f aca="false">BI53+BI54+BI9+Funding!BI38</f>
        <v>480.276060669884</v>
      </c>
      <c r="BJ55" s="19" t="n">
        <f aca="false">BJ53+BJ54+BJ9+Funding!BJ38</f>
        <v>446.324432569327</v>
      </c>
      <c r="BK55" s="19" t="n">
        <f aca="false">BK53+BK54+BK9+Funding!BK38</f>
        <v>412.059876603094</v>
      </c>
      <c r="BL55" s="19" t="n">
        <f aca="false">BL53+BL54+BL9+Funding!BL38</f>
        <v>371.399406292873</v>
      </c>
      <c r="BM55" s="19" t="n">
        <f aca="false">BM53+BM54+BM9+Funding!BM38</f>
        <v>330.054477478741</v>
      </c>
      <c r="BN55" s="19" t="n">
        <f aca="false">BN53+BN54+BN9+Funding!BN38</f>
        <v>281.828735433712</v>
      </c>
      <c r="BO55" s="19" t="n">
        <f aca="false">BO53+BO54+BO9+Funding!BO38</f>
        <v>225.164709847844</v>
      </c>
      <c r="BP55" s="19" t="n">
        <f aca="false">BP53+BP54+BP9+Funding!BP38</f>
        <v>177.54025245814</v>
      </c>
      <c r="BQ55" s="19" t="n">
        <f aca="false">BQ53+BQ54+BQ9+Funding!BQ38</f>
        <v>127.887200800448</v>
      </c>
      <c r="BR55" s="19" t="n">
        <f aca="false">BR53+BR54+BR9+Funding!BR38</f>
        <v>70.7413551646325</v>
      </c>
      <c r="BS55" s="19" t="n">
        <f aca="false">BS53+BS54+BS9+Funding!BS38</f>
        <v>13.3229522834581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1580.70486981911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46.6430404943425</v>
      </c>
      <c r="AE56" s="19" t="n">
        <f aca="false">MIN(AE49,AE55)</f>
        <v>16.3777498092364</v>
      </c>
      <c r="AF56" s="19" t="n">
        <f aca="false">MIN(AF49,AF55)</f>
        <v>14.6490359289279</v>
      </c>
      <c r="AG56" s="19" t="n">
        <f aca="false">MIN(AG49,AG55)</f>
        <v>22.2930526862871</v>
      </c>
      <c r="AH56" s="19" t="n">
        <f aca="false">MIN(AH49,AH55)</f>
        <v>23.0203432705703</v>
      </c>
      <c r="AI56" s="19" t="n">
        <f aca="false">MIN(AI49,AI55)</f>
        <v>22.444666709347</v>
      </c>
      <c r="AJ56" s="19" t="n">
        <f aca="false">MIN(AJ49,AJ55)</f>
        <v>18.1070762155505</v>
      </c>
      <c r="AK56" s="19" t="n">
        <f aca="false">MIN(AK49,AK55)</f>
        <v>17.4323644751543</v>
      </c>
      <c r="AL56" s="19" t="n">
        <f aca="false">MIN(AL49,AL55)</f>
        <v>18.4306987250787</v>
      </c>
      <c r="AM56" s="19" t="n">
        <f aca="false">MIN(AM49,AM55)</f>
        <v>21.362302625805</v>
      </c>
      <c r="AN56" s="19" t="n">
        <f aca="false">MIN(AN49,AN55)</f>
        <v>22.4312509764469</v>
      </c>
      <c r="AO56" s="19" t="n">
        <f aca="false">MIN(AO49,AO55)</f>
        <v>28.7488265893806</v>
      </c>
      <c r="AP56" s="19" t="n">
        <f aca="false">MIN(AP49,AP55)</f>
        <v>29.6823701846621</v>
      </c>
      <c r="AQ56" s="19" t="n">
        <f aca="false">MIN(AQ49,AQ55)</f>
        <v>22.8640046262932</v>
      </c>
      <c r="AR56" s="19" t="n">
        <f aca="false">MIN(AR49,AR55)</f>
        <v>24.4662933365376</v>
      </c>
      <c r="AS56" s="19" t="n">
        <f aca="false">MIN(AS49,AS55)</f>
        <v>27.6882386832718</v>
      </c>
      <c r="AT56" s="19" t="n">
        <f aca="false">MIN(AT49,AT55)</f>
        <v>28.9934546422674</v>
      </c>
      <c r="AU56" s="19" t="n">
        <f aca="false">MIN(AU49,AU55)</f>
        <v>32.3841573143614</v>
      </c>
      <c r="AV56" s="19" t="n">
        <f aca="false">MIN(AV49,AV55)</f>
        <v>31.5421796845589</v>
      </c>
      <c r="AW56" s="19" t="n">
        <f aca="false">MIN(AW49,AW55)</f>
        <v>36.170792235621</v>
      </c>
      <c r="AX56" s="19" t="n">
        <f aca="false">MIN(AX49,AX55)</f>
        <v>36.8506234931001</v>
      </c>
      <c r="AY56" s="19" t="n">
        <f aca="false">MIN(AY49,AY55)</f>
        <v>36.4169534006673</v>
      </c>
      <c r="AZ56" s="19" t="n">
        <f aca="false">MIN(AZ49,AZ55)</f>
        <v>36.1640823594914</v>
      </c>
      <c r="BA56" s="19" t="n">
        <f aca="false">MIN(BA49,BA55)</f>
        <v>38.9490157055235</v>
      </c>
      <c r="BB56" s="19" t="n">
        <f aca="false">MIN(BB49,BB55)</f>
        <v>34.9729649385516</v>
      </c>
      <c r="BC56" s="19" t="n">
        <f aca="false">MIN(BC49,BC55)</f>
        <v>45.3573352881704</v>
      </c>
      <c r="BD56" s="19" t="n">
        <f aca="false">MIN(BD49,BD55)</f>
        <v>42.9814508115258</v>
      </c>
      <c r="BE56" s="19" t="n">
        <f aca="false">MIN(BE49,BE55)</f>
        <v>49.8455329887555</v>
      </c>
      <c r="BF56" s="19" t="n">
        <f aca="false">MIN(BF49,BF55)</f>
        <v>48.9103108364159</v>
      </c>
      <c r="BG56" s="19" t="n">
        <f aca="false">MIN(BG49,BG55)</f>
        <v>52.4183052962978</v>
      </c>
      <c r="BH56" s="19" t="n">
        <f aca="false">MIN(BH49,BH55)</f>
        <v>52.1273841551715</v>
      </c>
      <c r="BI56" s="19" t="n">
        <f aca="false">MIN(BI49,BI55)</f>
        <v>55.5404172108937</v>
      </c>
      <c r="BJ56" s="19" t="n">
        <f aca="false">MIN(BJ49,BJ55)</f>
        <v>54.5100862969117</v>
      </c>
      <c r="BK56" s="19" t="n">
        <f aca="false">MIN(BK49,BK55)</f>
        <v>58.6251230898242</v>
      </c>
      <c r="BL56" s="19" t="n">
        <f aca="false">MIN(BL49,BL55)</f>
        <v>57.5613291821025</v>
      </c>
      <c r="BM56" s="19" t="n">
        <f aca="false">MIN(BM49,BM55)</f>
        <v>61.857846161503</v>
      </c>
      <c r="BN56" s="19" t="n">
        <f aca="false">MIN(BN49,BN55)</f>
        <v>67.7269298419257</v>
      </c>
      <c r="BO56" s="19" t="n">
        <f aca="false">MIN(BO49,BO55)</f>
        <v>56.2572483336676</v>
      </c>
      <c r="BP56" s="19" t="n">
        <f aca="false">MIN(BP49,BP55)</f>
        <v>55.936469067937</v>
      </c>
      <c r="BQ56" s="19" t="n">
        <f aca="false">MIN(BQ49,BQ55)</f>
        <v>60.5676170795991</v>
      </c>
      <c r="BR56" s="19" t="n">
        <f aca="false">MIN(BR49,BR55)</f>
        <v>58.0729927839151</v>
      </c>
      <c r="BS56" s="19" t="n">
        <f aca="false">MIN(BS49,BS55)</f>
        <v>13.3229522834581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1843.99086159838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0</v>
      </c>
      <c r="BN57" s="19" t="n">
        <f aca="false">BN49-BN56</f>
        <v>0</v>
      </c>
      <c r="BO57" s="19" t="n">
        <f aca="false">BO49-BO56</f>
        <v>0</v>
      </c>
      <c r="BP57" s="19" t="n">
        <f aca="false">BP49-BP56</f>
        <v>0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50.0910885954894</v>
      </c>
      <c r="BT57" s="19" t="n">
        <f aca="false">BT49-BT56</f>
        <v>53.8436004226652</v>
      </c>
      <c r="BU57" s="19" t="n">
        <f aca="false">BU49-BU56</f>
        <v>75.1414988325221</v>
      </c>
      <c r="BV57" s="19" t="n">
        <f aca="false">BV49-BV56</f>
        <v>72.4634346372552</v>
      </c>
      <c r="BW57" s="19" t="n">
        <f aca="false">BW49-BW56</f>
        <v>71.5458976290405</v>
      </c>
      <c r="BX57" s="19" t="n">
        <f aca="false">BX49-BX56</f>
        <v>44.5477272971993</v>
      </c>
      <c r="BY57" s="19" t="n">
        <f aca="false">BY49-BY56</f>
        <v>47.783077882481</v>
      </c>
      <c r="BZ57" s="19" t="n">
        <f aca="false">BZ49-BZ56</f>
        <v>49.122558018564</v>
      </c>
      <c r="CA57" s="19" t="n">
        <f aca="false">CA49-CA56</f>
        <v>42.8196768657484</v>
      </c>
      <c r="CB57" s="19" t="n">
        <f aca="false">CB49-CB56</f>
        <v>39.5711594583423</v>
      </c>
      <c r="CC57" s="19" t="n">
        <f aca="false">CC49-CC56</f>
        <v>43.5884944523769</v>
      </c>
      <c r="CD57" s="19" t="n">
        <f aca="false">CD49-CD56</f>
        <v>42.3985357498366</v>
      </c>
      <c r="CE57" s="19" t="n">
        <f aca="false">CE49-CE56</f>
        <v>47.503045958293</v>
      </c>
      <c r="CF57" s="19" t="n">
        <f aca="false">CF49-CF56</f>
        <v>46.7081238918876</v>
      </c>
      <c r="CG57" s="19" t="n">
        <f aca="false">CG49-CG56</f>
        <v>122.298122615268</v>
      </c>
      <c r="CH57" s="19" t="n">
        <f aca="false">CH49-CH56</f>
        <v>93.2106260201925</v>
      </c>
      <c r="CI57" s="19" t="n">
        <f aca="false">CI49-CI56</f>
        <v>97.4702486744249</v>
      </c>
      <c r="CJ57" s="19" t="n">
        <f aca="false">CJ49-CJ56</f>
        <v>96.7430591147527</v>
      </c>
      <c r="CK57" s="19" t="n">
        <f aca="false">CK49-CK56</f>
        <v>113.432767668704</v>
      </c>
      <c r="CL57" s="19" t="n">
        <f aca="false">CL49-CL56</f>
        <v>104.772781974886</v>
      </c>
      <c r="CM57" s="19" t="n">
        <f aca="false">CM49-CM56</f>
        <v>109.348472680609</v>
      </c>
      <c r="CN57" s="19" t="n">
        <f aca="false">CN49-CN56</f>
        <v>109.219722400503</v>
      </c>
      <c r="CO57" s="19" t="n">
        <f aca="false">CO49-CO56</f>
        <v>113.303535457093</v>
      </c>
      <c r="CP57" s="19" t="n">
        <f aca="false">CP49-CP56</f>
        <v>157.063605300249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509.887261539305</v>
      </c>
      <c r="AE58" s="19" t="n">
        <f aca="false">AE55-AE56</f>
        <v>519.856015161935</v>
      </c>
      <c r="AF58" s="19" t="n">
        <f aca="false">AF55-AF56</f>
        <v>531.630619565314</v>
      </c>
      <c r="AG58" s="19" t="n">
        <f aca="false">AG55-AG56</f>
        <v>536.807576426977</v>
      </c>
      <c r="AH58" s="19" t="n">
        <f aca="false">AH55-AH56</f>
        <v>541.07250044863</v>
      </c>
      <c r="AI58" s="19" t="n">
        <f aca="false">AI55-AI56</f>
        <v>546.585716913149</v>
      </c>
      <c r="AJ58" s="19" t="n">
        <f aca="false">AJ55-AJ56</f>
        <v>556.414412064762</v>
      </c>
      <c r="AK58" s="19" t="n">
        <f aca="false">AK55-AK56</f>
        <v>567.732666251366</v>
      </c>
      <c r="AL58" s="19" t="n">
        <f aca="false">AL55-AL56</f>
        <v>578.159119007461</v>
      </c>
      <c r="AM58" s="19" t="n">
        <f aca="false">AM55-AM56</f>
        <v>586.671010859685</v>
      </c>
      <c r="AN58" s="19" t="n">
        <f aca="false">AN55-AN56</f>
        <v>594.059524072209</v>
      </c>
      <c r="AO58" s="19" t="n">
        <f aca="false">AO55-AO56</f>
        <v>596.006485493792</v>
      </c>
      <c r="AP58" s="19" t="n">
        <f aca="false">AP55-AP56</f>
        <v>596.618390164263</v>
      </c>
      <c r="AQ58" s="19" t="n">
        <f aca="false">AQ55-AQ56</f>
        <v>604.582393314677</v>
      </c>
      <c r="AR58" s="19" t="n">
        <f aca="false">AR55-AR56</f>
        <v>611.016057641935</v>
      </c>
      <c r="AS58" s="19" t="n">
        <f aca="false">AS55-AS56</f>
        <v>614.89977196449</v>
      </c>
      <c r="AT58" s="19" t="n">
        <f aca="false">AT55-AT56</f>
        <v>617.160914635568</v>
      </c>
      <c r="AU58" s="19" t="n">
        <f aca="false">AU55-AU56</f>
        <v>616.666222663746</v>
      </c>
      <c r="AV58" s="19" t="n">
        <f aca="false">AV55-AV56</f>
        <v>616.46842680376</v>
      </c>
      <c r="AW58" s="19" t="n">
        <f aca="false">AW55-AW56</f>
        <v>612.151318210657</v>
      </c>
      <c r="AX58" s="19" t="n">
        <f aca="false">AX55-AX56</f>
        <v>606.4155915151</v>
      </c>
      <c r="AY58" s="19" t="n">
        <f aca="false">AY55-AY56</f>
        <v>601.332879363679</v>
      </c>
      <c r="AZ58" s="19" t="n">
        <f aca="false">AZ55-AZ56</f>
        <v>595.902673345364</v>
      </c>
      <c r="BA58" s="19" t="n">
        <f aca="false">BA55-BA56</f>
        <v>587.744683446124</v>
      </c>
      <c r="BB58" s="19" t="n">
        <f aca="false">BB55-BB56</f>
        <v>582.646056150406</v>
      </c>
      <c r="BC58" s="19" t="n">
        <f aca="false">BC55-BC56</f>
        <v>567.394760914281</v>
      </c>
      <c r="BD58" s="19" t="n">
        <f aca="false">BD55-BD56</f>
        <v>553.253286272241</v>
      </c>
      <c r="BE58" s="19" t="n">
        <f aca="false">BE55-BE56</f>
        <v>531.995032678264</v>
      </c>
      <c r="BF58" s="19" t="n">
        <f aca="false">BF55-BF56</f>
        <v>510.125373468598</v>
      </c>
      <c r="BG58" s="19" t="n">
        <f aca="false">BG55-BG56</f>
        <v>484.065875141116</v>
      </c>
      <c r="BH58" s="19" t="n">
        <f aca="false">BH55-BH56</f>
        <v>456.678898933225</v>
      </c>
      <c r="BI58" s="19" t="n">
        <f aca="false">BI55-BI56</f>
        <v>424.73564345899</v>
      </c>
      <c r="BJ58" s="19" t="n">
        <f aca="false">BJ55-BJ56</f>
        <v>391.814346272416</v>
      </c>
      <c r="BK58" s="19" t="n">
        <f aca="false">BK55-BK56</f>
        <v>353.43475351327</v>
      </c>
      <c r="BL58" s="19" t="n">
        <f aca="false">BL55-BL56</f>
        <v>313.83807711077</v>
      </c>
      <c r="BM58" s="19" t="n">
        <f aca="false">BM55-BM56</f>
        <v>268.196631317238</v>
      </c>
      <c r="BN58" s="19" t="n">
        <f aca="false">BN55-BN56</f>
        <v>214.101805591786</v>
      </c>
      <c r="BO58" s="19" t="n">
        <f aca="false">BO55-BO56</f>
        <v>168.907461514176</v>
      </c>
      <c r="BP58" s="19" t="n">
        <f aca="false">BP55-BP56</f>
        <v>121.603783390203</v>
      </c>
      <c r="BQ58" s="19" t="n">
        <f aca="false">BQ55-BQ56</f>
        <v>67.3195837208488</v>
      </c>
      <c r="BR58" s="19" t="n">
        <f aca="false">BR55-BR56</f>
        <v>12.6683623807175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509.887261539305</v>
      </c>
      <c r="AE59" s="19" t="n">
        <f aca="false">IF(Time!AE35=1,0,AE58)</f>
        <v>519.856015161935</v>
      </c>
      <c r="AF59" s="19" t="n">
        <f aca="false">IF(Time!AF35=1,0,AF58)</f>
        <v>531.630619565314</v>
      </c>
      <c r="AG59" s="19" t="n">
        <f aca="false">IF(Time!AG35=1,0,AG58)</f>
        <v>536.807576426977</v>
      </c>
      <c r="AH59" s="19" t="n">
        <f aca="false">IF(Time!AH35=1,0,AH58)</f>
        <v>541.07250044863</v>
      </c>
      <c r="AI59" s="19" t="n">
        <f aca="false">IF(Time!AI35=1,0,AI58)</f>
        <v>546.585716913149</v>
      </c>
      <c r="AJ59" s="19" t="n">
        <f aca="false">IF(Time!AJ35=1,0,AJ58)</f>
        <v>556.414412064762</v>
      </c>
      <c r="AK59" s="19" t="n">
        <f aca="false">IF(Time!AK35=1,0,AK58)</f>
        <v>567.732666251366</v>
      </c>
      <c r="AL59" s="19" t="n">
        <f aca="false">IF(Time!AL35=1,0,AL58)</f>
        <v>578.159119007461</v>
      </c>
      <c r="AM59" s="19" t="n">
        <f aca="false">IF(Time!AM35=1,0,AM58)</f>
        <v>586.671010859685</v>
      </c>
      <c r="AN59" s="19" t="n">
        <f aca="false">IF(Time!AN35=1,0,AN58)</f>
        <v>594.059524072209</v>
      </c>
      <c r="AO59" s="19" t="n">
        <f aca="false">IF(Time!AO35=1,0,AO58)</f>
        <v>596.006485493792</v>
      </c>
      <c r="AP59" s="19" t="n">
        <f aca="false">IF(Time!AP35=1,0,AP58)</f>
        <v>596.618390164263</v>
      </c>
      <c r="AQ59" s="19" t="n">
        <f aca="false">IF(Time!AQ35=1,0,AQ58)</f>
        <v>604.582393314677</v>
      </c>
      <c r="AR59" s="19" t="n">
        <f aca="false">IF(Time!AR35=1,0,AR58)</f>
        <v>611.016057641935</v>
      </c>
      <c r="AS59" s="19" t="n">
        <f aca="false">IF(Time!AS35=1,0,AS58)</f>
        <v>614.89977196449</v>
      </c>
      <c r="AT59" s="19" t="n">
        <f aca="false">IF(Time!AT35=1,0,AT58)</f>
        <v>617.160914635568</v>
      </c>
      <c r="AU59" s="19" t="n">
        <f aca="false">IF(Time!AU35=1,0,AU58)</f>
        <v>616.666222663746</v>
      </c>
      <c r="AV59" s="19" t="n">
        <f aca="false">IF(Time!AV35=1,0,AV58)</f>
        <v>616.46842680376</v>
      </c>
      <c r="AW59" s="19" t="n">
        <f aca="false">IF(Time!AW35=1,0,AW58)</f>
        <v>612.151318210657</v>
      </c>
      <c r="AX59" s="19" t="n">
        <f aca="false">IF(Time!AX35=1,0,AX58)</f>
        <v>606.4155915151</v>
      </c>
      <c r="AY59" s="19" t="n">
        <f aca="false">IF(Time!AY35=1,0,AY58)</f>
        <v>601.332879363679</v>
      </c>
      <c r="AZ59" s="19" t="n">
        <f aca="false">IF(Time!AZ35=1,0,AZ58)</f>
        <v>595.902673345364</v>
      </c>
      <c r="BA59" s="19" t="n">
        <f aca="false">IF(Time!BA35=1,0,BA58)</f>
        <v>587.744683446124</v>
      </c>
      <c r="BB59" s="19" t="n">
        <f aca="false">IF(Time!BB35=1,0,BB58)</f>
        <v>582.646056150406</v>
      </c>
      <c r="BC59" s="19" t="n">
        <f aca="false">IF(Time!BC35=1,0,BC58)</f>
        <v>567.394760914281</v>
      </c>
      <c r="BD59" s="19" t="n">
        <f aca="false">IF(Time!BD35=1,0,BD58)</f>
        <v>553.253286272241</v>
      </c>
      <c r="BE59" s="19" t="n">
        <f aca="false">IF(Time!BE35=1,0,BE58)</f>
        <v>531.995032678264</v>
      </c>
      <c r="BF59" s="19" t="n">
        <f aca="false">IF(Time!BF35=1,0,BF58)</f>
        <v>510.125373468598</v>
      </c>
      <c r="BG59" s="19" t="n">
        <f aca="false">IF(Time!BG35=1,0,BG58)</f>
        <v>484.065875141116</v>
      </c>
      <c r="BH59" s="19" t="n">
        <f aca="false">IF(Time!BH35=1,0,BH58)</f>
        <v>456.678898933225</v>
      </c>
      <c r="BI59" s="19" t="n">
        <f aca="false">IF(Time!BI35=1,0,BI58)</f>
        <v>424.73564345899</v>
      </c>
      <c r="BJ59" s="19" t="n">
        <f aca="false">IF(Time!BJ35=1,0,BJ58)</f>
        <v>391.814346272416</v>
      </c>
      <c r="BK59" s="19" t="n">
        <f aca="false">IF(Time!BK35=1,0,BK58)</f>
        <v>353.43475351327</v>
      </c>
      <c r="BL59" s="19" t="n">
        <f aca="false">IF(Time!BL35=1,0,BL58)</f>
        <v>313.83807711077</v>
      </c>
      <c r="BM59" s="19" t="n">
        <f aca="false">IF(Time!BM35=1,0,BM58)</f>
        <v>268.196631317238</v>
      </c>
      <c r="BN59" s="19" t="n">
        <f aca="false">IF(Time!BN35=1,0,BN58)</f>
        <v>214.101805591786</v>
      </c>
      <c r="BO59" s="19" t="n">
        <f aca="false">IF(Time!BO35=1,0,BO58)</f>
        <v>168.907461514176</v>
      </c>
      <c r="BP59" s="19" t="n">
        <f aca="false">IF(Time!BP35=1,0,BP58)</f>
        <v>121.603783390203</v>
      </c>
      <c r="BQ59" s="19" t="n">
        <f aca="false">IF(Time!BQ35=1,0,BQ58)</f>
        <v>67.3195837208488</v>
      </c>
      <c r="BR59" s="19" t="n">
        <f aca="false">IF(Time!BR35=1,0,BR58)</f>
        <v>12.6683623807175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3044.98010740668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46.6430404943425</v>
      </c>
      <c r="AE61" s="19" t="n">
        <f aca="false">IF(Time!AE20=1,-Funding!AE27,IF(Time!AE23=1,0,AE49-AE9))</f>
        <v>16.3777498092364</v>
      </c>
      <c r="AF61" s="19" t="n">
        <f aca="false">IF(Time!AF20=1,-Funding!AF27,IF(Time!AF23=1,0,AF49-AF9))</f>
        <v>14.6490359289279</v>
      </c>
      <c r="AG61" s="19" t="n">
        <f aca="false">IF(Time!AG20=1,-Funding!AG27,IF(Time!AG23=1,0,AG49-AG9))</f>
        <v>22.2930526862871</v>
      </c>
      <c r="AH61" s="19" t="n">
        <f aca="false">IF(Time!AH20=1,-Funding!AH27,IF(Time!AH23=1,0,AH49-AH9))</f>
        <v>23.0203432705703</v>
      </c>
      <c r="AI61" s="19" t="n">
        <f aca="false">IF(Time!AI20=1,-Funding!AI27,IF(Time!AI23=1,0,AI49-AI9))</f>
        <v>22.444666709347</v>
      </c>
      <c r="AJ61" s="19" t="n">
        <f aca="false">IF(Time!AJ20=1,-Funding!AJ27,IF(Time!AJ23=1,0,AJ49-AJ9))</f>
        <v>18.1070762155505</v>
      </c>
      <c r="AK61" s="19" t="n">
        <f aca="false">IF(Time!AK20=1,-Funding!AK27,IF(Time!AK23=1,0,AK49-AK9))</f>
        <v>17.4323644751543</v>
      </c>
      <c r="AL61" s="19" t="n">
        <f aca="false">IF(Time!AL20=1,-Funding!AL27,IF(Time!AL23=1,0,AL49-AL9))</f>
        <v>18.4306987250787</v>
      </c>
      <c r="AM61" s="19" t="n">
        <f aca="false">IF(Time!AM20=1,-Funding!AM27,IF(Time!AM23=1,0,AM49-AM9))</f>
        <v>21.362302625805</v>
      </c>
      <c r="AN61" s="19" t="n">
        <f aca="false">IF(Time!AN20=1,-Funding!AN27,IF(Time!AN23=1,0,AN49-AN9))</f>
        <v>22.4312509764469</v>
      </c>
      <c r="AO61" s="19" t="n">
        <f aca="false">IF(Time!AO20=1,-Funding!AO27,IF(Time!AO23=1,0,AO49-AO9))</f>
        <v>28.7488265893806</v>
      </c>
      <c r="AP61" s="19" t="n">
        <f aca="false">IF(Time!AP20=1,-Funding!AP27,IF(Time!AP23=1,0,AP49-AP9))</f>
        <v>29.6823701846621</v>
      </c>
      <c r="AQ61" s="19" t="n">
        <f aca="false">IF(Time!AQ20=1,-Funding!AQ27,IF(Time!AQ23=1,0,AQ49-AQ9))</f>
        <v>22.8640046262932</v>
      </c>
      <c r="AR61" s="19" t="n">
        <f aca="false">IF(Time!AR20=1,-Funding!AR27,IF(Time!AR23=1,0,AR49-AR9))</f>
        <v>24.4662933365376</v>
      </c>
      <c r="AS61" s="19" t="n">
        <f aca="false">IF(Time!AS20=1,-Funding!AS27,IF(Time!AS23=1,0,AS49-AS9))</f>
        <v>27.6882386832718</v>
      </c>
      <c r="AT61" s="19" t="n">
        <f aca="false">IF(Time!AT20=1,-Funding!AT27,IF(Time!AT23=1,0,AT49-AT9))</f>
        <v>28.9934546422674</v>
      </c>
      <c r="AU61" s="19" t="n">
        <f aca="false">IF(Time!AU20=1,-Funding!AU27,IF(Time!AU23=1,0,AU49-AU9))</f>
        <v>32.3841573143614</v>
      </c>
      <c r="AV61" s="19" t="n">
        <f aca="false">IF(Time!AV20=1,-Funding!AV27,IF(Time!AV23=1,0,AV49-AV9))</f>
        <v>31.5421796845589</v>
      </c>
      <c r="AW61" s="19" t="n">
        <f aca="false">IF(Time!AW20=1,-Funding!AW27,IF(Time!AW23=1,0,AW49-AW9))</f>
        <v>36.170792235621</v>
      </c>
      <c r="AX61" s="19" t="n">
        <f aca="false">IF(Time!AX20=1,-Funding!AX27,IF(Time!AX23=1,0,AX49-AX9))</f>
        <v>36.8506234931001</v>
      </c>
      <c r="AY61" s="19" t="n">
        <f aca="false">IF(Time!AY20=1,-Funding!AY27,IF(Time!AY23=1,0,AY49-AY9))</f>
        <v>36.4169534006673</v>
      </c>
      <c r="AZ61" s="19" t="n">
        <f aca="false">IF(Time!AZ20=1,-Funding!AZ27,IF(Time!AZ23=1,0,AZ49-AZ9))</f>
        <v>36.1640823594914</v>
      </c>
      <c r="BA61" s="19" t="n">
        <f aca="false">IF(Time!BA20=1,-Funding!BA27,IF(Time!BA23=1,0,BA49-BA9))</f>
        <v>38.9490157055235</v>
      </c>
      <c r="BB61" s="19" t="n">
        <f aca="false">IF(Time!BB20=1,-Funding!BB27,IF(Time!BB23=1,0,BB49-BB9))</f>
        <v>34.9729649385516</v>
      </c>
      <c r="BC61" s="19" t="n">
        <f aca="false">IF(Time!BC20=1,-Funding!BC27,IF(Time!BC23=1,0,BC49-BC9))</f>
        <v>45.3573352881704</v>
      </c>
      <c r="BD61" s="19" t="n">
        <f aca="false">IF(Time!BD20=1,-Funding!BD27,IF(Time!BD23=1,0,BD49-BD9))</f>
        <v>42.9814508115258</v>
      </c>
      <c r="BE61" s="19" t="n">
        <f aca="false">IF(Time!BE20=1,-Funding!BE27,IF(Time!BE23=1,0,BE49-BE9))</f>
        <v>49.8455329887555</v>
      </c>
      <c r="BF61" s="19" t="n">
        <f aca="false">IF(Time!BF20=1,-Funding!BF27,IF(Time!BF23=1,0,BF49-BF9))</f>
        <v>48.9103108364159</v>
      </c>
      <c r="BG61" s="19" t="n">
        <f aca="false">IF(Time!BG20=1,-Funding!BG27,IF(Time!BG23=1,0,BG49-BG9))</f>
        <v>52.4183052962978</v>
      </c>
      <c r="BH61" s="19" t="n">
        <f aca="false">IF(Time!BH20=1,-Funding!BH27,IF(Time!BH23=1,0,BH49-BH9))</f>
        <v>52.1273841551715</v>
      </c>
      <c r="BI61" s="19" t="n">
        <f aca="false">IF(Time!BI20=1,-Funding!BI27,IF(Time!BI23=1,0,BI49-BI9))</f>
        <v>55.5404172108937</v>
      </c>
      <c r="BJ61" s="19" t="n">
        <f aca="false">IF(Time!BJ20=1,-Funding!BJ27,IF(Time!BJ23=1,0,BJ49-BJ9))</f>
        <v>54.5100862969117</v>
      </c>
      <c r="BK61" s="19" t="n">
        <f aca="false">IF(Time!BK20=1,-Funding!BK27,IF(Time!BK23=1,0,BK49-BK9))</f>
        <v>58.6251230898242</v>
      </c>
      <c r="BL61" s="19" t="n">
        <f aca="false">IF(Time!BL20=1,-Funding!BL27,IF(Time!BL23=1,0,BL49-BL9))</f>
        <v>57.5613291821025</v>
      </c>
      <c r="BM61" s="19" t="n">
        <f aca="false">IF(Time!BM20=1,-Funding!BM27,IF(Time!BM23=1,0,BM49-BM9))</f>
        <v>61.857846161503</v>
      </c>
      <c r="BN61" s="19" t="n">
        <f aca="false">IF(Time!BN20=1,-Funding!BN27,IF(Time!BN23=1,0,BN49-BN9))</f>
        <v>67.7269298419257</v>
      </c>
      <c r="BO61" s="19" t="n">
        <f aca="false">IF(Time!BO20=1,-Funding!BO27,IF(Time!BO23=1,0,BO49-BO9))</f>
        <v>56.2572483336676</v>
      </c>
      <c r="BP61" s="19" t="n">
        <f aca="false">IF(Time!BP20=1,-Funding!BP27,IF(Time!BP23=1,0,BP49-BP9))</f>
        <v>55.936469067937</v>
      </c>
      <c r="BQ61" s="19" t="n">
        <f aca="false">IF(Time!BQ20=1,-Funding!BQ27,IF(Time!BQ23=1,0,BQ49-BQ9))</f>
        <v>60.5676170795991</v>
      </c>
      <c r="BR61" s="19" t="n">
        <f aca="false">IF(Time!BR20=1,-Funding!BR27,IF(Time!BR23=1,0,BR49-BR9))</f>
        <v>58.0729927839151</v>
      </c>
      <c r="BS61" s="19" t="n">
        <f aca="false">IF(Time!BS20=1,-Funding!BS27,IF(Time!BS23=1,0,BS49-BS9))</f>
        <v>63.4140408789475</v>
      </c>
      <c r="BT61" s="19" t="n">
        <f aca="false">IF(Time!BT20=1,-Funding!BT27,IF(Time!BT23=1,0,BT49-BT9))</f>
        <v>53.8436004226652</v>
      </c>
      <c r="BU61" s="19" t="n">
        <f aca="false">IF(Time!BU20=1,-Funding!BU27,IF(Time!BU23=1,0,BU49-BU9))</f>
        <v>75.1414988325221</v>
      </c>
      <c r="BV61" s="19" t="n">
        <f aca="false">IF(Time!BV20=1,-Funding!BV27,IF(Time!BV23=1,0,BV49-BV9))</f>
        <v>72.4634346372552</v>
      </c>
      <c r="BW61" s="19" t="n">
        <f aca="false">IF(Time!BW20=1,-Funding!BW27,IF(Time!BW23=1,0,BW49-BW9))</f>
        <v>71.5458976290405</v>
      </c>
      <c r="BX61" s="19" t="n">
        <f aca="false">IF(Time!BX20=1,-Funding!BX27,IF(Time!BX23=1,0,BX49-BX9))</f>
        <v>44.5477272971993</v>
      </c>
      <c r="BY61" s="19" t="n">
        <f aca="false">IF(Time!BY20=1,-Funding!BY27,IF(Time!BY23=1,0,BY49-BY9))</f>
        <v>47.783077882481</v>
      </c>
      <c r="BZ61" s="19" t="n">
        <f aca="false">IF(Time!BZ20=1,-Funding!BZ27,IF(Time!BZ23=1,0,BZ49-BZ9))</f>
        <v>49.122558018564</v>
      </c>
      <c r="CA61" s="19" t="n">
        <f aca="false">IF(Time!CA20=1,-Funding!CA27,IF(Time!CA23=1,0,CA49-CA9))</f>
        <v>42.8196768657484</v>
      </c>
      <c r="CB61" s="19" t="n">
        <f aca="false">IF(Time!CB20=1,-Funding!CB27,IF(Time!CB23=1,0,CB49-CB9))</f>
        <v>39.5711594583423</v>
      </c>
      <c r="CC61" s="19" t="n">
        <f aca="false">IF(Time!CC20=1,-Funding!CC27,IF(Time!CC23=1,0,CC49-CC9))</f>
        <v>43.5884944523769</v>
      </c>
      <c r="CD61" s="19" t="n">
        <f aca="false">IF(Time!CD20=1,-Funding!CD27,IF(Time!CD23=1,0,CD49-CD9))</f>
        <v>42.3985357498366</v>
      </c>
      <c r="CE61" s="19" t="n">
        <f aca="false">IF(Time!CE20=1,-Funding!CE27,IF(Time!CE23=1,0,CE49-CE9))</f>
        <v>47.503045958293</v>
      </c>
      <c r="CF61" s="19" t="n">
        <f aca="false">IF(Time!CF20=1,-Funding!CF27,IF(Time!CF23=1,0,CF49-CF9))</f>
        <v>46.7081238918876</v>
      </c>
      <c r="CG61" s="19" t="n">
        <f aca="false">IF(Time!CG20=1,-Funding!CG27,IF(Time!CG23=1,0,CG49-CG9))</f>
        <v>122.298122615268</v>
      </c>
      <c r="CH61" s="19" t="n">
        <f aca="false">IF(Time!CH20=1,-Funding!CH27,IF(Time!CH23=1,0,CH49-CH9))</f>
        <v>93.2106260201925</v>
      </c>
      <c r="CI61" s="19" t="n">
        <f aca="false">IF(Time!CI20=1,-Funding!CI27,IF(Time!CI23=1,0,CI49-CI9))</f>
        <v>97.4702486744249</v>
      </c>
      <c r="CJ61" s="19" t="n">
        <f aca="false">IF(Time!CJ20=1,-Funding!CJ27,IF(Time!CJ23=1,0,CJ49-CJ9))</f>
        <v>96.7430591147527</v>
      </c>
      <c r="CK61" s="19" t="n">
        <f aca="false">IF(Time!CK20=1,-Funding!CK27,IF(Time!CK23=1,0,CK49-CK9))</f>
        <v>113.432767668704</v>
      </c>
      <c r="CL61" s="19" t="n">
        <f aca="false">IF(Time!CL20=1,-Funding!CL27,IF(Time!CL23=1,0,CL49-CL9))</f>
        <v>104.772781974886</v>
      </c>
      <c r="CM61" s="19" t="n">
        <f aca="false">IF(Time!CM20=1,-Funding!CM27,IF(Time!CM23=1,0,CM49-CM9))</f>
        <v>109.348472680609</v>
      </c>
      <c r="CN61" s="19" t="n">
        <f aca="false">IF(Time!CN20=1,-Funding!CN27,IF(Time!CN23=1,0,CN49-CN9))</f>
        <v>109.219722400503</v>
      </c>
      <c r="CO61" s="19" t="n">
        <f aca="false">IF(Time!CO20=1,-Funding!CO27,IF(Time!CO23=1,0,CO49-CO9))</f>
        <v>113.303535457093</v>
      </c>
      <c r="CP61" s="19" t="n">
        <f aca="false">IF(Time!CP20=1,-Funding!CP27,IF(Time!CP23=1,0,CP49-CP9))</f>
        <v>157.063605300249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1787.03351799676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-27.3780494732752</v>
      </c>
      <c r="AA9" s="19" t="n">
        <f aca="false">(Operations!AA32-Operations!AA36-Reserves!AA22-AA6-Debt!AA64-Tax!AA13-Tax!AA14-Debt!AA65-Tax!AA23)*(1-Time!AA20)+AA8</f>
        <v>-54.7536370010609</v>
      </c>
      <c r="AB9" s="19" t="n">
        <f aca="false">(Operations!AB32-Operations!AB36-Reserves!AB22-AB6-Debt!AB64-Tax!AB13-Tax!AB14-Debt!AB65-Tax!AB23)*(1-Time!AB20)+AB8</f>
        <v>-49.8273746774495</v>
      </c>
      <c r="AC9" s="19" t="n">
        <f aca="false">(Operations!AC32-Operations!AC36-Reserves!AC22-AC6-Debt!AC64-Tax!AC13-Tax!AC14-Debt!AC65-Tax!AC23)*(1-Time!AC20)+AC8</f>
        <v>-50.7086791662345</v>
      </c>
      <c r="AD9" s="19" t="n">
        <f aca="false">(Operations!AD32-Operations!AD36-Reserves!AD22-AD6-Debt!AD64-Tax!AD13-Tax!AD14-Debt!AD65-Tax!AD23)*(1-Time!AD20)+AD8</f>
        <v>-47.1787757948487</v>
      </c>
      <c r="AE9" s="19" t="n">
        <f aca="false">(Operations!AE32-Operations!AE36-Reserves!AE22-AE6-Debt!AE64-Tax!AE13-Tax!AE14-Debt!AE65-Tax!AE23)*(1-Time!AE20)+AE8</f>
        <v>-45.3487669104309</v>
      </c>
      <c r="AF9" s="19" t="n">
        <f aca="false">(Operations!AF32-Operations!AF36-Reserves!AF22-AF6-Debt!AF64-Tax!AF13-Tax!AF14-Debt!AF65-Tax!AF23)*(1-Time!AF20)+AF8</f>
        <v>-46.6221547146952</v>
      </c>
      <c r="AG9" s="19" t="n">
        <f aca="false">(Operations!AG32-Operations!AG36-Reserves!AG22-AG6-Debt!AG64-Tax!AG13-Tax!AG14-Debt!AG65-Tax!AG23)*(1-Time!AG20)+AG8</f>
        <v>-40.6543661570762</v>
      </c>
      <c r="AH9" s="19" t="n">
        <f aca="false">(Operations!AH32-Operations!AH36-Reserves!AH22-AH6-Debt!AH64-Tax!AH13-Tax!AH14-Debt!AH65-Tax!AH23)*(1-Time!AH20)+AH8</f>
        <v>-38.9458907553953</v>
      </c>
      <c r="AI9" s="19" t="n">
        <f aca="false">(Operations!AI32-Operations!AI36-Reserves!AI22-AI6-Debt!AI64-Tax!AI13-Tax!AI14-Debt!AI65-Tax!AI23)*(1-Time!AI20)+AI8</f>
        <v>-37.9616117167369</v>
      </c>
      <c r="AJ9" s="19" t="n">
        <f aca="false">(Operations!AJ32-Operations!AJ36-Reserves!AJ22-AJ6-Debt!AJ64-Tax!AJ13-Tax!AJ14-Debt!AJ65-Tax!AJ23)*(1-Time!AJ20)+AJ8</f>
        <v>-36.3354113372719</v>
      </c>
      <c r="AK9" s="19" t="n">
        <f aca="false">(Operations!AK32-Operations!AK36-Reserves!AK22-AK6-Debt!AK64-Tax!AK13-Tax!AK14-Debt!AK65-Tax!AK23)*(1-Time!AK20)+AK8</f>
        <v>-35.254284905863</v>
      </c>
      <c r="AL9" s="19" t="n">
        <f aca="false">(Operations!AL32-Operations!AL36-Reserves!AL22-AL6-Debt!AL64-Tax!AL13-Tax!AL14-Debt!AL65-Tax!AL23)*(1-Time!AL20)+AL8</f>
        <v>-33.5764792048943</v>
      </c>
      <c r="AM9" s="19" t="n">
        <f aca="false">(Operations!AM32-Operations!AM36-Reserves!AM22-AM6-Debt!AM64-Tax!AM13-Tax!AM14-Debt!AM65-Tax!AM23)*(1-Time!AM20)+AM8</f>
        <v>-32.4387367008711</v>
      </c>
      <c r="AN9" s="19" t="n">
        <f aca="false">(Operations!AN32-Operations!AN36-Reserves!AN22-AN6-Debt!AN64-Tax!AN13-Tax!AN14-Debt!AN65-Tax!AN23)*(1-Time!AN20)+AN8</f>
        <v>-30.5296509609048</v>
      </c>
      <c r="AO9" s="19" t="n">
        <f aca="false">(Operations!AO32-Operations!AO36-Reserves!AO22-AO6-Debt!AO64-Tax!AO13-Tax!AO14-Debt!AO65-Tax!AO23)*(1-Time!AO20)+AO8</f>
        <v>-48.3688277695225</v>
      </c>
      <c r="AP9" s="19" t="n">
        <f aca="false">(Operations!AP32-Operations!AP36-Reserves!AP22-AP6-Debt!AP64-Tax!AP13-Tax!AP14-Debt!AP65-Tax!AP23)*(1-Time!AP20)+AP8</f>
        <v>-26.7504836726613</v>
      </c>
      <c r="AQ9" s="19" t="n">
        <f aca="false">(Operations!AQ32-Operations!AQ36-Reserves!AQ22-AQ6-Debt!AQ64-Tax!AQ13-Tax!AQ14-Debt!AQ65-Tax!AQ23)*(1-Time!AQ20)+AQ8</f>
        <v>-24.7428966044998</v>
      </c>
      <c r="AR9" s="19" t="n">
        <f aca="false">(Operations!AR32-Operations!AR36-Reserves!AR22-AR6-Debt!AR64-Tax!AR13-Tax!AR14-Debt!AR65-Tax!AR23)*(1-Time!AR20)+AR8</f>
        <v>-22.6965110683283</v>
      </c>
      <c r="AS9" s="19" t="n">
        <f aca="false">(Operations!AS32-Operations!AS36-Reserves!AS22-AS6-Debt!AS64-Tax!AS13-Tax!AS14-Debt!AS65-Tax!AS23)*(1-Time!AS20)+AS8</f>
        <v>-20.7143495452964</v>
      </c>
      <c r="AT9" s="19" t="n">
        <f aca="false">(Operations!AT32-Operations!AT36-Reserves!AT22-AT6-Debt!AT64-Tax!AT13-Tax!AT14-Debt!AT65-Tax!AT23)*(1-Time!AT20)+AT8</f>
        <v>-18.3035605532217</v>
      </c>
      <c r="AU9" s="19" t="n">
        <f aca="false">(Operations!AU32-Operations!AU36-Reserves!AU22-AU6-Debt!AU64-Tax!AU13-Tax!AU14-Debt!AU65-Tax!AU23)*(1-Time!AU20)+AU8</f>
        <v>-15.9361151575449</v>
      </c>
      <c r="AV9" s="19" t="n">
        <f aca="false">(Operations!AV32-Operations!AV36-Reserves!AV22-AV6-Debt!AV64-Tax!AV13-Tax!AV14-Debt!AV65-Tax!AV23)*(1-Time!AV20)+AV8</f>
        <v>-13.2013982945643</v>
      </c>
      <c r="AW9" s="19" t="n">
        <f aca="false">(Operations!AW32-Operations!AW36-Reserves!AW22-AW6-Debt!AW64-Tax!AW13-Tax!AW14-Debt!AW65-Tax!AW23)*(1-Time!AW20)+AW8</f>
        <v>-72.60743783387</v>
      </c>
      <c r="AX9" s="19" t="n">
        <f aca="false">(Operations!AX32-Operations!AX36-Reserves!AX22-AX6-Debt!AX64-Tax!AX13-Tax!AX14-Debt!AX65-Tax!AX23)*(1-Time!AX20)+AX8</f>
        <v>-8.8530596801992</v>
      </c>
      <c r="AY9" s="19" t="n">
        <f aca="false">(Operations!AY32-Operations!AY36-Reserves!AY22-AY6-Debt!AY64-Tax!AY13-Tax!AY14-Debt!AY65-Tax!AY23)*(1-Time!AY20)+AY8</f>
        <v>-6.00132104417174</v>
      </c>
      <c r="AZ9" s="19" t="n">
        <f aca="false">(Operations!AZ32-Operations!AZ36-Reserves!AZ22-AZ6-Debt!AZ64-Tax!AZ13-Tax!AZ14-Debt!AZ65-Tax!AZ23)*(1-Time!AZ20)+AZ8</f>
        <v>-3.84547314998806</v>
      </c>
      <c r="BA9" s="19" t="n">
        <f aca="false">(Operations!BA32-Operations!BA36-Reserves!BA22-BA6-Debt!BA64-Tax!BA13-Tax!BA14-Debt!BA65-Tax!BA23)*(1-Time!BA20)+BA8</f>
        <v>-0.870571740268609</v>
      </c>
      <c r="BB9" s="19" t="n">
        <f aca="false">(Operations!BB32-Operations!BB36-Reserves!BB22-BB6-Debt!BB64-Tax!BB13-Tax!BB14-Debt!BB65-Tax!BB23)*(1-Time!BB20)+BB8</f>
        <v>1.46582573298157</v>
      </c>
      <c r="BC9" s="19" t="n">
        <f aca="false">(Operations!BC32-Operations!BC36-Reserves!BC22-BC6-Debt!BC64-Tax!BC13-Tax!BC14-Debt!BC65-Tax!BC23)*(1-Time!BC20)+BC8</f>
        <v>-45.0083011424914</v>
      </c>
      <c r="BD9" s="19" t="n">
        <f aca="false">(Operations!BD32-Operations!BD36-Reserves!BD22-BD6-Debt!BD64-Tax!BD13-Tax!BD14-Debt!BD65-Tax!BD23)*(1-Time!BD20)+BD8</f>
        <v>7.61276286587727</v>
      </c>
      <c r="BE9" s="19" t="n">
        <f aca="false">(Operations!BE32-Operations!BE36-Reserves!BE22-BE6-Debt!BE64-Tax!BE13-Tax!BE14-Debt!BE65-Tax!BE23)*(1-Time!BE20)+BE8</f>
        <v>-11.7340758614843</v>
      </c>
      <c r="BF9" s="19" t="n">
        <f aca="false">(Operations!BF32-Operations!BF36-Reserves!BF22-BF6-Debt!BF64-Tax!BF13-Tax!BF14-Debt!BF65-Tax!BF23)*(1-Time!BF20)+BF8</f>
        <v>15.0523895151337</v>
      </c>
      <c r="BG9" s="19" t="n">
        <f aca="false">(Operations!BG32-Operations!BG36-Reserves!BG22-BG6-Debt!BG64-Tax!BG13-Tax!BG14-Debt!BG65-Tax!BG23)*(1-Time!BG20)+BG8</f>
        <v>19.9115828677238</v>
      </c>
      <c r="BH9" s="19" t="n">
        <f aca="false">(Operations!BH32-Operations!BH36-Reserves!BH22-BH6-Debt!BH64-Tax!BH13-Tax!BH14-Debt!BH65-Tax!BH23)*(1-Time!BH20)+BH8</f>
        <v>23.6926845443197</v>
      </c>
      <c r="BI9" s="19" t="n">
        <f aca="false">(Operations!BI32-Operations!BI36-Reserves!BI22-BI6-Debt!BI64-Tax!BI13-Tax!BI14-Debt!BI65-Tax!BI23)*(1-Time!BI20)+BI8</f>
        <v>29.0550280584146</v>
      </c>
      <c r="BJ9" s="19" t="n">
        <f aca="false">(Operations!BJ32-Operations!BJ36-Reserves!BJ22-BJ6-Debt!BJ64-Tax!BJ13-Tax!BJ14-Debt!BJ65-Tax!BJ23)*(1-Time!BJ20)+BJ8</f>
        <v>33.0044409296496</v>
      </c>
      <c r="BK9" s="19" t="n">
        <f aca="false">(Operations!BK32-Operations!BK36-Reserves!BK22-BK6-Debt!BK64-Tax!BK13-Tax!BK14-Debt!BK65-Tax!BK23)*(1-Time!BK20)+BK8</f>
        <v>39.2330920987321</v>
      </c>
      <c r="BL9" s="19" t="n">
        <f aca="false">(Operations!BL32-Operations!BL36-Reserves!BL22-BL6-Debt!BL64-Tax!BL13-Tax!BL14-Debt!BL65-Tax!BL23)*(1-Time!BL20)+BL8</f>
        <v>43.5659029600835</v>
      </c>
      <c r="BM9" s="19" t="n">
        <f aca="false">(Operations!BM32-Operations!BM36-Reserves!BM22-BM6-Debt!BM64-Tax!BM13-Tax!BM14-Debt!BM65-Tax!BM23)*(1-Time!BM20)+BM8</f>
        <v>50.5169929958873</v>
      </c>
      <c r="BN9" s="19" t="n">
        <f aca="false">(Operations!BN32-Operations!BN36-Reserves!BN22-BN6-Debt!BN64-Tax!BN13-Tax!BN14-Debt!BN65-Tax!BN23)*(1-Time!BN20)+BN8</f>
        <v>55.2707613102363</v>
      </c>
      <c r="BO9" s="19" t="n">
        <f aca="false">(Operations!BO32-Operations!BO36-Reserves!BO22-BO6-Debt!BO64-Tax!BO13-Tax!BO14-Debt!BO65-Tax!BO23)*(1-Time!BO20)+BO8</f>
        <v>63.4246275234297</v>
      </c>
      <c r="BP9" s="19" t="n">
        <f aca="false">(Operations!BP32-Operations!BP36-Reserves!BP22-BP6-Debt!BP64-Tax!BP13-Tax!BP14-Debt!BP65-Tax!BP23)*(1-Time!BP20)+BP8</f>
        <v>68.395021450638</v>
      </c>
      <c r="BQ9" s="19" t="n">
        <f aca="false">(Operations!BQ32-Operations!BQ36-Reserves!BQ22-BQ6-Debt!BQ64-Tax!BQ13-Tax!BQ14-Debt!BQ65-Tax!BQ23)*(1-Time!BQ20)+BQ8</f>
        <v>76.0305025695161</v>
      </c>
      <c r="BR9" s="19" t="n">
        <f aca="false">(Operations!BR32-Operations!BR36-Reserves!BR22-BR6-Debt!BR64-Tax!BR13-Tax!BR14-Debt!BR65-Tax!BR23)*(1-Time!BR20)+BR8</f>
        <v>79.4423345772068</v>
      </c>
      <c r="BS9" s="19" t="n">
        <f aca="false">(Operations!BS32-Operations!BS36-Reserves!BS22-BS6-Debt!BS64-Tax!BS13-Tax!BS14-Debt!BS65-Tax!BS23)*(1-Time!BS20)+BS8</f>
        <v>88.2856771004548</v>
      </c>
      <c r="BT9" s="19" t="n">
        <f aca="false">(Operations!BT32-Operations!BT36-Reserves!BT22-BT6-Debt!BT64-Tax!BT13-Tax!BT14-Debt!BT65-Tax!BT23)*(1-Time!BT20)+BT8</f>
        <v>89.5358057462894</v>
      </c>
      <c r="BU9" s="19" t="n">
        <f aca="false">(Operations!BU32-Operations!BU36-Reserves!BU22-BU6-Debt!BU64-Tax!BU13-Tax!BU14-Debt!BU65-Tax!BU23)*(1-Time!BU20)+BU8</f>
        <v>-15.6597631779268</v>
      </c>
      <c r="BV9" s="19" t="n">
        <f aca="false">(Operations!BV32-Operations!BV36-Reserves!BV22-BV6-Debt!BV64-Tax!BV13-Tax!BV14-Debt!BV65-Tax!BV23)*(1-Time!BV20)+BV8</f>
        <v>96.819758149567</v>
      </c>
      <c r="BW9" s="19" t="n">
        <f aca="false">(Operations!BW32-Operations!BW36-Reserves!BW22-BW6-Debt!BW64-Tax!BW13-Tax!BW14-Debt!BW65-Tax!BW23)*(1-Time!BW20)+BW8</f>
        <v>97.4224705422876</v>
      </c>
      <c r="BX9" s="19" t="n">
        <f aca="false">(Operations!BX32-Operations!BX36-Reserves!BX22-BX6-Debt!BX64-Tax!BX13-Tax!BX14-Debt!BX65-Tax!BX23)*(1-Time!BX20)+BX8</f>
        <v>73.7534571357657</v>
      </c>
      <c r="BY9" s="19" t="n">
        <f aca="false">(Operations!BY32-Operations!BY36-Reserves!BY22-BY6-Debt!BY64-Tax!BY13-Tax!BY14-Debt!BY65-Tax!BY23)*(1-Time!BY20)+BY8</f>
        <v>78.5000124984811</v>
      </c>
      <c r="BZ9" s="19" t="n">
        <f aca="false">(Operations!BZ32-Operations!BZ36-Reserves!BZ22-BZ6-Debt!BZ64-Tax!BZ13-Tax!BZ14-Debt!BZ65-Tax!BZ23)*(1-Time!BZ20)+BZ8</f>
        <v>79.1959083165879</v>
      </c>
      <c r="CA9" s="19" t="n">
        <f aca="false">(Operations!CA32-Operations!CA36-Reserves!CA22-CA6-Debt!CA64-Tax!CA13-Tax!CA14-Debt!CA65-Tax!CA23)*(1-Time!CA20)+CA8</f>
        <v>84.6447524597223</v>
      </c>
      <c r="CB9" s="19" t="n">
        <f aca="false">(Operations!CB32-Operations!CB36-Reserves!CB22-CB6-Debt!CB64-Tax!CB13-Tax!CB14-Debt!CB65-Tax!CB23)*(1-Time!CB20)+CB8</f>
        <v>85.2865428156227</v>
      </c>
      <c r="CC9" s="19" t="n">
        <f aca="false">(Operations!CC32-Operations!CC36-Reserves!CC22-CC6-Debt!CC64-Tax!CC13-Tax!CC14-Debt!CC65-Tax!CC23)*(1-Time!CC20)+CC8</f>
        <v>90.9207201995829</v>
      </c>
      <c r="CD9" s="19" t="n">
        <f aca="false">(Operations!CD32-Operations!CD36-Reserves!CD22-CD6-Debt!CD64-Tax!CD13-Tax!CD14-Debt!CD65-Tax!CD23)*(1-Time!CD20)+CD8</f>
        <v>91.6110479171357</v>
      </c>
      <c r="CE9" s="19" t="n">
        <f aca="false">(Operations!CE32-Operations!CE36-Reserves!CE22-CE6-Debt!CE64-Tax!CE13-Tax!CE14-Debt!CE65-Tax!CE23)*(1-Time!CE20)+CE8</f>
        <v>97.5427117119772</v>
      </c>
      <c r="CF9" s="19" t="n">
        <f aca="false">(Operations!CF32-Operations!CF36-Reserves!CF22-CF6-Debt!CF64-Tax!CF13-Tax!CF14-Debt!CF65-Tax!CF23)*(1-Time!CF20)+CF8</f>
        <v>98.7830568817314</v>
      </c>
      <c r="CG9" s="19" t="n">
        <f aca="false">(Operations!CG32-Operations!CG36-Reserves!CG22-CG6-Debt!CG64-Tax!CG13-Tax!CG14-Debt!CG65-Tax!CG23)*(1-Time!CG20)+CG8</f>
        <v>53.8882091731854</v>
      </c>
      <c r="CH9" s="19" t="n">
        <f aca="false">(Operations!CH32-Operations!CH36-Reserves!CH22-CH6-Debt!CH64-Tax!CH13-Tax!CH14-Debt!CH65-Tax!CH23)*(1-Time!CH20)+CH8</f>
        <v>104.949905095249</v>
      </c>
      <c r="CI9" s="19" t="n">
        <f aca="false">(Operations!CI32-Operations!CI36-Reserves!CI22-CI6-Debt!CI64-Tax!CI13-Tax!CI14-Debt!CI65-Tax!CI23)*(1-Time!CI20)+CI8</f>
        <v>110.544778698549</v>
      </c>
      <c r="CJ9" s="19" t="n">
        <f aca="false">(Operations!CJ32-Operations!CJ36-Reserves!CJ22-CJ6-Debt!CJ64-Tax!CJ13-Tax!CJ14-Debt!CJ65-Tax!CJ23)*(1-Time!CJ20)+CJ8</f>
        <v>110.34284750043</v>
      </c>
      <c r="CK9" s="19" t="n">
        <f aca="false">(Operations!CK32-Operations!CK36-Reserves!CK22-CK6-Debt!CK64-Tax!CK13-Tax!CK14-Debt!CK65-Tax!CK23)*(1-Time!CK20)+CK8</f>
        <v>91.7444711751715</v>
      </c>
      <c r="CL9" s="19" t="n">
        <f aca="false">(Operations!CL32-Operations!CL36-Reserves!CL22-CL6-Debt!CL64-Tax!CL13-Tax!CL14-Debt!CL65-Tax!CL23)*(1-Time!CL20)+CL8</f>
        <v>115.986446893481</v>
      </c>
      <c r="CM9" s="19" t="n">
        <f aca="false">(Operations!CM32-Operations!CM36-Reserves!CM22-CM6-Debt!CM64-Tax!CM13-Tax!CM14-Debt!CM65-Tax!CM23)*(1-Time!CM20)+CM8</f>
        <v>122.09769155743</v>
      </c>
      <c r="CN9" s="19" t="n">
        <f aca="false">(Operations!CN32-Operations!CN36-Reserves!CN22-CN6-Debt!CN64-Tax!CN13-Tax!CN14-Debt!CN65-Tax!CN23)*(1-Time!CN20)+CN8</f>
        <v>122.545728167926</v>
      </c>
      <c r="CO9" s="19" t="n">
        <f aca="false">(Operations!CO32-Operations!CO36-Reserves!CO22-CO6-Debt!CO64-Tax!CO13-Tax!CO14-Debt!CO65-Tax!CO23)*(1-Time!CO20)+CO8</f>
        <v>128.22825743822</v>
      </c>
      <c r="CP9" s="19" t="n">
        <f aca="false">(Operations!CP32-Operations!CP36-Reserves!CP22-CP6-Debt!CP64-Tax!CP13-Tax!CP14-Debt!CP65-Tax!CP23)*(1-Time!CP20)+CP8</f>
        <v>31.5373265951301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1903.34123622774</v>
      </c>
      <c r="AA11" s="19" t="n">
        <f aca="false">AA7+Operations!AA41+Funding!AA16+Reserves!AA13+Reserves!AA16+Reserves!AA19+Reserves!AA23+Reserves!AA27+Reserves!AA30+Waterfall!AA51</f>
        <v>1879.72468477698</v>
      </c>
      <c r="AB11" s="19" t="n">
        <f aca="false">AB7+Operations!AB41+Funding!AB16+Reserves!AB13+Reserves!AB16+Reserves!AB19+Reserves!AB23+Reserves!AB27+Reserves!AB30+Waterfall!AB51</f>
        <v>1862.1153217932</v>
      </c>
      <c r="AC11" s="19" t="n">
        <f aca="false">AC7+Operations!AC41+Funding!AC16+Reserves!AC13+Reserves!AC16+Reserves!AC19+Reserves!AC23+Reserves!AC27+Reserves!AC30+Waterfall!AC51</f>
        <v>1845.26208124625</v>
      </c>
      <c r="AD11" s="19" t="n">
        <f aca="false">AD7+Operations!AD41+Funding!AD16+Reserves!AD13+Reserves!AD16+Reserves!AD19+Reserves!AD23+Reserves!AD27+Reserves!AD30+Waterfall!AD51</f>
        <v>1744.16065727725</v>
      </c>
      <c r="AE11" s="19" t="n">
        <f aca="false">AE7+Operations!AE41+Funding!AE16+Reserves!AE13+Reserves!AE16+Reserves!AE19+Reserves!AE23+Reserves!AE27+Reserves!AE30+Waterfall!AE51</f>
        <v>1716.85817045898</v>
      </c>
      <c r="AF11" s="19" t="n">
        <f aca="false">AF7+Operations!AF41+Funding!AF16+Reserves!AF13+Reserves!AF16+Reserves!AF19+Reserves!AF23+Reserves!AF27+Reserves!AF30+Waterfall!AF51</f>
        <v>1690.15352012434</v>
      </c>
      <c r="AG11" s="19" t="n">
        <f aca="false">AG7+Operations!AG41+Funding!AG16+Reserves!AG13+Reserves!AG16+Reserves!AG19+Reserves!AG23+Reserves!AG27+Reserves!AG30+Waterfall!AG51</f>
        <v>1663.00377755151</v>
      </c>
      <c r="AH11" s="19" t="n">
        <f aca="false">AH7+Operations!AH41+Funding!AH16+Reserves!AH13+Reserves!AH16+Reserves!AH19+Reserves!AH23+Reserves!AH27+Reserves!AH30+Waterfall!AH51</f>
        <v>1636.69319865409</v>
      </c>
      <c r="AI11" s="19" t="n">
        <f aca="false">AI7+Operations!AI41+Funding!AI16+Reserves!AI13+Reserves!AI16+Reserves!AI19+Reserves!AI23+Reserves!AI27+Reserves!AI30+Waterfall!AI51</f>
        <v>1612.82996549324</v>
      </c>
      <c r="AJ11" s="19" t="n">
        <f aca="false">AJ7+Operations!AJ41+Funding!AJ16+Reserves!AJ13+Reserves!AJ16+Reserves!AJ19+Reserves!AJ23+Reserves!AJ27+Reserves!AJ30+Waterfall!AJ51</f>
        <v>1589.53471834363</v>
      </c>
      <c r="AK11" s="19" t="n">
        <f aca="false">AK7+Operations!AK41+Funding!AK16+Reserves!AK13+Reserves!AK16+Reserves!AK19+Reserves!AK23+Reserves!AK27+Reserves!AK30+Waterfall!AK51</f>
        <v>1565.61924347233</v>
      </c>
      <c r="AL11" s="19" t="n">
        <f aca="false">AL7+Operations!AL41+Funding!AL16+Reserves!AL13+Reserves!AL16+Reserves!AL19+Reserves!AL23+Reserves!AL27+Reserves!AL30+Waterfall!AL51</f>
        <v>1542.54458482039</v>
      </c>
      <c r="AM11" s="19" t="n">
        <f aca="false">AM7+Operations!AM41+Funding!AM16+Reserves!AM13+Reserves!AM16+Reserves!AM19+Reserves!AM23+Reserves!AM27+Reserves!AM30+Waterfall!AM51</f>
        <v>1518.63970321009</v>
      </c>
      <c r="AN11" s="19" t="n">
        <f aca="false">AN7+Operations!AN41+Funding!AN16+Reserves!AN13+Reserves!AN16+Reserves!AN19+Reserves!AN23+Reserves!AN27+Reserves!AN30+Waterfall!AN51</f>
        <v>1495.57677921982</v>
      </c>
      <c r="AO11" s="19" t="n">
        <f aca="false">AO7+Operations!AO41+Funding!AO16+Reserves!AO13+Reserves!AO16+Reserves!AO19+Reserves!AO23+Reserves!AO27+Reserves!AO30+Waterfall!AO51</f>
        <v>1449.17798915047</v>
      </c>
      <c r="AP11" s="19" t="n">
        <f aca="false">AP7+Operations!AP41+Funding!AP16+Reserves!AP13+Reserves!AP16+Reserves!AP19+Reserves!AP23+Reserves!AP27+Reserves!AP30+Waterfall!AP51</f>
        <v>1422.91287133131</v>
      </c>
      <c r="AQ11" s="19" t="n">
        <f aca="false">AQ7+Operations!AQ41+Funding!AQ16+Reserves!AQ13+Reserves!AQ16+Reserves!AQ19+Reserves!AQ23+Reserves!AQ27+Reserves!AQ30+Waterfall!AQ51</f>
        <v>1406.15859623729</v>
      </c>
      <c r="AR11" s="19" t="n">
        <f aca="false">AR7+Operations!AR41+Funding!AR16+Reserves!AR13+Reserves!AR16+Reserves!AR19+Reserves!AR23+Reserves!AR27+Reserves!AR30+Waterfall!AR51</f>
        <v>1389.98004272858</v>
      </c>
      <c r="AS11" s="19" t="n">
        <f aca="false">AS7+Operations!AS41+Funding!AS16+Reserves!AS13+Reserves!AS16+Reserves!AS19+Reserves!AS23+Reserves!AS27+Reserves!AS30+Waterfall!AS51</f>
        <v>1373.17564613274</v>
      </c>
      <c r="AT11" s="19" t="n">
        <f aca="false">AT7+Operations!AT41+Funding!AT16+Reserves!AT13+Reserves!AT16+Reserves!AT19+Reserves!AT23+Reserves!AT27+Reserves!AT30+Waterfall!AT51</f>
        <v>1357.22078064927</v>
      </c>
      <c r="AU11" s="19" t="n">
        <f aca="false">AU7+Operations!AU41+Funding!AU16+Reserves!AU13+Reserves!AU16+Reserves!AU19+Reserves!AU23+Reserves!AU27+Reserves!AU30+Waterfall!AU51</f>
        <v>1340.43773613862</v>
      </c>
      <c r="AV11" s="19" t="n">
        <f aca="false">AV7+Operations!AV41+Funding!AV16+Reserves!AV13+Reserves!AV16+Reserves!AV19+Reserves!AV23+Reserves!AV27+Reserves!AV30+Waterfall!AV51</f>
        <v>1326.30798469648</v>
      </c>
      <c r="AW11" s="19" t="n">
        <f aca="false">AW7+Operations!AW41+Funding!AW16+Reserves!AW13+Reserves!AW16+Reserves!AW19+Reserves!AW23+Reserves!AW27+Reserves!AW30+Waterfall!AW51</f>
        <v>1246.09122344071</v>
      </c>
      <c r="AX11" s="19" t="n">
        <f aca="false">AX7+Operations!AX41+Funding!AX16+Reserves!AX13+Reserves!AX16+Reserves!AX19+Reserves!AX23+Reserves!AX27+Reserves!AX30+Waterfall!AX51</f>
        <v>1227.72775064039</v>
      </c>
      <c r="AY11" s="19" t="n">
        <f aca="false">AY7+Operations!AY41+Funding!AY16+Reserves!AY13+Reserves!AY16+Reserves!AY19+Reserves!AY23+Reserves!AY27+Reserves!AY30+Waterfall!AY51</f>
        <v>1213.30552439298</v>
      </c>
      <c r="AZ11" s="19" t="n">
        <f aca="false">AZ7+Operations!AZ41+Funding!AZ16+Reserves!AZ13+Reserves!AZ16+Reserves!AZ19+Reserves!AZ23+Reserves!AZ27+Reserves!AZ30+Waterfall!AZ51</f>
        <v>1200.08109295735</v>
      </c>
      <c r="BA11" s="19" t="n">
        <f aca="false">BA7+Operations!BA41+Funding!BA16+Reserves!BA13+Reserves!BA16+Reserves!BA19+Reserves!BA23+Reserves!BA27+Reserves!BA30+Waterfall!BA51</f>
        <v>1185.50741109639</v>
      </c>
      <c r="BB11" s="19" t="n">
        <f aca="false">BB7+Operations!BB41+Funding!BB16+Reserves!BB13+Reserves!BB16+Reserves!BB19+Reserves!BB23+Reserves!BB27+Reserves!BB30+Waterfall!BB51</f>
        <v>1175.78702942498</v>
      </c>
      <c r="BC11" s="19" t="n">
        <f aca="false">BC7+Operations!BC41+Funding!BC16+Reserves!BC13+Reserves!BC16+Reserves!BC19+Reserves!BC23+Reserves!BC27+Reserves!BC30+Waterfall!BC51</f>
        <v>1103.18550672932</v>
      </c>
      <c r="BD11" s="19" t="n">
        <f aca="false">BD7+Operations!BD41+Funding!BD16+Reserves!BD13+Reserves!BD16+Reserves!BD19+Reserves!BD23+Reserves!BD27+Reserves!BD30+Waterfall!BD51</f>
        <v>1083.61183686067</v>
      </c>
      <c r="BE11" s="19" t="n">
        <f aca="false">BE7+Operations!BE41+Funding!BE16+Reserves!BE13+Reserves!BE16+Reserves!BE19+Reserves!BE23+Reserves!BE27+Reserves!BE30+Waterfall!BE51</f>
        <v>1033.36470708575</v>
      </c>
      <c r="BF11" s="19" t="n">
        <f aca="false">BF7+Operations!BF41+Funding!BF16+Reserves!BF13+Reserves!BF16+Reserves!BF19+Reserves!BF23+Reserves!BF27+Reserves!BF30+Waterfall!BF51</f>
        <v>1008.4746891973</v>
      </c>
      <c r="BG11" s="19" t="n">
        <f aca="false">BG7+Operations!BG41+Funding!BG16+Reserves!BG13+Reserves!BG16+Reserves!BG19+Reserves!BG23+Reserves!BG27+Reserves!BG30+Waterfall!BG51</f>
        <v>981.94074648371</v>
      </c>
      <c r="BH11" s="19" t="n">
        <f aca="false">BH7+Operations!BH41+Funding!BH16+Reserves!BH13+Reserves!BH16+Reserves!BH19+Reserves!BH23+Reserves!BH27+Reserves!BH30+Waterfall!BH51</f>
        <v>956.792845295902</v>
      </c>
      <c r="BI11" s="19" t="n">
        <f aca="false">BI7+Operations!BI41+Funding!BI16+Reserves!BI13+Reserves!BI16+Reserves!BI19+Reserves!BI23+Reserves!BI27+Reserves!BI30+Waterfall!BI51</f>
        <v>930.079471628947</v>
      </c>
      <c r="BJ11" s="19" t="n">
        <f aca="false">BJ7+Operations!BJ41+Funding!BJ16+Reserves!BJ13+Reserves!BJ16+Reserves!BJ19+Reserves!BJ23+Reserves!BJ27+Reserves!BJ30+Waterfall!BJ51</f>
        <v>905.369491823104</v>
      </c>
      <c r="BK11" s="19" t="n">
        <f aca="false">BK7+Operations!BK41+Funding!BK16+Reserves!BK13+Reserves!BK16+Reserves!BK19+Reserves!BK23+Reserves!BK27+Reserves!BK30+Waterfall!BK51</f>
        <v>878.676264825804</v>
      </c>
      <c r="BL11" s="19" t="n">
        <f aca="false">BL7+Operations!BL41+Funding!BL16+Reserves!BL13+Reserves!BL16+Reserves!BL19+Reserves!BL23+Reserves!BL27+Reserves!BL30+Waterfall!BL51</f>
        <v>854.046724384044</v>
      </c>
      <c r="BM11" s="19" t="n">
        <f aca="false">BM7+Operations!BM41+Funding!BM16+Reserves!BM13+Reserves!BM16+Reserves!BM19+Reserves!BM23+Reserves!BM27+Reserves!BM30+Waterfall!BM51</f>
        <v>827.369452709795</v>
      </c>
      <c r="BN11" s="19" t="n">
        <f aca="false">BN7+Operations!BN41+Funding!BN16+Reserves!BN13+Reserves!BN16+Reserves!BN19+Reserves!BN23+Reserves!BN27+Reserves!BN30+Waterfall!BN51</f>
        <v>795.853178240554</v>
      </c>
      <c r="BO11" s="19" t="n">
        <f aca="false">BO7+Operations!BO41+Funding!BO16+Reserves!BO13+Reserves!BO16+Reserves!BO19+Reserves!BO23+Reserves!BO27+Reserves!BO30+Waterfall!BO51</f>
        <v>788.039667421565</v>
      </c>
      <c r="BP11" s="19" t="n">
        <f aca="false">BP7+Operations!BP41+Funding!BP16+Reserves!BP13+Reserves!BP16+Reserves!BP19+Reserves!BP23+Reserves!BP27+Reserves!BP30+Waterfall!BP51</f>
        <v>781.824921027916</v>
      </c>
      <c r="BQ11" s="19" t="n">
        <f aca="false">BQ7+Operations!BQ41+Funding!BQ16+Reserves!BQ13+Reserves!BQ16+Reserves!BQ19+Reserves!BQ23+Reserves!BQ27+Reserves!BQ30+Waterfall!BQ51</f>
        <v>773.312488134275</v>
      </c>
      <c r="BR11" s="19" t="n">
        <f aca="false">BR7+Operations!BR41+Funding!BR16+Reserves!BR13+Reserves!BR16+Reserves!BR19+Reserves!BR23+Reserves!BR27+Reserves!BR30+Waterfall!BR51</f>
        <v>767.39892181052</v>
      </c>
      <c r="BS11" s="19" t="n">
        <f aca="false">BS7+Operations!BS41+Funding!BS16+Reserves!BS13+Reserves!BS16+Reserves!BS19+Reserves!BS23+Reserves!BS27+Reserves!BS30+Waterfall!BS51</f>
        <v>758.887357071021</v>
      </c>
      <c r="BT11" s="19" t="n">
        <f aca="false">BT7+Operations!BT41+Funding!BT16+Reserves!BT13+Reserves!BT16+Reserves!BT19+Reserves!BT23+Reserves!BT27+Reserves!BT30+Waterfall!BT51</f>
        <v>760.037288487966</v>
      </c>
      <c r="BU11" s="19" t="n">
        <f aca="false">BU7+Operations!BU41+Funding!BU16+Reserves!BU13+Reserves!BU16+Reserves!BU19+Reserves!BU23+Reserves!BU27+Reserves!BU30+Waterfall!BU51</f>
        <v>621.315959335831</v>
      </c>
      <c r="BV11" s="19" t="n">
        <f aca="false">BV7+Operations!BV41+Funding!BV16+Reserves!BV13+Reserves!BV16+Reserves!BV19+Reserves!BV23+Reserves!BV27+Reserves!BV30+Waterfall!BV51</f>
        <v>596.959102820192</v>
      </c>
      <c r="BW11" s="19" t="n">
        <f aca="false">BW7+Operations!BW41+Funding!BW16+Reserves!BW13+Reserves!BW16+Reserves!BW19+Reserves!BW23+Reserves!BW27+Reserves!BW30+Waterfall!BW51</f>
        <v>570.12540528638</v>
      </c>
      <c r="BX11" s="19" t="n">
        <f aca="false">BX7+Operations!BX41+Funding!BX16+Reserves!BX13+Reserves!BX16+Reserves!BX19+Reserves!BX23+Reserves!BX27+Reserves!BX30+Waterfall!BX51</f>
        <v>545.425213923129</v>
      </c>
      <c r="BY11" s="19" t="n">
        <f aca="false">BY7+Operations!BY41+Funding!BY16+Reserves!BY13+Reserves!BY16+Reserves!BY19+Reserves!BY23+Reserves!BY27+Reserves!BY30+Waterfall!BY51</f>
        <v>518.313530007482</v>
      </c>
      <c r="BZ11" s="19" t="n">
        <f aca="false">BZ7+Operations!BZ41+Funding!BZ16+Reserves!BZ13+Reserves!BZ16+Reserves!BZ19+Reserves!BZ23+Reserves!BZ27+Reserves!BZ30+Waterfall!BZ51</f>
        <v>489.613164593766</v>
      </c>
      <c r="CA11" s="19" t="n">
        <f aca="false">CA7+Operations!CA41+Funding!CA16+Reserves!CA13+Reserves!CA16+Reserves!CA19+Reserves!CA23+Reserves!CA27+Reserves!CA30+Waterfall!CA51</f>
        <v>474.511062106485</v>
      </c>
      <c r="CB11" s="19" t="n">
        <f aca="false">CB7+Operations!CB41+Funding!CB16+Reserves!CB13+Reserves!CB16+Reserves!CB19+Reserves!CB23+Reserves!CB27+Reserves!CB30+Waterfall!CB51</f>
        <v>462.41660070141</v>
      </c>
      <c r="CC11" s="19" t="n">
        <f aca="false">CC7+Operations!CC41+Funding!CC16+Reserves!CC13+Reserves!CC16+Reserves!CC19+Reserves!CC23+Reserves!CC27+Reserves!CC30+Waterfall!CC51</f>
        <v>447.31429516042</v>
      </c>
      <c r="CD11" s="19" t="n">
        <f aca="false">CD7+Operations!CD41+Funding!CD16+Reserves!CD13+Reserves!CD16+Reserves!CD19+Reserves!CD23+Reserves!CD27+Reserves!CD30+Waterfall!CD51</f>
        <v>433.124958234066</v>
      </c>
      <c r="CE11" s="19" t="n">
        <f aca="false">CE7+Operations!CE41+Funding!CE16+Reserves!CE13+Reserves!CE16+Reserves!CE19+Reserves!CE23+Reserves!CE27+Reserves!CE30+Waterfall!CE51</f>
        <v>417.935648785502</v>
      </c>
      <c r="CF11" s="19" t="n">
        <f aca="false">CF7+Operations!CF41+Funding!CF16+Reserves!CF13+Reserves!CF16+Reserves!CF19+Reserves!CF23+Reserves!CF27+Reserves!CF30+Waterfall!CF51</f>
        <v>412.131111836717</v>
      </c>
      <c r="CG11" s="19" t="n">
        <f aca="false">CG7+Operations!CG41+Funding!CG16+Reserves!CG13+Reserves!CG16+Reserves!CG19+Reserves!CG23+Reserves!CG27+Reserves!CG30+Waterfall!CG51</f>
        <v>280.264745722366</v>
      </c>
      <c r="CH11" s="19" t="n">
        <f aca="false">CH7+Operations!CH41+Funding!CH16+Reserves!CH13+Reserves!CH16+Reserves!CH19+Reserves!CH23+Reserves!CH27+Reserves!CH30+Waterfall!CH51</f>
        <v>269.484740682007</v>
      </c>
      <c r="CI11" s="19" t="n">
        <f aca="false">CI7+Operations!CI41+Funding!CI16+Reserves!CI13+Reserves!CI16+Reserves!CI19+Reserves!CI23+Reserves!CI27+Reserves!CI30+Waterfall!CI51</f>
        <v>258.482942287349</v>
      </c>
      <c r="CJ11" s="19" t="n">
        <f aca="false">CJ7+Operations!CJ41+Funding!CJ16+Reserves!CJ13+Reserves!CJ16+Reserves!CJ19+Reserves!CJ23+Reserves!CJ27+Reserves!CJ30+Waterfall!CJ51</f>
        <v>247.956921237035</v>
      </c>
      <c r="CK11" s="19" t="n">
        <f aca="false">CK7+Operations!CK41+Funding!CK16+Reserves!CK13+Reserves!CK16+Reserves!CK19+Reserves!CK23+Reserves!CK27+Reserves!CK30+Waterfall!CK51</f>
        <v>196.515171764868</v>
      </c>
      <c r="CL11" s="19" t="n">
        <f aca="false">CL7+Operations!CL41+Funding!CL16+Reserves!CL13+Reserves!CL16+Reserves!CL19+Reserves!CL23+Reserves!CL27+Reserves!CL30+Waterfall!CL51</f>
        <v>180.435202602787</v>
      </c>
      <c r="CM11" s="19" t="n">
        <f aca="false">CM7+Operations!CM41+Funding!CM16+Reserves!CM13+Reserves!CM16+Reserves!CM19+Reserves!CM23+Reserves!CM27+Reserves!CM30+Waterfall!CM51</f>
        <v>164.151036898285</v>
      </c>
      <c r="CN11" s="19" t="n">
        <f aca="false">CN7+Operations!CN41+Funding!CN16+Reserves!CN13+Reserves!CN16+Reserves!CN19+Reserves!CN23+Reserves!CN27+Reserves!CN30+Waterfall!CN51</f>
        <v>148.190836577805</v>
      </c>
      <c r="CO11" s="19" t="n">
        <f aca="false">CO7+Operations!CO41+Funding!CO16+Reserves!CO13+Reserves!CO16+Reserves!CO19+Reserves!CO23+Reserves!CO27+Reserves!CO30+Waterfall!CO51</f>
        <v>132.180279067739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1873.7619420994</v>
      </c>
      <c r="AA12" s="19" t="n">
        <f aca="false">Debt!AA47+Debt!AA54+Debt!AA60+Debt!AA61+Debt!AA94+Debt!AA102+Funding!AA40+Operations!AA42+Waterfall!AA59+Reserves!AA27</f>
        <v>1904.89902764969</v>
      </c>
      <c r="AB12" s="19" t="n">
        <f aca="false">Debt!AB47+Debt!AB54+Debt!AB60+Debt!AB61+Debt!AB94+Debt!AB102+Funding!AB40+Operations!AB42+Waterfall!AB59+Reserves!AB27</f>
        <v>1937.11703934337</v>
      </c>
      <c r="AC12" s="19" t="n">
        <f aca="false">Debt!AC47+Debt!AC54+Debt!AC60+Debt!AC61+Debt!AC94+Debt!AC102+Funding!AC40+Operations!AC42+Waterfall!AC59+Reserves!AC27</f>
        <v>1970.97247796265</v>
      </c>
      <c r="AD12" s="19" t="n">
        <f aca="false">Debt!AD47+Debt!AD54+Debt!AD60+Debt!AD61+Debt!AD94+Debt!AD102+Funding!AD40+Operations!AD42+Waterfall!AD59+Reserves!AD27</f>
        <v>1917.04982978849</v>
      </c>
      <c r="AE12" s="19" t="n">
        <f aca="false">Debt!AE47+Debt!AE54+Debt!AE60+Debt!AE61+Debt!AE94+Debt!AE102+Funding!AE40+Operations!AE42+Waterfall!AE59+Reserves!AE27</f>
        <v>1935.09610988066</v>
      </c>
      <c r="AF12" s="19" t="n">
        <f aca="false">Debt!AF47+Debt!AF54+Debt!AF60+Debt!AF61+Debt!AF94+Debt!AF102+Funding!AF40+Operations!AF42+Waterfall!AF59+Reserves!AF27</f>
        <v>1955.01361426072</v>
      </c>
      <c r="AG12" s="19" t="n">
        <f aca="false">Debt!AG47+Debt!AG54+Debt!AG60+Debt!AG61+Debt!AG94+Debt!AG102+Funding!AG40+Operations!AG42+Waterfall!AG59+Reserves!AG27</f>
        <v>1968.51823784496</v>
      </c>
      <c r="AH12" s="19" t="n">
        <f aca="false">Debt!AH47+Debt!AH54+Debt!AH60+Debt!AH61+Debt!AH94+Debt!AH102+Funding!AH40+Operations!AH42+Waterfall!AH59+Reserves!AH27</f>
        <v>1981.15354970294</v>
      </c>
      <c r="AI12" s="19" t="n">
        <f aca="false">Debt!AI47+Debt!AI54+Debt!AI60+Debt!AI61+Debt!AI94+Debt!AI102+Funding!AI40+Operations!AI42+Waterfall!AI59+Reserves!AI27</f>
        <v>1995.25192825883</v>
      </c>
      <c r="AJ12" s="19" t="n">
        <f aca="false">Debt!AJ47+Debt!AJ54+Debt!AJ60+Debt!AJ61+Debt!AJ94+Debt!AJ102+Funding!AJ40+Operations!AJ42+Waterfall!AJ59+Reserves!AJ27</f>
        <v>2008.29209244648</v>
      </c>
      <c r="AK12" s="19" t="n">
        <f aca="false">Debt!AK47+Debt!AK54+Debt!AK60+Debt!AK61+Debt!AK94+Debt!AK102+Funding!AK40+Operations!AK42+Waterfall!AK59+Reserves!AK27</f>
        <v>2019.63090248105</v>
      </c>
      <c r="AL12" s="19" t="n">
        <f aca="false">Debt!AL47+Debt!AL54+Debt!AL60+Debt!AL61+Debt!AL94+Debt!AL102+Funding!AL40+Operations!AL42+Waterfall!AL59+Reserves!AL27</f>
        <v>2030.132723034</v>
      </c>
      <c r="AM12" s="19" t="n">
        <f aca="false">Debt!AM47+Debt!AM54+Debt!AM60+Debt!AM61+Debt!AM94+Debt!AM102+Funding!AM40+Operations!AM42+Waterfall!AM59+Reserves!AM27</f>
        <v>2038.66657812458</v>
      </c>
      <c r="AN12" s="19" t="n">
        <f aca="false">Debt!AN47+Debt!AN54+Debt!AN60+Debt!AN61+Debt!AN94+Debt!AN102+Funding!AN40+Operations!AN42+Waterfall!AN59+Reserves!AN27</f>
        <v>2046.1333050952</v>
      </c>
      <c r="AO12" s="19" t="n">
        <f aca="false">Debt!AO47+Debt!AO54+Debt!AO60+Debt!AO61+Debt!AO94+Debt!AO102+Funding!AO40+Operations!AO42+Waterfall!AO59+Reserves!AO27</f>
        <v>2048.10334279538</v>
      </c>
      <c r="AP12" s="19" t="n">
        <f aca="false">Debt!AP47+Debt!AP54+Debt!AP60+Debt!AP61+Debt!AP94+Debt!AP102+Funding!AP40+Operations!AP42+Waterfall!AP59+Reserves!AP27</f>
        <v>2048.58870864888</v>
      </c>
      <c r="AQ12" s="19" t="n">
        <f aca="false">Debt!AQ47+Debt!AQ54+Debt!AQ60+Debt!AQ61+Debt!AQ94+Debt!AQ102+Funding!AQ40+Operations!AQ42+Waterfall!AQ59+Reserves!AQ27</f>
        <v>2056.57733015936</v>
      </c>
      <c r="AR12" s="19" t="n">
        <f aca="false">Debt!AR47+Debt!AR54+Debt!AR60+Debt!AR61+Debt!AR94+Debt!AR102+Funding!AR40+Operations!AR42+Waterfall!AR59+Reserves!AR27</f>
        <v>2063.09528771898</v>
      </c>
      <c r="AS12" s="19" t="n">
        <f aca="false">Debt!AS47+Debt!AS54+Debt!AS60+Debt!AS61+Debt!AS94+Debt!AS102+Funding!AS40+Operations!AS42+Waterfall!AS59+Reserves!AS27</f>
        <v>2067.00524066844</v>
      </c>
      <c r="AT12" s="19" t="n">
        <f aca="false">Debt!AT47+Debt!AT54+Debt!AT60+Debt!AT61+Debt!AT94+Debt!AT102+Funding!AT40+Operations!AT42+Waterfall!AT59+Reserves!AT27</f>
        <v>2069.35393573819</v>
      </c>
      <c r="AU12" s="19" t="n">
        <f aca="false">Debt!AU47+Debt!AU54+Debt!AU60+Debt!AU61+Debt!AU94+Debt!AU102+Funding!AU40+Operations!AU42+Waterfall!AU59+Reserves!AU27</f>
        <v>2068.50700638509</v>
      </c>
      <c r="AV12" s="19" t="n">
        <f aca="false">Debt!AV47+Debt!AV54+Debt!AV60+Debt!AV61+Debt!AV94+Debt!AV102+Funding!AV40+Operations!AV42+Waterfall!AV59+Reserves!AV27</f>
        <v>2067.5786532375</v>
      </c>
      <c r="AW12" s="19" t="n">
        <f aca="false">Debt!AW47+Debt!AW54+Debt!AW60+Debt!AW61+Debt!AW94+Debt!AW102+Funding!AW40+Operations!AW42+Waterfall!AW59+Reserves!AW27</f>
        <v>2059.96932981561</v>
      </c>
      <c r="AX12" s="19" t="n">
        <f aca="false">Debt!AX47+Debt!AX54+Debt!AX60+Debt!AX61+Debt!AX94+Debt!AX102+Funding!AX40+Operations!AX42+Waterfall!AX59+Reserves!AX27</f>
        <v>2050.45891669548</v>
      </c>
      <c r="AY12" s="19" t="n">
        <f aca="false">Debt!AY47+Debt!AY54+Debt!AY60+Debt!AY61+Debt!AY94+Debt!AY102+Funding!AY40+Operations!AY42+Waterfall!AY59+Reserves!AY27</f>
        <v>2042.03801149224</v>
      </c>
      <c r="AZ12" s="19" t="n">
        <f aca="false">Debt!AZ47+Debt!AZ54+Debt!AZ60+Debt!AZ61+Debt!AZ94+Debt!AZ102+Funding!AZ40+Operations!AZ42+Waterfall!AZ59+Reserves!AZ27</f>
        <v>2032.6590532066</v>
      </c>
      <c r="BA12" s="19" t="n">
        <f aca="false">Debt!BA47+Debt!BA54+Debt!BA60+Debt!BA61+Debt!BA94+Debt!BA102+Funding!BA40+Operations!BA42+Waterfall!BA59+Reserves!BA27</f>
        <v>2018.95594308592</v>
      </c>
      <c r="BB12" s="19" t="n">
        <f aca="false">Debt!BB47+Debt!BB54+Debt!BB60+Debt!BB61+Debt!BB94+Debt!BB102+Funding!BB40+Operations!BB42+Waterfall!BB59+Reserves!BB27</f>
        <v>2007.76973568152</v>
      </c>
      <c r="BC12" s="19" t="n">
        <f aca="false">Debt!BC47+Debt!BC54+Debt!BC60+Debt!BC61+Debt!BC94+Debt!BC102+Funding!BC40+Operations!BC42+Waterfall!BC59+Reserves!BC27</f>
        <v>1980.17651412835</v>
      </c>
      <c r="BD12" s="19" t="n">
        <f aca="false">Debt!BD47+Debt!BD54+Debt!BD60+Debt!BD61+Debt!BD94+Debt!BD102+Funding!BD40+Operations!BD42+Waterfall!BD59+Reserves!BD27</f>
        <v>1952.99008139383</v>
      </c>
      <c r="BE12" s="19" t="n">
        <f aca="false">Debt!BE47+Debt!BE54+Debt!BE60+Debt!BE61+Debt!BE94+Debt!BE102+Funding!BE40+Operations!BE42+Waterfall!BE59+Reserves!BE27</f>
        <v>1914.47702748039</v>
      </c>
      <c r="BF12" s="19" t="n">
        <f aca="false">Debt!BF47+Debt!BF54+Debt!BF60+Debt!BF61+Debt!BF94+Debt!BF102+Funding!BF40+Operations!BF42+Waterfall!BF59+Reserves!BF27</f>
        <v>1874.53462007681</v>
      </c>
      <c r="BG12" s="19" t="n">
        <f aca="false">Debt!BG47+Debt!BG54+Debt!BG60+Debt!BG61+Debt!BG94+Debt!BG102+Funding!BG40+Operations!BG42+Waterfall!BG59+Reserves!BG27</f>
        <v>1828.08909449549</v>
      </c>
      <c r="BH12" s="19" t="n">
        <f aca="false">Debt!BH47+Debt!BH54+Debt!BH60+Debt!BH61+Debt!BH94+Debt!BH102+Funding!BH40+Operations!BH42+Waterfall!BH59+Reserves!BH27</f>
        <v>1779.24850876337</v>
      </c>
      <c r="BI12" s="19" t="n">
        <f aca="false">Debt!BI47+Debt!BI54+Debt!BI60+Debt!BI61+Debt!BI94+Debt!BI102+Funding!BI40+Operations!BI42+Waterfall!BI59+Reserves!BI27</f>
        <v>1723.480107038</v>
      </c>
      <c r="BJ12" s="19" t="n">
        <f aca="false">Debt!BJ47+Debt!BJ54+Debt!BJ60+Debt!BJ61+Debt!BJ94+Debt!BJ102+Funding!BJ40+Operations!BJ42+Waterfall!BJ59+Reserves!BJ27</f>
        <v>1665.7656863025</v>
      </c>
      <c r="BK12" s="19" t="n">
        <f aca="false">Debt!BK47+Debt!BK54+Debt!BK60+Debt!BK61+Debt!BK94+Debt!BK102+Funding!BK40+Operations!BK42+Waterfall!BK59+Reserves!BK27</f>
        <v>1599.83936720647</v>
      </c>
      <c r="BL12" s="19" t="n">
        <f aca="false">Debt!BL47+Debt!BL54+Debt!BL60+Debt!BL61+Debt!BL94+Debt!BL102+Funding!BL40+Operations!BL42+Waterfall!BL59+Reserves!BL27</f>
        <v>1531.64392380463</v>
      </c>
      <c r="BM12" s="19" t="n">
        <f aca="false">Debt!BM47+Debt!BM54+Debt!BM60+Debt!BM61+Debt!BM94+Debt!BM102+Funding!BM40+Operations!BM42+Waterfall!BM59+Reserves!BM27</f>
        <v>1454.44965913449</v>
      </c>
      <c r="BN12" s="19" t="n">
        <f aca="false">Debt!BN47+Debt!BN54+Debt!BN60+Debt!BN61+Debt!BN94+Debt!BN102+Funding!BN40+Operations!BN42+Waterfall!BN59+Reserves!BN27</f>
        <v>1367.66262335501</v>
      </c>
      <c r="BO12" s="19" t="n">
        <f aca="false">Debt!BO47+Debt!BO54+Debt!BO60+Debt!BO61+Debt!BO94+Debt!BO102+Funding!BO40+Operations!BO42+Waterfall!BO59+Reserves!BO27</f>
        <v>1296.4244850126</v>
      </c>
      <c r="BP12" s="19" t="n">
        <f aca="false">Debt!BP47+Debt!BP54+Debt!BP60+Debt!BP61+Debt!BP94+Debt!BP102+Funding!BP40+Operations!BP42+Waterfall!BP59+Reserves!BP27</f>
        <v>1221.81471716831</v>
      </c>
      <c r="BQ12" s="19" t="n">
        <f aca="false">Debt!BQ47+Debt!BQ54+Debt!BQ60+Debt!BQ61+Debt!BQ94+Debt!BQ102+Funding!BQ40+Operations!BQ42+Waterfall!BQ59+Reserves!BQ27</f>
        <v>1137.27178170515</v>
      </c>
      <c r="BR12" s="19" t="n">
        <f aca="false">Debt!BR47+Debt!BR54+Debt!BR60+Debt!BR61+Debt!BR94+Debt!BR102+Funding!BR40+Operations!BR42+Waterfall!BR59+Reserves!BR27</f>
        <v>1051.91588080419</v>
      </c>
      <c r="BS12" s="19" t="n">
        <f aca="false">Debt!BS47+Debt!BS54+Debt!BS60+Debt!BS61+Debt!BS94+Debt!BS102+Funding!BS40+Operations!BS42+Waterfall!BS59+Reserves!BS27</f>
        <v>1005.20972755973</v>
      </c>
      <c r="BT12" s="19" t="n">
        <f aca="false">Debt!BT47+Debt!BT54+Debt!BT60+Debt!BT61+Debt!BT94+Debt!BT102+Funding!BT40+Operations!BT42+Waterfall!BT59+Reserves!BT27</f>
        <v>970.667453653046</v>
      </c>
      <c r="BU12" s="19" t="n">
        <f aca="false">Debt!BU47+Debt!BU54+Debt!BU60+Debt!BU61+Debt!BU94+Debt!BU102+Funding!BU40+Operations!BU42+Waterfall!BU59+Reserves!BU27</f>
        <v>922.747386511359</v>
      </c>
      <c r="BV12" s="19" t="n">
        <f aca="false">Debt!BV47+Debt!BV54+Debt!BV60+Debt!BV61+Debt!BV94+Debt!BV102+Funding!BV40+Operations!BV42+Waterfall!BV59+Reserves!BV27</f>
        <v>874.034206483409</v>
      </c>
      <c r="BW12" s="19" t="n">
        <f aca="false">Debt!BW47+Debt!BW54+Debt!BW60+Debt!BW61+Debt!BW94+Debt!BW102+Funding!BW40+Operations!BW42+Waterfall!BW59+Reserves!BW27</f>
        <v>821.32393603635</v>
      </c>
      <c r="BX12" s="19" t="n">
        <f aca="false">Debt!BX47+Debt!BX54+Debt!BX60+Debt!BX61+Debt!BX94+Debt!BX102+Funding!BX40+Operations!BX42+Waterfall!BX59+Reserves!BX27</f>
        <v>767.418014834532</v>
      </c>
      <c r="BY12" s="19" t="n">
        <f aca="false">Debt!BY47+Debt!BY54+Debt!BY60+Debt!BY61+Debt!BY94+Debt!BY102+Funding!BY40+Operations!BY42+Waterfall!BY59+Reserves!BY27</f>
        <v>709.589396302885</v>
      </c>
      <c r="BZ12" s="19" t="n">
        <f aca="false">Debt!BZ47+Debt!BZ54+Debt!BZ60+Debt!BZ61+Debt!BZ94+Debt!BZ102+Funding!BZ40+Operations!BZ42+Waterfall!BZ59+Reserves!BZ27</f>
        <v>650.815680591146</v>
      </c>
      <c r="CA12" s="19" t="n">
        <f aca="false">Debt!CA47+Debt!CA54+Debt!CA60+Debt!CA61+Debt!CA94+Debt!CA102+Funding!CA40+Operations!CA42+Waterfall!CA59+Reserves!CA27</f>
        <v>593.88850250989</v>
      </c>
      <c r="CB12" s="19" t="n">
        <f aca="false">Debt!CB47+Debt!CB54+Debt!CB60+Debt!CB61+Debt!CB94+Debt!CB102+Funding!CB40+Operations!CB42+Waterfall!CB59+Reserves!CB27</f>
        <v>536.078657747535</v>
      </c>
      <c r="CC12" s="19" t="n">
        <f aca="false">Debt!CC47+Debt!CC54+Debt!CC60+Debt!CC61+Debt!CC94+Debt!CC102+Funding!CC40+Operations!CC42+Waterfall!CC59+Reserves!CC27</f>
        <v>473.644126459339</v>
      </c>
      <c r="CD12" s="19" t="n">
        <f aca="false">Debt!CD47+Debt!CD54+Debt!CD60+Debt!CD61+Debt!CD94+Debt!CD102+Funding!CD40+Operations!CD42+Waterfall!CD59+Reserves!CD27</f>
        <v>410.242277365686</v>
      </c>
      <c r="CE12" s="19" t="n">
        <f aca="false">Debt!CE47+Debt!CE54+Debt!CE60+Debt!CE61+Debt!CE94+Debt!CE102+Funding!CE40+Operations!CE42+Waterfall!CE59+Reserves!CE27</f>
        <v>345.013302163438</v>
      </c>
      <c r="CF12" s="19" t="n">
        <f aca="false">Debt!CF47+Debt!CF54+Debt!CF60+Debt!CF61+Debt!CF94+Debt!CF102+Funding!CF40+Operations!CF42+Waterfall!CF59+Reserves!CF27</f>
        <v>287.133832224809</v>
      </c>
      <c r="CG12" s="19" t="n">
        <f aca="false">Debt!CG47+Debt!CG54+Debt!CG60+Debt!CG61+Debt!CG94+Debt!CG102+Funding!CG40+Operations!CG42+Waterfall!CG59+Reserves!CG27</f>
        <v>223.677379552542</v>
      </c>
      <c r="CH12" s="19" t="n">
        <f aca="false">Debt!CH47+Debt!CH54+Debt!CH60+Debt!CH61+Debt!CH94+Debt!CH102+Funding!CH40+Operations!CH42+Waterfall!CH59+Reserves!CH27</f>
        <v>201.158095437126</v>
      </c>
      <c r="CI12" s="19" t="n">
        <f aca="false">Debt!CI47+Debt!CI54+Debt!CI60+Debt!CI61+Debt!CI94+Debt!CI102+Funding!CI40+Operations!CI42+Waterfall!CI59+Reserves!CI27</f>
        <v>177.081767018344</v>
      </c>
      <c r="CJ12" s="19" t="n">
        <f aca="false">Debt!CJ47+Debt!CJ54+Debt!CJ60+Debt!CJ61+Debt!CJ94+Debt!CJ102+Funding!CJ40+Operations!CJ42+Waterfall!CJ59+Reserves!CJ27</f>
        <v>152.955957582352</v>
      </c>
      <c r="CK12" s="19" t="n">
        <f aca="false">Debt!CK47+Debt!CK54+Debt!CK60+Debt!CK61+Debt!CK94+Debt!CK102+Funding!CK40+Operations!CK42+Waterfall!CK59+Reserves!CK27</f>
        <v>123.202504603717</v>
      </c>
      <c r="CL12" s="19" t="n">
        <f aca="false">Debt!CL47+Debt!CL54+Debt!CL60+Debt!CL61+Debt!CL94+Debt!CL102+Funding!CL40+Operations!CL42+Waterfall!CL59+Reserves!CL27</f>
        <v>95.9088705230402</v>
      </c>
      <c r="CM12" s="19" t="n">
        <f aca="false">Debt!CM47+Debt!CM54+Debt!CM60+Debt!CM61+Debt!CM94+Debt!CM102+Funding!CM40+Operations!CM42+Waterfall!CM59+Reserves!CM27</f>
        <v>66.8754859417176</v>
      </c>
      <c r="CN12" s="19" t="n">
        <f aca="false">Debt!CN47+Debt!CN54+Debt!CN60+Debt!CN61+Debt!CN94+Debt!CN102+Funding!CN40+Operations!CN42+Waterfall!CN59+Reserves!CN27</f>
        <v>37.5892798538147</v>
      </c>
      <c r="CO12" s="19" t="n">
        <f aca="false">Debt!CO47+Debt!CO54+Debt!CO60+Debt!CO61+Debt!CO94+Debt!CO102+Funding!CO40+Operations!CO42+Waterfall!CO59+Reserves!CO27</f>
        <v>6.65400036262183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-27.3780494732752</v>
      </c>
      <c r="AA15" s="19" t="n">
        <f aca="false">Z15+AA9-Waterfall!AA57</f>
        <v>-82.1316864743361</v>
      </c>
      <c r="AB15" s="19" t="n">
        <f aca="false">AA15+AB9-Waterfall!AB57</f>
        <v>-131.959061151786</v>
      </c>
      <c r="AC15" s="19" t="n">
        <f aca="false">AB15+AC9-Waterfall!AC57</f>
        <v>-182.66774031802</v>
      </c>
      <c r="AD15" s="19" t="n">
        <f aca="false">AC15+AD9-Waterfall!AD57</f>
        <v>-229.846516112869</v>
      </c>
      <c r="AE15" s="19" t="n">
        <f aca="false">AD15+AE9-Waterfall!AE57</f>
        <v>-275.1952830233</v>
      </c>
      <c r="AF15" s="19" t="n">
        <f aca="false">AE15+AF9-Waterfall!AF57</f>
        <v>-321.817437737995</v>
      </c>
      <c r="AG15" s="19" t="n">
        <f aca="false">AF15+AG9-Waterfall!AG57</f>
        <v>-362.471803895071</v>
      </c>
      <c r="AH15" s="19" t="n">
        <f aca="false">AG15+AH9-Waterfall!AH57</f>
        <v>-401.417694650467</v>
      </c>
      <c r="AI15" s="19" t="n">
        <f aca="false">AH15+AI9-Waterfall!AI57</f>
        <v>-439.379306367203</v>
      </c>
      <c r="AJ15" s="19" t="n">
        <f aca="false">AI15+AJ9-Waterfall!AJ57</f>
        <v>-475.714717704475</v>
      </c>
      <c r="AK15" s="19" t="n">
        <f aca="false">AJ15+AK9-Waterfall!AK57</f>
        <v>-510.969002610338</v>
      </c>
      <c r="AL15" s="19" t="n">
        <f aca="false">AK15+AL9-Waterfall!AL57</f>
        <v>-544.545481815232</v>
      </c>
      <c r="AM15" s="19" t="n">
        <f aca="false">AL15+AM9-Waterfall!AM57</f>
        <v>-576.984218516103</v>
      </c>
      <c r="AN15" s="19" t="n">
        <f aca="false">AM15+AN9-Waterfall!AN57</f>
        <v>-607.513869477008</v>
      </c>
      <c r="AO15" s="19" t="n">
        <f aca="false">AN15+AO9-Waterfall!AO57</f>
        <v>-655.882697246531</v>
      </c>
      <c r="AP15" s="19" t="n">
        <f aca="false">AO15+AP9-Waterfall!AP57</f>
        <v>-682.633180919192</v>
      </c>
      <c r="AQ15" s="19" t="n">
        <f aca="false">AP15+AQ9-Waterfall!AQ57</f>
        <v>-707.376077523692</v>
      </c>
      <c r="AR15" s="19" t="n">
        <f aca="false">AQ15+AR9-Waterfall!AR57</f>
        <v>-730.07258859202</v>
      </c>
      <c r="AS15" s="19" t="n">
        <f aca="false">AR15+AS9-Waterfall!AS57</f>
        <v>-750.786938137316</v>
      </c>
      <c r="AT15" s="19" t="n">
        <f aca="false">AS15+AT9-Waterfall!AT57</f>
        <v>-769.090498690538</v>
      </c>
      <c r="AU15" s="19" t="n">
        <f aca="false">AT15+AU9-Waterfall!AU57</f>
        <v>-785.026613848083</v>
      </c>
      <c r="AV15" s="19" t="n">
        <f aca="false">AU15+AV9-Waterfall!AV57</f>
        <v>-798.228012142647</v>
      </c>
      <c r="AW15" s="19" t="n">
        <f aca="false">AV15+AW9-Waterfall!AW57</f>
        <v>-870.835449976517</v>
      </c>
      <c r="AX15" s="19" t="n">
        <f aca="false">AW15+AX9-Waterfall!AX57</f>
        <v>-879.688509656716</v>
      </c>
      <c r="AY15" s="19" t="n">
        <f aca="false">AX15+AY9-Waterfall!AY57</f>
        <v>-885.689830700888</v>
      </c>
      <c r="AZ15" s="19" t="n">
        <f aca="false">AY15+AZ9-Waterfall!AZ57</f>
        <v>-889.535303850876</v>
      </c>
      <c r="BA15" s="19" t="n">
        <f aca="false">AZ15+BA9-Waterfall!BA57</f>
        <v>-890.405875591145</v>
      </c>
      <c r="BB15" s="19" t="n">
        <f aca="false">BA15+BB9-Waterfall!BB57</f>
        <v>-888.940049858163</v>
      </c>
      <c r="BC15" s="19" t="n">
        <f aca="false">BB15+BC9-Waterfall!BC57</f>
        <v>-933.948351000655</v>
      </c>
      <c r="BD15" s="19" t="n">
        <f aca="false">BC15+BD9-Waterfall!BD57</f>
        <v>-926.335588134777</v>
      </c>
      <c r="BE15" s="19" t="n">
        <f aca="false">BD15+BE9-Waterfall!BE57</f>
        <v>-938.069663996262</v>
      </c>
      <c r="BF15" s="19" t="n">
        <f aca="false">BE15+BF9-Waterfall!BF57</f>
        <v>-923.017274481128</v>
      </c>
      <c r="BG15" s="19" t="n">
        <f aca="false">BF15+BG9-Waterfall!BG57</f>
        <v>-903.105691613404</v>
      </c>
      <c r="BH15" s="19" t="n">
        <f aca="false">BG15+BH9-Waterfall!BH57</f>
        <v>-879.413007069085</v>
      </c>
      <c r="BI15" s="19" t="n">
        <f aca="false">BH15+BI9-Waterfall!BI57</f>
        <v>-850.35797901067</v>
      </c>
      <c r="BJ15" s="19" t="n">
        <f aca="false">BI15+BJ9-Waterfall!BJ57</f>
        <v>-817.35353808102</v>
      </c>
      <c r="BK15" s="19" t="n">
        <f aca="false">BJ15+BK9-Waterfall!BK57</f>
        <v>-778.120445982288</v>
      </c>
      <c r="BL15" s="19" t="n">
        <f aca="false">BK15+BL9-Waterfall!BL57</f>
        <v>-734.554543022205</v>
      </c>
      <c r="BM15" s="19" t="n">
        <f aca="false">BL15+BM9-Waterfall!BM57</f>
        <v>-684.037550026318</v>
      </c>
      <c r="BN15" s="19" t="n">
        <f aca="false">BM15+BN9-Waterfall!BN57</f>
        <v>-628.766788716081</v>
      </c>
      <c r="BO15" s="19" t="n">
        <f aca="false">BN15+BO9-Waterfall!BO57</f>
        <v>-565.342161192652</v>
      </c>
      <c r="BP15" s="19" t="n">
        <f aca="false">BO15+BP9-Waterfall!BP57</f>
        <v>-496.947139742013</v>
      </c>
      <c r="BQ15" s="19" t="n">
        <f aca="false">BP15+BQ9-Waterfall!BQ57</f>
        <v>-420.916637172497</v>
      </c>
      <c r="BR15" s="19" t="n">
        <f aca="false">BQ15+BR9-Waterfall!BR57</f>
        <v>-341.474302595291</v>
      </c>
      <c r="BS15" s="19" t="n">
        <f aca="false">BR15+BS9-Waterfall!BS57</f>
        <v>-303.279714090325</v>
      </c>
      <c r="BT15" s="19" t="n">
        <f aca="false">BS15+BT9-Waterfall!BT57</f>
        <v>-267.587508766701</v>
      </c>
      <c r="BU15" s="19" t="n">
        <f aca="false">BT15+BU9-Waterfall!BU57</f>
        <v>-358.38877077715</v>
      </c>
      <c r="BV15" s="19" t="n">
        <f aca="false">BU15+BV9-Waterfall!BV57</f>
        <v>-334.032447264838</v>
      </c>
      <c r="BW15" s="19" t="n">
        <f aca="false">BV15+BW9-Waterfall!BW57</f>
        <v>-308.155874351591</v>
      </c>
      <c r="BX15" s="19" t="n">
        <f aca="false">BW15+BX9-Waterfall!BX57</f>
        <v>-278.950144513025</v>
      </c>
      <c r="BY15" s="19" t="n">
        <f aca="false">BX15+BY9-Waterfall!BY57</f>
        <v>-248.233209897025</v>
      </c>
      <c r="BZ15" s="19" t="n">
        <f aca="false">BY15+BZ9-Waterfall!BZ57</f>
        <v>-218.159859599001</v>
      </c>
      <c r="CA15" s="19" t="n">
        <f aca="false">BZ15+CA9-Waterfall!CA57</f>
        <v>-176.334784005027</v>
      </c>
      <c r="CB15" s="19" t="n">
        <f aca="false">CA15+CB9-Waterfall!CB57</f>
        <v>-130.619400647747</v>
      </c>
      <c r="CC15" s="19" t="n">
        <f aca="false">CB15+CC9-Waterfall!CC57</f>
        <v>-83.2871749005405</v>
      </c>
      <c r="CD15" s="19" t="n">
        <f aca="false">CC15+CD9-Waterfall!CD57</f>
        <v>-34.0746627332414</v>
      </c>
      <c r="CE15" s="19" t="n">
        <f aca="false">CD15+CE9-Waterfall!CE57</f>
        <v>15.9650030204428</v>
      </c>
      <c r="CF15" s="19" t="n">
        <f aca="false">CE15+CF9-Waterfall!CF57</f>
        <v>68.0399360102866</v>
      </c>
      <c r="CG15" s="19" t="n">
        <f aca="false">CF15+CG9-Waterfall!CG57</f>
        <v>-0.369977431796372</v>
      </c>
      <c r="CH15" s="19" t="n">
        <f aca="false">CG15+CH9-Waterfall!CH57</f>
        <v>11.3693016432603</v>
      </c>
      <c r="CI15" s="19" t="n">
        <f aca="false">CH15+CI9-Waterfall!CI57</f>
        <v>24.4438316673844</v>
      </c>
      <c r="CJ15" s="19" t="n">
        <f aca="false">CI15+CJ9-Waterfall!CJ57</f>
        <v>38.0436200530621</v>
      </c>
      <c r="CK15" s="19" t="n">
        <f aca="false">CJ15+CK9-Waterfall!CK57</f>
        <v>16.3553235595298</v>
      </c>
      <c r="CL15" s="19" t="n">
        <f aca="false">CK15+CL9-Waterfall!CL57</f>
        <v>27.5689884781254</v>
      </c>
      <c r="CM15" s="19" t="n">
        <f aca="false">CL15+CM9-Waterfall!CM57</f>
        <v>40.3182073549466</v>
      </c>
      <c r="CN15" s="19" t="n">
        <f aca="false">CM15+CN9-Waterfall!CN57</f>
        <v>53.6442131223694</v>
      </c>
      <c r="CO15" s="19" t="n">
        <f aca="false">CN15+CO9-Waterfall!CO57</f>
        <v>68.5689351034959</v>
      </c>
      <c r="CP15" s="19" t="n">
        <f aca="false">CO15+CP9-Waterfall!CP57</f>
        <v>-56.9573436016231</v>
      </c>
      <c r="CQ15" s="19" t="n">
        <f aca="false">CP15+CQ9-Waterfall!CQ57</f>
        <v>-56.9573436016232</v>
      </c>
      <c r="CR15" s="19" t="n">
        <f aca="false">CQ15+CR9-Waterfall!CR57</f>
        <v>-56.9573436016232</v>
      </c>
      <c r="CS15" s="19" t="n">
        <f aca="false">CR15+CS9-Waterfall!CS57</f>
        <v>-56.9573436016233</v>
      </c>
      <c r="CT15" s="19" t="n">
        <f aca="false">CS15+CT9-Waterfall!CT57</f>
        <v>-56.9573436016233</v>
      </c>
      <c r="CU15" s="19" t="n">
        <f aca="false">CT15+CU9-Waterfall!CU57</f>
        <v>-56.9573436016234</v>
      </c>
      <c r="CV15" s="19" t="n">
        <f aca="false">CU15+CV9-Waterfall!CV57</f>
        <v>-56.9573436016234</v>
      </c>
      <c r="CW15" s="19" t="n">
        <f aca="false">CV15+CW9-Waterfall!CW57</f>
        <v>-56.9573436016235</v>
      </c>
      <c r="CX15" s="19" t="n">
        <f aca="false">CW15+CX9-Waterfall!CX57</f>
        <v>-56.9573436016236</v>
      </c>
      <c r="CY15" s="19" t="n">
        <f aca="false">CX15+CY9-Waterfall!CY57</f>
        <v>-56.9573436016236</v>
      </c>
      <c r="CZ15" s="19" t="n">
        <f aca="false">CY15+CZ9-Waterfall!CZ57</f>
        <v>-56.9573436016237</v>
      </c>
      <c r="DA15" s="19" t="n">
        <f aca="false">CZ15+DA9-Waterfall!DA57</f>
        <v>-56.9573436016237</v>
      </c>
      <c r="DB15" s="19" t="n">
        <f aca="false">DA15+DB9-Waterfall!DB57</f>
        <v>-56.9573436016238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29.5792941283462</v>
      </c>
      <c r="AA16" s="19" t="n">
        <f aca="false">AA13+AA14+AA15</f>
        <v>-25.1743428727148</v>
      </c>
      <c r="AB16" s="19" t="n">
        <f aca="false">AB13+AB14+AB15</f>
        <v>-75.0017175501642</v>
      </c>
      <c r="AC16" s="19" t="n">
        <f aca="false">AC13+AC14+AC15</f>
        <v>-125.710396716399</v>
      </c>
      <c r="AD16" s="19" t="n">
        <f aca="false">AD13+AD14+AD15</f>
        <v>-172.889172511247</v>
      </c>
      <c r="AE16" s="19" t="n">
        <f aca="false">AE13+AE14+AE15</f>
        <v>-218.237939421678</v>
      </c>
      <c r="AF16" s="19" t="n">
        <f aca="false">AF13+AF14+AF15</f>
        <v>-264.860094136374</v>
      </c>
      <c r="AG16" s="19" t="n">
        <f aca="false">AG13+AG14+AG15</f>
        <v>-305.51446029345</v>
      </c>
      <c r="AH16" s="19" t="n">
        <f aca="false">AH13+AH14+AH15</f>
        <v>-344.460351048845</v>
      </c>
      <c r="AI16" s="19" t="n">
        <f aca="false">AI13+AI14+AI15</f>
        <v>-382.421962765582</v>
      </c>
      <c r="AJ16" s="19" t="n">
        <f aca="false">AJ13+AJ14+AJ15</f>
        <v>-418.757374102854</v>
      </c>
      <c r="AK16" s="19" t="n">
        <f aca="false">AK13+AK14+AK15</f>
        <v>-454.011659008717</v>
      </c>
      <c r="AL16" s="19" t="n">
        <f aca="false">AL13+AL14+AL15</f>
        <v>-487.588138213611</v>
      </c>
      <c r="AM16" s="19" t="n">
        <f aca="false">AM13+AM14+AM15</f>
        <v>-520.026874914482</v>
      </c>
      <c r="AN16" s="19" t="n">
        <f aca="false">AN13+AN14+AN15</f>
        <v>-550.556525875387</v>
      </c>
      <c r="AO16" s="19" t="n">
        <f aca="false">AO13+AO14+AO15</f>
        <v>-598.925353644909</v>
      </c>
      <c r="AP16" s="19" t="n">
        <f aca="false">AP13+AP14+AP15</f>
        <v>-625.675837317571</v>
      </c>
      <c r="AQ16" s="19" t="n">
        <f aca="false">AQ13+AQ14+AQ15</f>
        <v>-650.41873392207</v>
      </c>
      <c r="AR16" s="19" t="n">
        <f aca="false">AR13+AR14+AR15</f>
        <v>-673.115244990399</v>
      </c>
      <c r="AS16" s="19" t="n">
        <f aca="false">AS13+AS14+AS15</f>
        <v>-693.829594535695</v>
      </c>
      <c r="AT16" s="19" t="n">
        <f aca="false">AT13+AT14+AT15</f>
        <v>-712.133155088917</v>
      </c>
      <c r="AU16" s="19" t="n">
        <f aca="false">AU13+AU14+AU15</f>
        <v>-728.069270246462</v>
      </c>
      <c r="AV16" s="19" t="n">
        <f aca="false">AV13+AV14+AV15</f>
        <v>-741.270668541026</v>
      </c>
      <c r="AW16" s="19" t="n">
        <f aca="false">AW13+AW14+AW15</f>
        <v>-813.878106374896</v>
      </c>
      <c r="AX16" s="19" t="n">
        <f aca="false">AX13+AX14+AX15</f>
        <v>-822.731166055095</v>
      </c>
      <c r="AY16" s="19" t="n">
        <f aca="false">AY13+AY14+AY15</f>
        <v>-828.732487099267</v>
      </c>
      <c r="AZ16" s="19" t="n">
        <f aca="false">AZ13+AZ14+AZ15</f>
        <v>-832.577960249255</v>
      </c>
      <c r="BA16" s="19" t="n">
        <f aca="false">BA13+BA14+BA15</f>
        <v>-833.448531989523</v>
      </c>
      <c r="BB16" s="19" t="n">
        <f aca="false">BB13+BB14+BB15</f>
        <v>-831.982706256542</v>
      </c>
      <c r="BC16" s="19" t="n">
        <f aca="false">BC13+BC14+BC15</f>
        <v>-876.991007399033</v>
      </c>
      <c r="BD16" s="19" t="n">
        <f aca="false">BD13+BD14+BD15</f>
        <v>-869.378244533156</v>
      </c>
      <c r="BE16" s="19" t="n">
        <f aca="false">BE13+BE14+BE15</f>
        <v>-881.11232039464</v>
      </c>
      <c r="BF16" s="19" t="n">
        <f aca="false">BF13+BF14+BF15</f>
        <v>-866.059930879507</v>
      </c>
      <c r="BG16" s="19" t="n">
        <f aca="false">BG13+BG14+BG15</f>
        <v>-846.148348011783</v>
      </c>
      <c r="BH16" s="19" t="n">
        <f aca="false">BH13+BH14+BH15</f>
        <v>-822.455663467463</v>
      </c>
      <c r="BI16" s="19" t="n">
        <f aca="false">BI13+BI14+BI15</f>
        <v>-793.400635409049</v>
      </c>
      <c r="BJ16" s="19" t="n">
        <f aca="false">BJ13+BJ14+BJ15</f>
        <v>-760.396194479399</v>
      </c>
      <c r="BK16" s="19" t="n">
        <f aca="false">BK13+BK14+BK15</f>
        <v>-721.163102380667</v>
      </c>
      <c r="BL16" s="19" t="n">
        <f aca="false">BL13+BL14+BL15</f>
        <v>-677.597199420584</v>
      </c>
      <c r="BM16" s="19" t="n">
        <f aca="false">BM13+BM14+BM15</f>
        <v>-627.080206424696</v>
      </c>
      <c r="BN16" s="19" t="n">
        <f aca="false">BN13+BN14+BN15</f>
        <v>-571.80944511446</v>
      </c>
      <c r="BO16" s="19" t="n">
        <f aca="false">BO13+BO14+BO15</f>
        <v>-508.38481759103</v>
      </c>
      <c r="BP16" s="19" t="n">
        <f aca="false">BP13+BP14+BP15</f>
        <v>-439.989796140392</v>
      </c>
      <c r="BQ16" s="19" t="n">
        <f aca="false">BQ13+BQ14+BQ15</f>
        <v>-363.959293570876</v>
      </c>
      <c r="BR16" s="19" t="n">
        <f aca="false">BR13+BR14+BR15</f>
        <v>-284.516958993669</v>
      </c>
      <c r="BS16" s="19" t="n">
        <f aca="false">BS13+BS14+BS15</f>
        <v>-246.322370488704</v>
      </c>
      <c r="BT16" s="19" t="n">
        <f aca="false">BT13+BT14+BT15</f>
        <v>-210.63016516508</v>
      </c>
      <c r="BU16" s="19" t="n">
        <f aca="false">BU13+BU14+BU15</f>
        <v>-301.431427175529</v>
      </c>
      <c r="BV16" s="19" t="n">
        <f aca="false">BV13+BV14+BV15</f>
        <v>-277.075103663217</v>
      </c>
      <c r="BW16" s="19" t="n">
        <f aca="false">BW13+BW14+BW15</f>
        <v>-251.19853074997</v>
      </c>
      <c r="BX16" s="19" t="n">
        <f aca="false">BX13+BX14+BX15</f>
        <v>-221.992800911403</v>
      </c>
      <c r="BY16" s="19" t="n">
        <f aca="false">BY13+BY14+BY15</f>
        <v>-191.275866295403</v>
      </c>
      <c r="BZ16" s="19" t="n">
        <f aca="false">BZ13+BZ14+BZ15</f>
        <v>-161.202515997379</v>
      </c>
      <c r="CA16" s="19" t="n">
        <f aca="false">CA13+CA14+CA15</f>
        <v>-119.377440403406</v>
      </c>
      <c r="CB16" s="19" t="n">
        <f aca="false">CB13+CB14+CB15</f>
        <v>-73.6620570461251</v>
      </c>
      <c r="CC16" s="19" t="n">
        <f aca="false">CC13+CC14+CC15</f>
        <v>-26.3298312989191</v>
      </c>
      <c r="CD16" s="19" t="n">
        <f aca="false">CD13+CD14+CD15</f>
        <v>22.8826808683799</v>
      </c>
      <c r="CE16" s="19" t="n">
        <f aca="false">CE13+CE14+CE15</f>
        <v>72.9223466220642</v>
      </c>
      <c r="CF16" s="19" t="n">
        <f aca="false">CF13+CF14+CF15</f>
        <v>124.997279611908</v>
      </c>
      <c r="CG16" s="19" t="n">
        <f aca="false">CG13+CG14+CG15</f>
        <v>56.587366169825</v>
      </c>
      <c r="CH16" s="19" t="n">
        <f aca="false">CH13+CH14+CH15</f>
        <v>68.3266452448817</v>
      </c>
      <c r="CI16" s="19" t="n">
        <f aca="false">CI13+CI14+CI15</f>
        <v>81.4011752690057</v>
      </c>
      <c r="CJ16" s="19" t="n">
        <f aca="false">CJ13+CJ14+CJ15</f>
        <v>95.0009636546835</v>
      </c>
      <c r="CK16" s="19" t="n">
        <f aca="false">CK13+CK14+CK15</f>
        <v>73.3126671611512</v>
      </c>
      <c r="CL16" s="19" t="n">
        <f aca="false">CL13+CL14+CL15</f>
        <v>84.5263320797467</v>
      </c>
      <c r="CM16" s="19" t="n">
        <f aca="false">CM13+CM14+CM15</f>
        <v>97.2755509565679</v>
      </c>
      <c r="CN16" s="19" t="n">
        <f aca="false">CN13+CN14+CN15</f>
        <v>110.601556723991</v>
      </c>
      <c r="CO16" s="19" t="n">
        <f aca="false">CO13+CO14+CO15</f>
        <v>125.526278705117</v>
      </c>
      <c r="CP16" s="19" t="n">
        <f aca="false">CP13+CP14+CP15</f>
        <v>-1.72661884789704E-012</v>
      </c>
      <c r="CQ16" s="19" t="n">
        <f aca="false">CQ13+CQ14+CQ15</f>
        <v>-1.78346226675785E-012</v>
      </c>
      <c r="CR16" s="19" t="n">
        <f aca="false">CR13+CR14+CR15</f>
        <v>-1.84030568561866E-012</v>
      </c>
      <c r="CS16" s="19" t="n">
        <f aca="false">CS13+CS14+CS15</f>
        <v>-1.89714910447947E-012</v>
      </c>
      <c r="CT16" s="19" t="n">
        <f aca="false">CT13+CT14+CT15</f>
        <v>-1.95399252334028E-012</v>
      </c>
      <c r="CU16" s="19" t="n">
        <f aca="false">CU13+CU14+CU15</f>
        <v>-2.01083594220108E-012</v>
      </c>
      <c r="CV16" s="19" t="n">
        <f aca="false">CV13+CV14+CV15</f>
        <v>-2.06767936106189E-012</v>
      </c>
      <c r="CW16" s="19" t="n">
        <f aca="false">CW13+CW14+CW15</f>
        <v>-2.1245227799227E-012</v>
      </c>
      <c r="CX16" s="19" t="n">
        <f aca="false">CX13+CX14+CX15</f>
        <v>-2.18136619878351E-012</v>
      </c>
      <c r="CY16" s="19" t="n">
        <f aca="false">CY13+CY14+CY15</f>
        <v>-2.23820961764432E-012</v>
      </c>
      <c r="CZ16" s="19" t="n">
        <f aca="false">CZ13+CZ14+CZ15</f>
        <v>-2.29505303650512E-012</v>
      </c>
      <c r="DA16" s="19" t="n">
        <f aca="false">DA13+DA14+DA15</f>
        <v>-2.35189645536593E-012</v>
      </c>
      <c r="DB16" s="19" t="n">
        <f aca="false">DB13+DB14+DB15</f>
        <v>-2.40873987422674E-012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-0</v>
      </c>
      <c r="CD17" s="19" t="n">
        <f aca="false">ROUND(CD11-CD12-CD16,6)</f>
        <v>-0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-0</v>
      </c>
      <c r="CH17" s="19" t="n">
        <f aca="false">ROUND(CH11-CH12-CH16,6)</f>
        <v>-0</v>
      </c>
      <c r="CI17" s="19" t="n">
        <f aca="false">ROUND(CI11-CI12-CI16,6)</f>
        <v>-0</v>
      </c>
      <c r="CJ17" s="19" t="n">
        <f aca="false">ROUND(CJ11-CJ12-CJ16,6)</f>
        <v>-0</v>
      </c>
      <c r="CK17" s="19" t="n">
        <f aca="false">ROUND(CK11-CK12-CK16,6)</f>
        <v>-0</v>
      </c>
      <c r="CL17" s="19" t="n">
        <f aca="false">ROUND(CL11-CL12-CL16,6)</f>
        <v>-0</v>
      </c>
      <c r="CM17" s="19" t="n">
        <f aca="false">ROUND(CM11-CM12-CM16,6)</f>
        <v>-0</v>
      </c>
      <c r="CN17" s="19" t="n">
        <f aca="false">ROUND(CN11-CN12-CN16,6)</f>
        <v>-0</v>
      </c>
      <c r="CO17" s="19" t="n">
        <f aca="false">ROUND(CO11-CO12-CO16,6)</f>
        <v>0</v>
      </c>
      <c r="CP17" s="19" t="n">
        <f aca="false">ROUND(CP11-CP12-CP16,6)</f>
        <v>-0</v>
      </c>
      <c r="CQ17" s="19" t="n">
        <f aca="false">ROUND(CQ11-CQ12-CQ16,6)</f>
        <v>-0</v>
      </c>
      <c r="CR17" s="19" t="n">
        <f aca="false">ROUND(CR11-CR12-CR16,6)</f>
        <v>-0</v>
      </c>
      <c r="CS17" s="19" t="n">
        <f aca="false">ROUND(CS11-CS12-CS16,6)</f>
        <v>-0</v>
      </c>
      <c r="CT17" s="19" t="n">
        <f aca="false">ROUND(CT11-CT12-CT16,6)</f>
        <v>-0</v>
      </c>
      <c r="CU17" s="19" t="n">
        <f aca="false">ROUND(CU11-CU12-CU16,6)</f>
        <v>-0</v>
      </c>
      <c r="CV17" s="19" t="n">
        <f aca="false">ROUND(CV11-CV12-CV16,6)</f>
        <v>-0</v>
      </c>
      <c r="CW17" s="19" t="n">
        <f aca="false">ROUND(CW11-CW12-CW16,6)</f>
        <v>-0</v>
      </c>
      <c r="CX17" s="19" t="n">
        <f aca="false">ROUND(CX11-CX12-CX16,6)</f>
        <v>-0</v>
      </c>
      <c r="CY17" s="19" t="n">
        <f aca="false">ROUND(CY11-CY12-CY16,6)</f>
        <v>-0</v>
      </c>
      <c r="CZ17" s="19" t="n">
        <f aca="false">ROUND(CZ11-CZ12-CZ16,6)</f>
        <v>-0</v>
      </c>
      <c r="DA17" s="19" t="n">
        <f aca="false">ROUND(DA11-DA12-DA16,6)</f>
        <v>-0</v>
      </c>
      <c r="DB17" s="19" t="n">
        <f aca="false">ROUND(DB11-DB12-DB16,6)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1.58669111415317</v>
      </c>
      <c r="AE6" s="31" t="n">
        <f aca="false">IF(AND(Time!AE30=1,Debt!AE68&gt;Inputs!$F$9),Waterfall!AE7/Debt!AE68,"")</f>
        <v>1.67064465799941</v>
      </c>
      <c r="AF6" s="31" t="n">
        <f aca="false">IF(AND(Time!AF30=1,Debt!AF68&gt;Inputs!$F$9),Waterfall!AF7/Debt!AF68,"")</f>
        <v>1.81503719128057</v>
      </c>
      <c r="AG6" s="31" t="n">
        <f aca="false">IF(AND(Time!AG30=1,Debt!AG68&gt;Inputs!$F$9),Waterfall!AG7/Debt!AG68,"")</f>
        <v>1.95154698140791</v>
      </c>
      <c r="AH6" s="31" t="n">
        <f aca="false">IF(AND(Time!AH30=1,Debt!AH68&gt;Inputs!$F$9),Waterfall!AH7/Debt!AH68,"")</f>
        <v>2.00705129617707</v>
      </c>
      <c r="AI6" s="31" t="n">
        <f aca="false">IF(AND(Time!AI30=1,Debt!AI68&gt;Inputs!$F$9),Waterfall!AI7/Debt!AI68,"")</f>
        <v>1.96075554651548</v>
      </c>
      <c r="AJ6" s="31" t="n">
        <f aca="false">IF(AND(Time!AJ30=1,Debt!AJ68&gt;Inputs!$F$9),Waterfall!AJ7/Debt!AJ68,"")</f>
        <v>2.02550352383447</v>
      </c>
      <c r="AK6" s="31" t="n">
        <f aca="false">IF(AND(Time!AK30=1,Debt!AK68&gt;Inputs!$F$9),Waterfall!AK7/Debt!AK68,"")</f>
        <v>2.11880994768613</v>
      </c>
      <c r="AL6" s="31" t="n">
        <f aca="false">IF(AND(Time!AL30=1,Debt!AL68&gt;Inputs!$F$9),Waterfall!AL7/Debt!AL68,"")</f>
        <v>2.18124457691219</v>
      </c>
      <c r="AM6" s="31" t="n">
        <f aca="false">IF(AND(Time!AM30=1,Debt!AM68&gt;Inputs!$F$9),Waterfall!AM7/Debt!AM68,"")</f>
        <v>2.28797232951197</v>
      </c>
      <c r="AN6" s="31" t="n">
        <f aca="false">IF(AND(Time!AN30=1,Debt!AN68&gt;Inputs!$F$9),Waterfall!AN7/Debt!AN68,"")</f>
        <v>2.35484350027861</v>
      </c>
      <c r="AO6" s="31" t="n">
        <f aca="false">IF(AND(Time!AO30=1,Debt!AO68&gt;Inputs!$F$9),Waterfall!AO7/Debt!AO68,"")</f>
        <v>2.60592185929916</v>
      </c>
      <c r="AP6" s="31" t="n">
        <f aca="false">IF(AND(Time!AP30=1,Debt!AP68&gt;Inputs!$F$9),Waterfall!AP7/Debt!AP68,"")</f>
        <v>2.6785104956258</v>
      </c>
      <c r="AQ6" s="31" t="n">
        <f aca="false">IF(AND(Time!AQ30=1,Debt!AQ68&gt;Inputs!$F$9),Waterfall!AQ7/Debt!AQ68,"")</f>
        <v>2.3551568852544</v>
      </c>
      <c r="AR6" s="31" t="n">
        <f aca="false">IF(AND(Time!AR30=1,Debt!AR68&gt;Inputs!$F$9),Waterfall!AR7/Debt!AR68,"")</f>
        <v>2.43848272844225</v>
      </c>
      <c r="AS6" s="31" t="n">
        <f aca="false">IF(AND(Time!AS30=1,Debt!AS68&gt;Inputs!$F$9),Waterfall!AS7/Debt!AS68,"")</f>
        <v>2.56013141427097</v>
      </c>
      <c r="AT6" s="31" t="n">
        <f aca="false">IF(AND(Time!AT30=1,Debt!AT68&gt;Inputs!$F$9),Waterfall!AT7/Debt!AT68,"")</f>
        <v>2.63946528067087</v>
      </c>
      <c r="AU6" s="31" t="n">
        <f aca="false">IF(AND(Time!AU30=1,Debt!AU68&gt;Inputs!$F$9),Waterfall!AU7/Debt!AU68,"")</f>
        <v>2.77899732318336</v>
      </c>
      <c r="AV6" s="31" t="n">
        <f aca="false">IF(AND(Time!AV30=1,Debt!AV68&gt;Inputs!$F$9),Waterfall!AV7/Debt!AV68,"")</f>
        <v>2.86294853286836</v>
      </c>
      <c r="AW6" s="31" t="n">
        <f aca="false">IF(AND(Time!AW30=1,Debt!AW68&gt;Inputs!$F$9),Waterfall!AW7/Debt!AW68,"")</f>
        <v>2.85602723709868</v>
      </c>
      <c r="AX6" s="31" t="n">
        <f aca="false">IF(AND(Time!AX30=1,Debt!AX68&gt;Inputs!$F$9),Waterfall!AX7/Debt!AX68,"")</f>
        <v>2.86627320280948</v>
      </c>
      <c r="AY6" s="31" t="n">
        <f aca="false">IF(AND(Time!AY30=1,Debt!AY68&gt;Inputs!$F$9),Waterfall!AY7/Debt!AY68,"")</f>
        <v>2.87706489418886</v>
      </c>
      <c r="AZ6" s="31" t="n">
        <f aca="false">IF(AND(Time!AZ30=1,Debt!AZ68&gt;Inputs!$F$9),Waterfall!AZ7/Debt!AZ68,"")</f>
        <v>2.88756759814711</v>
      </c>
      <c r="BA6" s="31" t="n">
        <f aca="false">IF(AND(Time!BA30=1,Debt!BA68&gt;Inputs!$F$9),Waterfall!BA7/Debt!BA68,"")</f>
        <v>2.88597653045869</v>
      </c>
      <c r="BB6" s="31" t="n">
        <f aca="false">IF(AND(Time!BB30=1,Debt!BB68&gt;Inputs!$F$9),Waterfall!BB7/Debt!BB68,"")</f>
        <v>2.89660327703811</v>
      </c>
      <c r="BC6" s="31" t="n">
        <f aca="false">IF(AND(Time!BC30=1,Debt!BC68&gt;Inputs!$F$9),Waterfall!BC7/Debt!BC68,"")</f>
        <v>2.87155319182657</v>
      </c>
      <c r="BD6" s="31" t="n">
        <f aca="false">IF(AND(Time!BD30=1,Debt!BD68&gt;Inputs!$F$9),Waterfall!BD7/Debt!BD68,"")</f>
        <v>2.88112270094324</v>
      </c>
      <c r="BE6" s="31" t="n">
        <f aca="false">IF(AND(Time!BE30=1,Debt!BE68&gt;Inputs!$F$9),Waterfall!BE7/Debt!BE68,"")</f>
        <v>2.87121791049</v>
      </c>
      <c r="BF6" s="31" t="n">
        <f aca="false">IF(AND(Time!BF30=1,Debt!BF68&gt;Inputs!$F$9),Waterfall!BF7/Debt!BF68,"")</f>
        <v>2.88038422471505</v>
      </c>
      <c r="BG6" s="31" t="n">
        <f aca="false">IF(AND(Time!BG30=1,Debt!BG68&gt;Inputs!$F$9),Waterfall!BG7/Debt!BG68,"")</f>
        <v>2.88029965267987</v>
      </c>
      <c r="BH6" s="31" t="n">
        <f aca="false">IF(AND(Time!BH30=1,Debt!BH68&gt;Inputs!$F$9),Waterfall!BH7/Debt!BH68,"")</f>
        <v>2.88946648488783</v>
      </c>
      <c r="BI6" s="31" t="n">
        <f aca="false">IF(AND(Time!BI30=1,Debt!BI68&gt;Inputs!$F$9),Waterfall!BI7/Debt!BI68,"")</f>
        <v>2.88935917488319</v>
      </c>
      <c r="BJ6" s="31" t="n">
        <f aca="false">IF(AND(Time!BJ30=1,Debt!BJ68&gt;Inputs!$F$9),Waterfall!BJ7/Debt!BJ68,"")</f>
        <v>2.89851737573975</v>
      </c>
      <c r="BK6" s="31" t="n">
        <f aca="false">IF(AND(Time!BK30=1,Debt!BK68&gt;Inputs!$F$9),Waterfall!BK7/Debt!BK68,"")</f>
        <v>2.89839797274656</v>
      </c>
      <c r="BL6" s="31" t="n">
        <f aca="false">IF(AND(Time!BL30=1,Debt!BL68&gt;Inputs!$F$9),Waterfall!BL7/Debt!BL68,"")</f>
        <v>2.90755251040379</v>
      </c>
      <c r="BM6" s="31" t="n">
        <f aca="false">IF(AND(Time!BM30=1,Debt!BM68&gt;Inputs!$F$9),Waterfall!BM7/Debt!BM68,"")</f>
        <v>2.90743089888548</v>
      </c>
      <c r="BN6" s="31" t="n">
        <f aca="false">IF(AND(Time!BN30=1,Debt!BN68&gt;Inputs!$F$9),Waterfall!BN7/Debt!BN68,"")</f>
        <v>2.91658381839052</v>
      </c>
      <c r="BO6" s="31" t="n">
        <f aca="false">IF(AND(Time!BO30=1,Debt!BO68&gt;Inputs!$F$9),Waterfall!BO7/Debt!BO68,"")</f>
        <v>2.96512368211945</v>
      </c>
      <c r="BP6" s="31" t="n">
        <f aca="false">IF(AND(Time!BP30=1,Debt!BP68&gt;Inputs!$F$9),Waterfall!BP7/Debt!BP68,"")</f>
        <v>2.97549278673883</v>
      </c>
      <c r="BQ6" s="31" t="n">
        <f aca="false">IF(AND(Time!BQ30=1,Debt!BQ68&gt;Inputs!$F$9),Waterfall!BQ7/Debt!BQ68,"")</f>
        <v>2.97308926884996</v>
      </c>
      <c r="BR6" s="31" t="n">
        <f aca="false">IF(AND(Time!BR30=1,Debt!BR68&gt;Inputs!$F$9),Waterfall!BR7/Debt!BR68,"")</f>
        <v>2.98122829920872</v>
      </c>
      <c r="BS6" s="31" t="n">
        <f aca="false">IF(AND(Time!BS30=1,Debt!BS68&gt;Inputs!$F$9),Waterfall!BS7/Debt!BS68,"")</f>
        <v>2.97837593417852</v>
      </c>
      <c r="BT6" s="31" t="n">
        <f aca="false">IF(AND(Time!BT30=1,Debt!BT68&gt;Inputs!$F$9),Waterfall!BT7/Debt!BT68,"")</f>
        <v>2.98646227472899</v>
      </c>
      <c r="BU6" s="31" t="n">
        <f aca="false">IF(AND(Time!BU30=1,Debt!BU68&gt;Inputs!$F$9),Waterfall!BU7/Debt!BU68,"")</f>
        <v>2.93784332424374</v>
      </c>
      <c r="BV6" s="31" t="n">
        <f aca="false">IF(AND(Time!BV30=1,Debt!BV68&gt;Inputs!$F$9),Waterfall!BV7/Debt!BV68,"")</f>
        <v>2.94440403012882</v>
      </c>
      <c r="BW6" s="31" t="n">
        <f aca="false">IF(AND(Time!BW30=1,Debt!BW68&gt;Inputs!$F$9),Waterfall!BW7/Debt!BW68,"")</f>
        <v>2.8178346723226</v>
      </c>
      <c r="BX6" s="31" t="n">
        <f aca="false">IF(AND(Time!BX30=1,Debt!BX68&gt;Inputs!$F$9),Waterfall!BX7/Debt!BX68,"")</f>
        <v>2.32627606957825</v>
      </c>
      <c r="BY6" s="31" t="n">
        <f aca="false">IF(AND(Time!BY30=1,Debt!BY68&gt;Inputs!$F$9),Waterfall!BY7/Debt!BY68,"")</f>
        <v>2.31021479920013</v>
      </c>
      <c r="BZ6" s="31" t="n">
        <f aca="false">IF(AND(Time!BZ30=1,Debt!BZ68&gt;Inputs!$F$9),Waterfall!BZ7/Debt!BZ68,"")</f>
        <v>2.30663405432159</v>
      </c>
      <c r="CA6" s="31" t="n">
        <f aca="false">IF(AND(Time!CA30=1,Debt!CA68&gt;Inputs!$F$9),Waterfall!CA7/Debt!CA68,"")</f>
        <v>2.25719778549174</v>
      </c>
      <c r="CB6" s="31" t="n">
        <f aca="false">IF(AND(Time!CB30=1,Debt!CB68&gt;Inputs!$F$9),Waterfall!CB7/Debt!CB68,"")</f>
        <v>2.25355030445936</v>
      </c>
      <c r="CC6" s="31" t="n">
        <f aca="false">IF(AND(Time!CC30=1,Debt!CC68&gt;Inputs!$F$9),Waterfall!CC7/Debt!CC68,"")</f>
        <v>2.23908121468867</v>
      </c>
      <c r="CD6" s="31" t="n">
        <f aca="false">IF(AND(Time!CD30=1,Debt!CD68&gt;Inputs!$F$9),Waterfall!CD7/Debt!CD68,"")</f>
        <v>2.23507293967521</v>
      </c>
      <c r="CE6" s="31" t="n">
        <f aca="false">IF(AND(Time!CE30=1,Debt!CE68&gt;Inputs!$F$9),Waterfall!CE7/Debt!CE68,"")</f>
        <v>2.2023727440049</v>
      </c>
      <c r="CF6" s="31" t="n">
        <f aca="false">IF(AND(Time!CF30=1,Debt!CF68&gt;Inputs!$F$9),Waterfall!CF7/Debt!CF68,"")</f>
        <v>2.49855820782126</v>
      </c>
      <c r="CG6" s="31" t="n">
        <f aca="false">IF(AND(Time!CG30=1,Debt!CG68&gt;Inputs!$F$9),Waterfall!CG7/Debt!CG68,"")</f>
        <v>2.92695381181709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1.58669111415317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2.58851571509434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1.72416266294168</v>
      </c>
      <c r="AA9" s="31" t="n">
        <f aca="false">IF(AND(Time!AA32=1,Debt!AA68&gt;Inputs!$F$9),Waterfall!AA7/Debt!AA68,"")</f>
        <v>1.74549595140559</v>
      </c>
      <c r="AB9" s="31" t="n">
        <f aca="false">IF(AND(Time!AB32=1,Debt!AB68&gt;Inputs!$F$9),Waterfall!AB7/Debt!AB68,"")</f>
        <v>1.66229822333969</v>
      </c>
      <c r="AC9" s="31" t="n">
        <f aca="false">IF(AND(Time!AC32=1,Debt!AC68&gt;Inputs!$F$9),Waterfall!AC7/Debt!AC68,"")</f>
        <v>1.65588441371643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1.65588441371643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1.63810080356985</v>
      </c>
      <c r="AK11" s="31" t="n">
        <f aca="false">IF(AND(Time!AK30=1,Time!AK47=1,Debt!AK68+Debt!AK98+Debt!AK99&gt;Inputs!$F$9),Waterfall!AK7/(Debt!AK68+Debt!AK98+Debt!AK99),"")</f>
        <v>1.53928571918228</v>
      </c>
      <c r="AL11" s="31" t="n">
        <f aca="false">IF(AND(Time!AL30=1,Time!AL47=1,Debt!AL68+Debt!AL98+Debt!AL99&gt;Inputs!$F$9),Waterfall!AL7/(Debt!AL68+Debt!AL98+Debt!AL99),"")</f>
        <v>1.58825968772321</v>
      </c>
      <c r="AM11" s="31" t="n">
        <f aca="false">IF(AND(Time!AM30=1,Time!AM47=1,Debt!AM68+Debt!AM98+Debt!AM99&gt;Inputs!$F$9),Waterfall!AM7/(Debt!AM68+Debt!AM98+Debt!AM99),"")</f>
        <v>1.66217981775481</v>
      </c>
      <c r="AN11" s="31" t="n">
        <f aca="false">IF(AND(Time!AN30=1,Time!AN47=1,Debt!AN68+Debt!AN98+Debt!AN99&gt;Inputs!$F$9),Waterfall!AN7/(Debt!AN68+Debt!AN98+Debt!AN99),"")</f>
        <v>1.71466466529127</v>
      </c>
      <c r="AO11" s="31" t="n">
        <f aca="false">IF(AND(Time!AO30=1,Time!AO47=1,Debt!AO68+Debt!AO98+Debt!AO99&gt;Inputs!$F$9),Waterfall!AO7/(Debt!AO68+Debt!AO98+Debt!AO99),"")</f>
        <v>1.89316569317823</v>
      </c>
      <c r="AP11" s="31" t="n">
        <f aca="false">IF(AND(Time!AP30=1,Time!AP47=1,Debt!AP68+Debt!AP98+Debt!AP99&gt;Inputs!$F$9),Waterfall!AP7/(Debt!AP68+Debt!AP98+Debt!AP99),"")</f>
        <v>1.93762346914838</v>
      </c>
      <c r="AQ11" s="31" t="n">
        <f aca="false">IF(AND(Time!AQ30=1,Time!AQ47=1,Debt!AQ68+Debt!AQ98+Debt!AQ99&gt;Inputs!$F$9),Waterfall!AQ7/(Debt!AQ68+Debt!AQ98+Debt!AQ99),"")</f>
        <v>1.71115991592323</v>
      </c>
      <c r="AR11" s="31" t="n">
        <f aca="false">IF(AND(Time!AR30=1,Time!AR47=1,Debt!AR68+Debt!AR98+Debt!AR99&gt;Inputs!$F$9),Waterfall!AR7/(Debt!AR68+Debt!AR98+Debt!AR99),"")</f>
        <v>1.77438629498354</v>
      </c>
      <c r="AS11" s="31" t="n">
        <f aca="false">IF(AND(Time!AS30=1,Time!AS47=1,Debt!AS68+Debt!AS98+Debt!AS99&gt;Inputs!$F$9),Waterfall!AS7/(Debt!AS68+Debt!AS98+Debt!AS99),"")</f>
        <v>1.86008595988845</v>
      </c>
      <c r="AT11" s="31" t="n">
        <f aca="false">IF(AND(Time!AT30=1,Time!AT47=1,Debt!AT68+Debt!AT98+Debt!AT99&gt;Inputs!$F$9),Waterfall!AT7/(Debt!AT68+Debt!AT98+Debt!AT99),"")</f>
        <v>1.92210167616571</v>
      </c>
      <c r="AU11" s="31" t="n">
        <f aca="false">IF(AND(Time!AU30=1,Time!AU47=1,Debt!AU68+Debt!AU98+Debt!AU99&gt;Inputs!$F$9),Waterfall!AU7/(Debt!AU68+Debt!AU98+Debt!AU99),"")</f>
        <v>1.99538016806738</v>
      </c>
      <c r="AV11" s="31" t="n">
        <f aca="false">IF(AND(Time!AV30=1,Time!AV47=1,Debt!AV68+Debt!AV98+Debt!AV99&gt;Inputs!$F$9),Waterfall!AV7/(Debt!AV68+Debt!AV98+Debt!AV99),"")</f>
        <v>2.03320672737016</v>
      </c>
      <c r="AW11" s="31" t="n">
        <f aca="false">IF(AND(Time!AW30=1,Time!AW47=1,Debt!AW68+Debt!AW98+Debt!AW99&gt;Inputs!$F$9),Waterfall!AW7/(Debt!AW68+Debt!AW98+Debt!AW99),"")</f>
        <v>2.0282913665247</v>
      </c>
      <c r="AX11" s="31" t="n">
        <f aca="false">IF(AND(Time!AX30=1,Time!AX47=1,Debt!AX68+Debt!AX98+Debt!AX99&gt;Inputs!$F$9),Waterfall!AX7/(Debt!AX68+Debt!AX98+Debt!AX99),"")</f>
        <v>2.03556783907474</v>
      </c>
      <c r="AY11" s="31" t="n">
        <f aca="false">IF(AND(Time!AY30=1,Time!AY47=1,Debt!AY68+Debt!AY98+Debt!AY99&gt;Inputs!$F$9),Waterfall!AY7/(Debt!AY68+Debt!AY98+Debt!AY99),"")</f>
        <v>2.0432318746871</v>
      </c>
      <c r="AZ11" s="31" t="n">
        <f aca="false">IF(AND(Time!AZ30=1,Time!AZ47=1,Debt!AZ68+Debt!AZ98+Debt!AZ99&gt;Inputs!$F$9),Waterfall!AZ7/(Debt!AZ68+Debt!AZ98+Debt!AZ99),"")</f>
        <v>2.05069067742083</v>
      </c>
      <c r="BA11" s="31" t="n">
        <f aca="false">IF(AND(Time!BA30=1,Time!BA47=1,Debt!BA68+Debt!BA98+Debt!BA99&gt;Inputs!$F$9),Waterfall!BA7/(Debt!BA68+Debt!BA98+Debt!BA99),"")</f>
        <v>2.04956073411565</v>
      </c>
      <c r="BB11" s="31" t="n">
        <f aca="false">IF(AND(Time!BB30=1,Time!BB47=1,Debt!BB68+Debt!BB98+Debt!BB99&gt;Inputs!$F$9),Waterfall!BB7/(Debt!BB68+Debt!BB98+Debt!BB99),"")</f>
        <v>2.05710762934876</v>
      </c>
      <c r="BC11" s="31" t="n">
        <f aca="false">IF(AND(Time!BC30=1,Time!BC47=1,Debt!BC68+Debt!BC98+Debt!BC99&gt;Inputs!$F$9),Waterfall!BC7/(Debt!BC68+Debt!BC98+Debt!BC99),"")</f>
        <v>2.0393175778726</v>
      </c>
      <c r="BD11" s="31" t="n">
        <f aca="false">IF(AND(Time!BD30=1,Time!BD47=1,Debt!BD68+Debt!BD98+Debt!BD99&gt;Inputs!$F$9),Waterfall!BD7/(Debt!BD68+Debt!BD98+Debt!BD99),"")</f>
        <v>2.04611364496577</v>
      </c>
      <c r="BE11" s="31" t="n">
        <f aca="false">IF(AND(Time!BE30=1,Time!BE47=1,Debt!BE68+Debt!BE98+Debt!BE99&gt;Inputs!$F$9),Waterfall!BE7/(Debt!BE68+Debt!BE98+Debt!BE99),"")</f>
        <v>2.03907946801445</v>
      </c>
      <c r="BF11" s="31" t="n">
        <f aca="false">IF(AND(Time!BF30=1,Time!BF47=1,Debt!BF68+Debt!BF98+Debt!BF99&gt;Inputs!$F$9),Waterfall!BF7/(Debt!BF68+Debt!BF98+Debt!BF99),"")</f>
        <v>2.04558919444983</v>
      </c>
      <c r="BG11" s="31" t="n">
        <f aca="false">IF(AND(Time!BG30=1,Time!BG47=1,Debt!BG68+Debt!BG98+Debt!BG99&gt;Inputs!$F$9),Waterfall!BG7/(Debt!BG68+Debt!BG98+Debt!BG99),"")</f>
        <v>2.04552913314279</v>
      </c>
      <c r="BH11" s="31" t="n">
        <f aca="false">IF(AND(Time!BH30=1,Time!BH47=1,Debt!BH68+Debt!BH98+Debt!BH99&gt;Inputs!$F$9),Waterfall!BH7/(Debt!BH68+Debt!BH98+Debt!BH99),"")</f>
        <v>2.05203922743891</v>
      </c>
      <c r="BI11" s="31" t="n">
        <f aca="false">IF(AND(Time!BI30=1,Time!BI47=1,Debt!BI68+Debt!BI98+Debt!BI99&gt;Inputs!$F$9),Waterfall!BI7/(Debt!BI68+Debt!BI98+Debt!BI99),"")</f>
        <v>2.05196301809709</v>
      </c>
      <c r="BJ11" s="31" t="n">
        <f aca="false">IF(AND(Time!BJ30=1,Time!BJ47=1,Debt!BJ68+Debt!BJ98+Debt!BJ99&gt;Inputs!$F$9),Waterfall!BJ7/(Debt!BJ68+Debt!BJ98+Debt!BJ99),"")</f>
        <v>2.05846698258628</v>
      </c>
      <c r="BK11" s="31" t="n">
        <f aca="false">IF(AND(Time!BK30=1,Time!BK47=1,Debt!BK68+Debt!BK98+Debt!BK99&gt;Inputs!$F$9),Waterfall!BK7/(Debt!BK68+Debt!BK98+Debt!BK99),"")</f>
        <v>2.05838218505456</v>
      </c>
      <c r="BL11" s="31" t="n">
        <f aca="false">IF(AND(Time!BL30=1,Time!BL47=1,Debt!BL68+Debt!BL98+Debt!BL99&gt;Inputs!$F$9),Waterfall!BL7/(Debt!BL68+Debt!BL98+Debt!BL99),"")</f>
        <v>2.0648835480155</v>
      </c>
      <c r="BM11" s="31" t="n">
        <f aca="false">IF(AND(Time!BM30=1,Time!BM47=1,Debt!BM68+Debt!BM98+Debt!BM99&gt;Inputs!$F$9),Waterfall!BM7/(Debt!BM68+Debt!BM98+Debt!BM99),"")</f>
        <v>2.064797182035</v>
      </c>
      <c r="BN11" s="31" t="n">
        <f aca="false">IF(AND(Time!BN30=1,Time!BN47=1,Debt!BN68+Debt!BN98+Debt!BN99&gt;Inputs!$F$9),Waterfall!BN7/(Debt!BN68+Debt!BN98+Debt!BN99),"")</f>
        <v>2.07129739581777</v>
      </c>
      <c r="BO11" s="31" t="n">
        <f aca="false">IF(AND(Time!BO30=1,Time!BO47=1,Debt!BO68+Debt!BO98+Debt!BO99&gt;Inputs!$F$9),Waterfall!BO7/(Debt!BO68+Debt!BO98+Debt!BO99),"")</f>
        <v>2.10576940128565</v>
      </c>
      <c r="BP11" s="31" t="n">
        <f aca="false">IF(AND(Time!BP30=1,Time!BP47=1,Debt!BP68+Debt!BP98+Debt!BP99&gt;Inputs!$F$9),Waterfall!BP7/(Debt!BP68+Debt!BP98+Debt!BP99),"")</f>
        <v>2.11313332453711</v>
      </c>
      <c r="BQ11" s="31" t="n">
        <f aca="false">IF(AND(Time!BQ30=1,Time!BQ47=1,Debt!BQ68+Debt!BQ98+Debt!BQ99&gt;Inputs!$F$9),Waterfall!BQ7/(Debt!BQ68+Debt!BQ98+Debt!BQ99),"")</f>
        <v>2.11142639593365</v>
      </c>
      <c r="BR11" s="31" t="n">
        <f aca="false">IF(AND(Time!BR30=1,Time!BR47=1,Debt!BR68+Debt!BR98+Debt!BR99&gt;Inputs!$F$9),Waterfall!BR7/(Debt!BR68+Debt!BR98+Debt!BR99),"")</f>
        <v>2.11720656665265</v>
      </c>
      <c r="BS11" s="31" t="n">
        <f aca="false">IF(AND(Time!BS30=1,Time!BS47=1,Debt!BS68+Debt!BS98+Debt!BS99&gt;Inputs!$F$9),Waterfall!BS7/(Debt!BS68+Debt!BS98+Debt!BS99),"")</f>
        <v>2.11518087610959</v>
      </c>
      <c r="BT11" s="31" t="n">
        <f aca="false">IF(AND(Time!BT30=1,Time!BT47=1,Debt!BT68+Debt!BT98+Debt!BT99&gt;Inputs!$F$9),Waterfall!BT7/(Debt!BT68+Debt!BT98+Debt!BT99),"")</f>
        <v>2.12092362761848</v>
      </c>
      <c r="BU11" s="31" t="n">
        <f aca="false">IF(AND(Time!BU30=1,Time!BU47=1,Debt!BU68+Debt!BU98+Debt!BU99&gt;Inputs!$F$9),Waterfall!BU7/(Debt!BU68+Debt!BU98+Debt!BU99),"")</f>
        <v>2.08639545637495</v>
      </c>
      <c r="BV11" s="31" t="n">
        <f aca="false">IF(AND(Time!BV30=1,Time!BV47=1,Debt!BV68+Debt!BV98+Debt!BV99&gt;Inputs!$F$9),Waterfall!BV7/(Debt!BV68+Debt!BV98+Debt!BV99),"")</f>
        <v>2.09105473375584</v>
      </c>
      <c r="BW11" s="31" t="n">
        <f aca="false">IF(AND(Time!BW30=1,Time!BW47=1,Debt!BW68+Debt!BW98+Debt!BW99&gt;Inputs!$F$9),Waterfall!BW7/(Debt!BW68+Debt!BW98+Debt!BW99),"")</f>
        <v>2.00116779837573</v>
      </c>
      <c r="BX11" s="31" t="n">
        <f aca="false">IF(AND(Time!BX30=1,Time!BX47=1,Debt!BX68+Debt!BX98+Debt!BX99&gt;Inputs!$F$9),Waterfall!BX7/(Debt!BX68+Debt!BX98+Debt!BX99),"")</f>
        <v>1.65207306386607</v>
      </c>
      <c r="BY11" s="31" t="n">
        <f aca="false">IF(AND(Time!BY30=1,Time!BY47=1,Debt!BY68+Debt!BY98+Debt!BY99&gt;Inputs!$F$9),Waterfall!BY7/(Debt!BY68+Debt!BY98+Debt!BY99),"")</f>
        <v>1.64066668243518</v>
      </c>
      <c r="BZ11" s="31" t="n">
        <f aca="false">IF(AND(Time!BZ30=1,Time!BZ47=1,Debt!BZ68+Debt!BZ98+Debt!BZ99&gt;Inputs!$F$9),Waterfall!BZ7/(Debt!BZ68+Debt!BZ98+Debt!BZ99),"")</f>
        <v>1.63812371161595</v>
      </c>
      <c r="CA11" s="31" t="n">
        <f aca="false">IF(AND(Time!CA30=1,Time!CA47=1,Debt!CA68+Debt!CA98+Debt!CA99&gt;Inputs!$F$9),Waterfall!CA7/(Debt!CA68+Debt!CA98+Debt!CA99),"")</f>
        <v>1.60301509781904</v>
      </c>
      <c r="CB11" s="31" t="n">
        <f aca="false">IF(AND(Time!CB30=1,Time!CB47=1,Debt!CB68+Debt!CB98+Debt!CB99&gt;Inputs!$F$9),Waterfall!CB7/(Debt!CB68+Debt!CB98+Debt!CB99),"")</f>
        <v>1.60042473236613</v>
      </c>
      <c r="CC11" s="31" t="n">
        <f aca="false">IF(AND(Time!CC30=1,Time!CC47=1,Debt!CC68+Debt!CC98+Debt!CC99&gt;Inputs!$F$9),Waterfall!CC7/(Debt!CC68+Debt!CC98+Debt!CC99),"")</f>
        <v>1.59014908461244</v>
      </c>
      <c r="CD11" s="31" t="n">
        <f aca="false">IF(AND(Time!CD30=1,Time!CD47=1,Debt!CD68+Debt!CD98+Debt!CD99&gt;Inputs!$F$9),Waterfall!CD7/(Debt!CD68+Debt!CD98+Debt!CD99),"")</f>
        <v>1.58730249074987</v>
      </c>
      <c r="CE11" s="31" t="n">
        <f aca="false">IF(AND(Time!CE30=1,Time!CE47=1,Debt!CE68+Debt!CE98+Debt!CE99&gt;Inputs!$F$9),Waterfall!CE7/(Debt!CE68+Debt!CE98+Debt!CE99),"")</f>
        <v>1.5640794893372</v>
      </c>
      <c r="CF11" s="31" t="n">
        <f aca="false">IF(AND(Time!CF30=1,Time!CF47=1,Debt!CF68+Debt!CF98+Debt!CF99&gt;Inputs!$F$9),Waterfall!CF7/(Debt!CF68+Debt!CF98+Debt!CF99),"")</f>
        <v>1.77442426873753</v>
      </c>
      <c r="CG11" s="31" t="n">
        <f aca="false">IF(AND(Time!CG30=1,Time!CG47=1,Debt!CG68+Debt!CG98+Debt!CG99&gt;Inputs!$F$9),Waterfall!CG7/(Debt!CG68+Debt!CG98+Debt!CG99),"")</f>
        <v>2.07866195028169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1.53928571918228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2.5475174593014</v>
      </c>
      <c r="AE14" s="31" t="n">
        <f aca="false">IF(AND(Time!AE30=1,Debt!AE42+Debt!AE49&gt;Inputs!$F$9),SUMPRODUCT(Waterfall!AE$7:$DB$7,AE$13:$DB$13,Time!AE$30:$DB$30)/(AE13*(1+Debt!AE9))/(Debt!AE42+Debt!AE49),"")</f>
        <v>2.57336855134664</v>
      </c>
      <c r="AF14" s="31" t="n">
        <f aca="false">IF(AND(Time!AF30=1,Debt!AF42+Debt!AF49&gt;Inputs!$F$9),SUMPRODUCT(Waterfall!AF$7:$DB$7,AF$13:$DB$13,Time!AF$30:$DB$30)/(AF13*(1+Debt!AF9))/(Debt!AF42+Debt!AF49),"")</f>
        <v>2.59785939492579</v>
      </c>
      <c r="AG14" s="31" t="n">
        <f aca="false">IF(AND(Time!AG30=1,Debt!AG42+Debt!AG49&gt;Inputs!$F$9),SUMPRODUCT(Waterfall!AG$7:$DB$7,AG$13:$DB$13,Time!AG$30:$DB$30)/(AG13*(1+Debt!AG9))/(Debt!AG42+Debt!AG49),"")</f>
        <v>2.61880642490252</v>
      </c>
      <c r="AH14" s="31" t="n">
        <f aca="false">IF(AND(Time!AH30=1,Debt!AH42+Debt!AH49&gt;Inputs!$F$9),SUMPRODUCT(Waterfall!AH$7:$DB$7,AH$13:$DB$13,Time!AH$30:$DB$30)/(AH13*(1+Debt!AH9))/(Debt!AH42+Debt!AH49),"")</f>
        <v>2.63637934675504</v>
      </c>
      <c r="AI14" s="31" t="n">
        <f aca="false">IF(AND(Time!AI30=1,Debt!AI42+Debt!AI49&gt;Inputs!$F$9),SUMPRODUCT(Waterfall!AI$7:$DB$7,AI$13:$DB$13,Time!AI$30:$DB$30)/(AI13*(1+Debt!AI9))/(Debt!AI42+Debt!AI49),"")</f>
        <v>2.65281993430067</v>
      </c>
      <c r="AJ14" s="31" t="n">
        <f aca="false">IF(AND(Time!AJ30=1,Debt!AJ42+Debt!AJ49&gt;Inputs!$F$9),SUMPRODUCT(Waterfall!AJ$7:$DB$7,AJ$13:$DB$13,Time!AJ$30:$DB$30)/(AJ13*(1+Debt!AJ9))/(Debt!AJ42+Debt!AJ49),"")</f>
        <v>2.67104611831654</v>
      </c>
      <c r="AK14" s="31" t="n">
        <f aca="false">IF(AND(Time!AK30=1,Debt!AK42+Debt!AK49&gt;Inputs!$F$9),SUMPRODUCT(Waterfall!AK$7:$DB$7,AK$13:$DB$13,Time!AK$30:$DB$30)/(AK13*(1+Debt!AK9))/(Debt!AK42+Debt!AK49),"")</f>
        <v>2.68795589876734</v>
      </c>
      <c r="AL14" s="31" t="n">
        <f aca="false">IF(AND(Time!AL30=1,Debt!AL42+Debt!AL49&gt;Inputs!$F$9),SUMPRODUCT(Waterfall!AL$7:$DB$7,AL$13:$DB$13,Time!AL$30:$DB$30)/(AL13*(1+Debt!AL9))/(Debt!AL42+Debt!AL49),"")</f>
        <v>2.70294490704372</v>
      </c>
      <c r="AM14" s="31" t="n">
        <f aca="false">IF(AND(Time!AM30=1,Debt!AM42+Debt!AM49&gt;Inputs!$F$9),SUMPRODUCT(Waterfall!AM$7:$DB$7,AM$13:$DB$13,Time!AM$30:$DB$30)/(AM13*(1+Debt!AM9))/(Debt!AM42+Debt!AM49),"")</f>
        <v>2.71657382433453</v>
      </c>
      <c r="AN14" s="31" t="n">
        <f aca="false">IF(AND(Time!AN30=1,Debt!AN42+Debt!AN49&gt;Inputs!$F$9),SUMPRODUCT(Waterfall!AN$7:$DB$7,AN$13:$DB$13,Time!AN$30:$DB$30)/(AN13*(1+Debt!AN9))/(Debt!AN42+Debt!AN49),"")</f>
        <v>2.72786145862404</v>
      </c>
      <c r="AO14" s="31" t="n">
        <f aca="false">IF(AND(Time!AO30=1,Debt!AO42+Debt!AO49&gt;Inputs!$F$9),SUMPRODUCT(Waterfall!AO$7:$DB$7,AO$13:$DB$13,Time!AO$30:$DB$30)/(AO13*(1+Debt!AO9))/(Debt!AO42+Debt!AO49),"")</f>
        <v>2.73760619254244</v>
      </c>
      <c r="AP14" s="31" t="n">
        <f aca="false">IF(AND(Time!AP30=1,Debt!AP42+Debt!AP49&gt;Inputs!$F$9),SUMPRODUCT(Waterfall!AP$7:$DB$7,AP$13:$DB$13,Time!AP$30:$DB$30)/(AP13*(1+Debt!AP9))/(Debt!AP42+Debt!AP49),"")</f>
        <v>2.741074226633</v>
      </c>
      <c r="AQ14" s="31" t="n">
        <f aca="false">IF(AND(Time!AQ30=1,Debt!AQ42+Debt!AQ49&gt;Inputs!$F$9),SUMPRODUCT(Waterfall!AQ$7:$DB$7,AQ$13:$DB$13,Time!AQ$30:$DB$30)/(AQ13*(1+Debt!AQ9))/(Debt!AQ42+Debt!AQ49),"")</f>
        <v>2.74270864368443</v>
      </c>
      <c r="AR14" s="31" t="n">
        <f aca="false">IF(AND(Time!AR30=1,Debt!AR42+Debt!AR49&gt;Inputs!$F$9),SUMPRODUCT(Waterfall!AR$7:$DB$7,AR$13:$DB$13,Time!AR$30:$DB$30)/(AR13*(1+Debt!AR9))/(Debt!AR42+Debt!AR49),"")</f>
        <v>2.75291519352212</v>
      </c>
      <c r="AS14" s="31" t="n">
        <f aca="false">IF(AND(Time!AS30=1,Debt!AS42+Debt!AS49&gt;Inputs!$F$9),SUMPRODUCT(Waterfall!AS$7:$DB$7,AS$13:$DB$13,Time!AS$30:$DB$30)/(AS13*(1+Debt!AS9))/(Debt!AS42+Debt!AS49),"")</f>
        <v>2.76115165072347</v>
      </c>
      <c r="AT14" s="31" t="n">
        <f aca="false">IF(AND(Time!AT30=1,Debt!AT42+Debt!AT49&gt;Inputs!$F$9),SUMPRODUCT(Waterfall!AT$7:$DB$7,AT$13:$DB$13,Time!AT$30:$DB$30)/(AT13*(1+Debt!AT9))/(Debt!AT42+Debt!AT49),"")</f>
        <v>2.76644571278643</v>
      </c>
      <c r="AU14" s="31" t="n">
        <f aca="false">IF(AND(Time!AU30=1,Debt!AU42+Debt!AU49&gt;Inputs!$F$9),SUMPRODUCT(Waterfall!AU$7:$DB$7,AU$13:$DB$13,Time!AU$30:$DB$30)/(AU13*(1+Debt!AU9))/(Debt!AU42+Debt!AU49),"")</f>
        <v>2.76976295394367</v>
      </c>
      <c r="AV14" s="31" t="n">
        <f aca="false">IF(AND(Time!AV30=1,Debt!AV42+Debt!AV49&gt;Inputs!$F$9),SUMPRODUCT(Waterfall!AV$7:$DB$7,AV$13:$DB$13,Time!AV$30:$DB$30)/(AV13*(1+Debt!AV9))/(Debt!AV42+Debt!AV49),"")</f>
        <v>2.76951975791161</v>
      </c>
      <c r="AW14" s="31" t="n">
        <f aca="false">IF(AND(Time!AW30=1,Debt!AW42+Debt!AW49&gt;Inputs!$F$9),SUMPRODUCT(Waterfall!AW$7:$DB$7,AW$13:$DB$13,Time!AW$30:$DB$30)/(AW13*(1+Debt!AW9))/(Debt!AW42+Debt!AW49),"")</f>
        <v>2.76707809310653</v>
      </c>
      <c r="AX14" s="31" t="n">
        <f aca="false">IF(AND(Time!AX30=1,Debt!AX42+Debt!AX49&gt;Inputs!$F$9),SUMPRODUCT(Waterfall!AX$7:$DB$7,AX$13:$DB$13,Time!AX$30:$DB$30)/(AX13*(1+Debt!AX9))/(Debt!AX42+Debt!AX49),"")</f>
        <v>2.76454690624475</v>
      </c>
      <c r="AY14" s="31" t="n">
        <f aca="false">IF(AND(Time!AY30=1,Debt!AY42+Debt!AY49&gt;Inputs!$F$9),SUMPRODUCT(Waterfall!AY$7:$DB$7,AY$13:$DB$13,Time!AY$30:$DB$30)/(AY13*(1+Debt!AY9))/(Debt!AY42+Debt!AY49),"")</f>
        <v>2.76163338679108</v>
      </c>
      <c r="AZ14" s="31" t="n">
        <f aca="false">IF(AND(Time!AZ30=1,Debt!AZ42+Debt!AZ49&gt;Inputs!$F$9),SUMPRODUCT(Waterfall!AZ$7:$DB$7,AZ$13:$DB$13,Time!AZ$30:$DB$30)/(AZ13*(1+Debt!AZ9))/(Debt!AZ42+Debt!AZ49),"")</f>
        <v>2.75834357692457</v>
      </c>
      <c r="BA14" s="31" t="n">
        <f aca="false">IF(AND(Time!BA30=1,Debt!BA42+Debt!BA49&gt;Inputs!$F$9),SUMPRODUCT(Waterfall!BA$7:$DB$7,BA$13:$DB$13,Time!BA$30:$DB$30)/(BA13*(1+Debt!BA9))/(Debt!BA42+Debt!BA49),"")</f>
        <v>2.75461109512434</v>
      </c>
      <c r="BB14" s="31" t="n">
        <f aca="false">IF(AND(Time!BB30=1,Debt!BB42+Debt!BB49&gt;Inputs!$F$9),SUMPRODUCT(Waterfall!BB$7:$DB$7,BB$13:$DB$13,Time!BB$30:$DB$30)/(BB13*(1+Debt!BB9))/(Debt!BB42+Debt!BB49),"")</f>
        <v>2.75062310944527</v>
      </c>
      <c r="BC14" s="31" t="n">
        <f aca="false">IF(AND(Time!BC30=1,Debt!BC42+Debt!BC49&gt;Inputs!$F$9),SUMPRODUCT(Waterfall!BC$7:$DB$7,BC$13:$DB$13,Time!BC$30:$DB$30)/(BC13*(1+Debt!BC9))/(Debt!BC42+Debt!BC49),"")</f>
        <v>2.7461533766012</v>
      </c>
      <c r="BD14" s="31" t="n">
        <f aca="false">IF(AND(Time!BD30=1,Debt!BD42+Debt!BD49&gt;Inputs!$F$9),SUMPRODUCT(Waterfall!BD$7:$DB$7,BD$13:$DB$13,Time!BD$30:$DB$30)/(BD13*(1+Debt!BD9))/(Debt!BD42+Debt!BD49),"")</f>
        <v>2.74161488072716</v>
      </c>
      <c r="BE14" s="31" t="n">
        <f aca="false">IF(AND(Time!BE30=1,Debt!BE42+Debt!BE49&gt;Inputs!$F$9),SUMPRODUCT(Waterfall!BE$7:$DB$7,BE$13:$DB$13,Time!BE$30:$DB$30)/(BE13*(1+Debt!BE9))/(Debt!BE42+Debt!BE49),"")</f>
        <v>2.73649455436662</v>
      </c>
      <c r="BF14" s="31" t="n">
        <f aca="false">IF(AND(Time!BF30=1,Debt!BF42+Debt!BF49&gt;Inputs!$F$9),SUMPRODUCT(Waterfall!BF$7:$DB$7,BF$13:$DB$13,Time!BF$30:$DB$30)/(BF13*(1+Debt!BF9))/(Debt!BF42+Debt!BF49),"")</f>
        <v>2.73100417123946</v>
      </c>
      <c r="BG14" s="31" t="n">
        <f aca="false">IF(AND(Time!BG30=1,Debt!BG42+Debt!BG49&gt;Inputs!$F$9),SUMPRODUCT(Waterfall!BG$7:$DB$7,BG$13:$DB$13,Time!BG$30:$DB$30)/(BG13*(1+Debt!BG9))/(Debt!BG42+Debt!BG49),"")</f>
        <v>2.72480291580925</v>
      </c>
      <c r="BH14" s="31" t="n">
        <f aca="false">IF(AND(Time!BH30=1,Debt!BH42+Debt!BH49&gt;Inputs!$F$9),SUMPRODUCT(Waterfall!BH$7:$DB$7,BH$13:$DB$13,Time!BH$30:$DB$30)/(BH13*(1+Debt!BH9))/(Debt!BH42+Debt!BH49),"")</f>
        <v>2.71793855881486</v>
      </c>
      <c r="BI14" s="31" t="n">
        <f aca="false">IF(AND(Time!BI30=1,Debt!BI42+Debt!BI49&gt;Inputs!$F$9),SUMPRODUCT(Waterfall!BI$7:$DB$7,BI$13:$DB$13,Time!BI$30:$DB$30)/(BI13*(1+Debt!BI9))/(Debt!BI42+Debt!BI49),"")</f>
        <v>2.71015482007681</v>
      </c>
      <c r="BJ14" s="31" t="n">
        <f aca="false">IF(AND(Time!BJ30=1,Debt!BJ42+Debt!BJ49&gt;Inputs!$F$9),SUMPRODUCT(Waterfall!BJ$7:$DB$7,BJ$13:$DB$13,Time!BJ$30:$DB$30)/(BJ13*(1+Debt!BJ9))/(Debt!BJ42+Debt!BJ49),"")</f>
        <v>2.7015212064175</v>
      </c>
      <c r="BK14" s="31" t="n">
        <f aca="false">IF(AND(Time!BK30=1,Debt!BK42+Debt!BK49&gt;Inputs!$F$9),SUMPRODUCT(Waterfall!BK$7:$DB$7,BK$13:$DB$13,Time!BK$30:$DB$30)/(BK13*(1+Debt!BK9))/(Debt!BK42+Debt!BK49),"")</f>
        <v>2.69178020299675</v>
      </c>
      <c r="BL14" s="31" t="n">
        <f aca="false">IF(AND(Time!BL30=1,Debt!BL42+Debt!BL49&gt;Inputs!$F$9),SUMPRODUCT(Waterfall!BL$7:$DB$7,BL$13:$DB$13,Time!BL$30:$DB$30)/(BL13*(1+Debt!BL9))/(Debt!BL42+Debt!BL49),"")</f>
        <v>2.68082258672251</v>
      </c>
      <c r="BM14" s="31" t="n">
        <f aca="false">IF(AND(Time!BM30=1,Debt!BM42+Debt!BM49&gt;Inputs!$F$9),SUMPRODUCT(Waterfall!BM$7:$DB$7,BM$13:$DB$13,Time!BM$30:$DB$30)/(BM13*(1+Debt!BM9))/(Debt!BM42+Debt!BM49),"")</f>
        <v>2.66841939752395</v>
      </c>
      <c r="BN14" s="31" t="n">
        <f aca="false">IF(AND(Time!BN30=1,Debt!BN42+Debt!BN49&gt;Inputs!$F$9),SUMPRODUCT(Waterfall!BN$7:$DB$7,BN$13:$DB$13,Time!BN$30:$DB$30)/(BN13*(1+Debt!BN9))/(Debt!BN42+Debt!BN49),"")</f>
        <v>2.65432217234991</v>
      </c>
      <c r="BO14" s="31" t="n">
        <f aca="false">IF(AND(Time!BO30=1,Debt!BO42+Debt!BO49&gt;Inputs!$F$9),SUMPRODUCT(Waterfall!BO$7:$DB$7,BO$13:$DB$13,Time!BO$30:$DB$30)/(BO13*(1+Debt!BO9))/(Debt!BO42+Debt!BO49),"")</f>
        <v>2.63826793278831</v>
      </c>
      <c r="BP14" s="31" t="n">
        <f aca="false">IF(AND(Time!BP30=1,Debt!BP42+Debt!BP49&gt;Inputs!$F$9),SUMPRODUCT(Waterfall!BP$7:$DB$7,BP$13:$DB$13,Time!BP$30:$DB$30)/(BP13*(1+Debt!BP9))/(Debt!BP42+Debt!BP49),"")</f>
        <v>2.6202349991674</v>
      </c>
      <c r="BQ14" s="31" t="n">
        <f aca="false">IF(AND(Time!BQ30=1,Debt!BQ42+Debt!BQ49&gt;Inputs!$F$9),SUMPRODUCT(Waterfall!BQ$7:$DB$7,BQ$13:$DB$13,Time!BQ$30:$DB$30)/(BQ13*(1+Debt!BQ9))/(Debt!BQ42+Debt!BQ49),"")</f>
        <v>2.59981846241161</v>
      </c>
      <c r="BR14" s="31" t="n">
        <f aca="false">IF(AND(Time!BR30=1,Debt!BR42+Debt!BR49&gt;Inputs!$F$9),SUMPRODUCT(Waterfall!BR$7:$DB$7,BR$13:$DB$13,Time!BR$30:$DB$30)/(BR13*(1+Debt!BR9))/(Debt!BR42+Debt!BR49),"")</f>
        <v>2.57658091781428</v>
      </c>
      <c r="BS14" s="31" t="n">
        <f aca="false">IF(AND(Time!BS30=1,Debt!BS42+Debt!BS49&gt;Inputs!$F$9),SUMPRODUCT(Waterfall!BS$7:$DB$7,BS$13:$DB$13,Time!BS$30:$DB$30)/(BS13*(1+Debt!BS9))/(Debt!BS42+Debt!BS49),"")</f>
        <v>2.55067578547741</v>
      </c>
      <c r="BT14" s="31" t="n">
        <f aca="false">IF(AND(Time!BT30=1,Debt!BT42+Debt!BT49&gt;Inputs!$F$9),SUMPRODUCT(Waterfall!BT$7:$DB$7,BT$13:$DB$13,Time!BT$30:$DB$30)/(BT13*(1+Debt!BT9))/(Debt!BT42+Debt!BT49),"")</f>
        <v>2.52063460014122</v>
      </c>
      <c r="BU14" s="31" t="n">
        <f aca="false">IF(AND(Time!BU30=1,Debt!BU42+Debt!BU49&gt;Inputs!$F$9),SUMPRODUCT(Waterfall!BU$7:$DB$7,BU$13:$DB$13,Time!BU$30:$DB$30)/(BU13*(1+Debt!BU9))/(Debt!BU42+Debt!BU49),"")</f>
        <v>2.48670628315349</v>
      </c>
      <c r="BV14" s="31" t="n">
        <f aca="false">IF(AND(Time!BV30=1,Debt!BV42+Debt!BV49&gt;Inputs!$F$9),SUMPRODUCT(Waterfall!BV$7:$DB$7,BV$13:$DB$13,Time!BV$30:$DB$30)/(BV13*(1+Debt!BV9))/(Debt!BV42+Debt!BV49),"")</f>
        <v>2.44367368880803</v>
      </c>
      <c r="BW14" s="31" t="n">
        <f aca="false">IF(AND(Time!BW30=1,Debt!BW42+Debt!BW49&gt;Inputs!$F$9),SUMPRODUCT(Waterfall!BW$7:$DB$7,BW$13:$DB$13,Time!BW$30:$DB$30)/(BW13*(1+Debt!BW9))/(Debt!BW42+Debt!BW49),"")</f>
        <v>2.39275014401392</v>
      </c>
      <c r="BX14" s="31" t="n">
        <f aca="false">IF(AND(Time!BX30=1,Debt!BX42+Debt!BX49&gt;Inputs!$F$9),SUMPRODUCT(Waterfall!BX$7:$DB$7,BX$13:$DB$13,Time!BX$30:$DB$30)/(BX13*(1+Debt!BX9))/(Debt!BX42+Debt!BX49),"")</f>
        <v>2.34370052416577</v>
      </c>
      <c r="BY14" s="31" t="n">
        <f aca="false">IF(AND(Time!BY30=1,Debt!BY42+Debt!BY49&gt;Inputs!$F$9),SUMPRODUCT(Waterfall!BY$7:$DB$7,BY$13:$DB$13,Time!BY$30:$DB$30)/(BY13*(1+Debt!BY9))/(Debt!BY42+Debt!BY49),"")</f>
        <v>2.34590434318609</v>
      </c>
      <c r="BZ14" s="31" t="n">
        <f aca="false">IF(AND(Time!BZ30=1,Debt!BZ42+Debt!BZ49&gt;Inputs!$F$9),SUMPRODUCT(Waterfall!BZ$7:$DB$7,BZ$13:$DB$13,Time!BZ$30:$DB$30)/(BZ13*(1+Debt!BZ9))/(Debt!BZ42+Debt!BZ49),"")</f>
        <v>2.35114056619453</v>
      </c>
      <c r="CA14" s="31" t="n">
        <f aca="false">IF(AND(Time!CA30=1,Debt!CA42+Debt!CA49&gt;Inputs!$F$9),SUMPRODUCT(Waterfall!CA$7:$DB$7,CA$13:$DB$13,Time!CA$30:$DB$30)/(CA13*(1+Debt!CA9))/(Debt!CA42+Debt!CA49),"")</f>
        <v>2.35850576684375</v>
      </c>
      <c r="CB14" s="31" t="n">
        <f aca="false">IF(AND(Time!CB30=1,Debt!CB42+Debt!CB49&gt;Inputs!$F$9),SUMPRODUCT(Waterfall!CB$7:$DB$7,CB$13:$DB$13,Time!CB$30:$DB$30)/(CB13*(1+Debt!CB9))/(Debt!CB42+Debt!CB49),"")</f>
        <v>2.37700226956859</v>
      </c>
      <c r="CC14" s="31" t="n">
        <f aca="false">IF(AND(Time!CC30=1,Debt!CC42+Debt!CC49&gt;Inputs!$F$9),SUMPRODUCT(Waterfall!CC$7:$DB$7,CC$13:$DB$13,Time!CC$30:$DB$30)/(CC13*(1+Debt!CC9))/(Debt!CC42+Debt!CC49),"")</f>
        <v>2.40347735682551</v>
      </c>
      <c r="CD14" s="31" t="n">
        <f aca="false">IF(AND(Time!CD30=1,Debt!CD42+Debt!CD49&gt;Inputs!$F$9),SUMPRODUCT(Waterfall!CD$7:$DB$7,CD$13:$DB$13,Time!CD$30:$DB$30)/(CD13*(1+Debt!CD9))/(Debt!CD42+Debt!CD49),"")</f>
        <v>2.44956040309403</v>
      </c>
      <c r="CE14" s="31" t="n">
        <f aca="false">IF(AND(Time!CE30=1,Debt!CE42+Debt!CE49&gt;Inputs!$F$9),SUMPRODUCT(Waterfall!CE$7:$DB$7,CE$13:$DB$13,Time!CE$30:$DB$30)/(CE13*(1+Debt!CE9))/(Debt!CE42+Debt!CE49),"")</f>
        <v>2.52934688237444</v>
      </c>
      <c r="CF14" s="31" t="n">
        <f aca="false">IF(AND(Time!CF30=1,Debt!CF42+Debt!CF49&gt;Inputs!$F$9),SUMPRODUCT(Waterfall!CF$7:$DB$7,CF$13:$DB$13,Time!CF$30:$DB$30)/(CF13*(1+Debt!CF9))/(Debt!CF42+Debt!CF49),"")</f>
        <v>2.71675893849151</v>
      </c>
      <c r="CG14" s="31" t="n">
        <f aca="false">IF(AND(Time!CG30=1,Debt!CG42+Debt!CG49&gt;Inputs!$F$9),SUMPRODUCT(Waterfall!CG$7:$DB$7,CG$13:$DB$13,Time!CG$30:$DB$30)/(CG13*(1+Debt!CG9))/(Debt!CG42+Debt!CG49),"")</f>
        <v>2.92695381181697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2.5475174593014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2.34370052416577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2.83248729827533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3044.98010740668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46.6430404943425</v>
      </c>
      <c r="AE6" s="29" t="n">
        <f aca="false">Waterfall!AE61</f>
        <v>16.3777498092364</v>
      </c>
      <c r="AF6" s="29" t="n">
        <f aca="false">Waterfall!AF61</f>
        <v>14.6490359289279</v>
      </c>
      <c r="AG6" s="29" t="n">
        <f aca="false">Waterfall!AG61</f>
        <v>22.2930526862871</v>
      </c>
      <c r="AH6" s="29" t="n">
        <f aca="false">Waterfall!AH61</f>
        <v>23.0203432705703</v>
      </c>
      <c r="AI6" s="29" t="n">
        <f aca="false">Waterfall!AI61</f>
        <v>22.444666709347</v>
      </c>
      <c r="AJ6" s="29" t="n">
        <f aca="false">Waterfall!AJ61</f>
        <v>18.1070762155505</v>
      </c>
      <c r="AK6" s="29" t="n">
        <f aca="false">Waterfall!AK61</f>
        <v>17.4323644751543</v>
      </c>
      <c r="AL6" s="29" t="n">
        <f aca="false">Waterfall!AL61</f>
        <v>18.4306987250787</v>
      </c>
      <c r="AM6" s="29" t="n">
        <f aca="false">Waterfall!AM61</f>
        <v>21.362302625805</v>
      </c>
      <c r="AN6" s="29" t="n">
        <f aca="false">Waterfall!AN61</f>
        <v>22.4312509764469</v>
      </c>
      <c r="AO6" s="29" t="n">
        <f aca="false">Waterfall!AO61</f>
        <v>28.7488265893806</v>
      </c>
      <c r="AP6" s="29" t="n">
        <f aca="false">Waterfall!AP61</f>
        <v>29.6823701846621</v>
      </c>
      <c r="AQ6" s="29" t="n">
        <f aca="false">Waterfall!AQ61</f>
        <v>22.8640046262932</v>
      </c>
      <c r="AR6" s="29" t="n">
        <f aca="false">Waterfall!AR61</f>
        <v>24.4662933365376</v>
      </c>
      <c r="AS6" s="29" t="n">
        <f aca="false">Waterfall!AS61</f>
        <v>27.6882386832718</v>
      </c>
      <c r="AT6" s="29" t="n">
        <f aca="false">Waterfall!AT61</f>
        <v>28.9934546422674</v>
      </c>
      <c r="AU6" s="29" t="n">
        <f aca="false">Waterfall!AU61</f>
        <v>32.3841573143614</v>
      </c>
      <c r="AV6" s="29" t="n">
        <f aca="false">Waterfall!AV61</f>
        <v>31.5421796845589</v>
      </c>
      <c r="AW6" s="29" t="n">
        <f aca="false">Waterfall!AW61</f>
        <v>36.170792235621</v>
      </c>
      <c r="AX6" s="29" t="n">
        <f aca="false">Waterfall!AX61</f>
        <v>36.8506234931001</v>
      </c>
      <c r="AY6" s="29" t="n">
        <f aca="false">Waterfall!AY61</f>
        <v>36.4169534006673</v>
      </c>
      <c r="AZ6" s="29" t="n">
        <f aca="false">Waterfall!AZ61</f>
        <v>36.1640823594914</v>
      </c>
      <c r="BA6" s="29" t="n">
        <f aca="false">Waterfall!BA61</f>
        <v>38.9490157055235</v>
      </c>
      <c r="BB6" s="29" t="n">
        <f aca="false">Waterfall!BB61</f>
        <v>34.9729649385516</v>
      </c>
      <c r="BC6" s="29" t="n">
        <f aca="false">Waterfall!BC61</f>
        <v>45.3573352881704</v>
      </c>
      <c r="BD6" s="29" t="n">
        <f aca="false">Waterfall!BD61</f>
        <v>42.9814508115258</v>
      </c>
      <c r="BE6" s="29" t="n">
        <f aca="false">Waterfall!BE61</f>
        <v>49.8455329887555</v>
      </c>
      <c r="BF6" s="29" t="n">
        <f aca="false">Waterfall!BF61</f>
        <v>48.9103108364159</v>
      </c>
      <c r="BG6" s="29" t="n">
        <f aca="false">Waterfall!BG61</f>
        <v>52.4183052962978</v>
      </c>
      <c r="BH6" s="29" t="n">
        <f aca="false">Waterfall!BH61</f>
        <v>52.1273841551715</v>
      </c>
      <c r="BI6" s="29" t="n">
        <f aca="false">Waterfall!BI61</f>
        <v>55.5404172108937</v>
      </c>
      <c r="BJ6" s="29" t="n">
        <f aca="false">Waterfall!BJ61</f>
        <v>54.5100862969117</v>
      </c>
      <c r="BK6" s="29" t="n">
        <f aca="false">Waterfall!BK61</f>
        <v>58.6251230898242</v>
      </c>
      <c r="BL6" s="29" t="n">
        <f aca="false">Waterfall!BL61</f>
        <v>57.5613291821025</v>
      </c>
      <c r="BM6" s="29" t="n">
        <f aca="false">Waterfall!BM61</f>
        <v>61.857846161503</v>
      </c>
      <c r="BN6" s="29" t="n">
        <f aca="false">Waterfall!BN61</f>
        <v>67.7269298419257</v>
      </c>
      <c r="BO6" s="29" t="n">
        <f aca="false">Waterfall!BO61</f>
        <v>56.2572483336676</v>
      </c>
      <c r="BP6" s="29" t="n">
        <f aca="false">Waterfall!BP61</f>
        <v>55.936469067937</v>
      </c>
      <c r="BQ6" s="29" t="n">
        <f aca="false">Waterfall!BQ61</f>
        <v>60.5676170795991</v>
      </c>
      <c r="BR6" s="29" t="n">
        <f aca="false">Waterfall!BR61</f>
        <v>58.0729927839151</v>
      </c>
      <c r="BS6" s="29" t="n">
        <f aca="false">Waterfall!BS61</f>
        <v>63.4140408789475</v>
      </c>
      <c r="BT6" s="29" t="n">
        <f aca="false">Waterfall!BT61</f>
        <v>53.8436004226652</v>
      </c>
      <c r="BU6" s="29" t="n">
        <f aca="false">Waterfall!BU61</f>
        <v>75.1414988325221</v>
      </c>
      <c r="BV6" s="29" t="n">
        <f aca="false">Waterfall!BV61</f>
        <v>72.4634346372552</v>
      </c>
      <c r="BW6" s="29" t="n">
        <f aca="false">Waterfall!BW61</f>
        <v>71.5458976290405</v>
      </c>
      <c r="BX6" s="29" t="n">
        <f aca="false">Waterfall!BX61</f>
        <v>44.5477272971993</v>
      </c>
      <c r="BY6" s="29" t="n">
        <f aca="false">Waterfall!BY61</f>
        <v>47.783077882481</v>
      </c>
      <c r="BZ6" s="29" t="n">
        <f aca="false">Waterfall!BZ61</f>
        <v>49.122558018564</v>
      </c>
      <c r="CA6" s="29" t="n">
        <f aca="false">Waterfall!CA61</f>
        <v>42.8196768657484</v>
      </c>
      <c r="CB6" s="29" t="n">
        <f aca="false">Waterfall!CB61</f>
        <v>39.5711594583423</v>
      </c>
      <c r="CC6" s="29" t="n">
        <f aca="false">Waterfall!CC61</f>
        <v>43.5884944523769</v>
      </c>
      <c r="CD6" s="29" t="n">
        <f aca="false">Waterfall!CD61</f>
        <v>42.3985357498366</v>
      </c>
      <c r="CE6" s="29" t="n">
        <f aca="false">Waterfall!CE61</f>
        <v>47.503045958293</v>
      </c>
      <c r="CF6" s="29" t="n">
        <f aca="false">Waterfall!CF61</f>
        <v>46.7081238918876</v>
      </c>
      <c r="CG6" s="29" t="n">
        <f aca="false">Waterfall!CG61</f>
        <v>122.298122615268</v>
      </c>
      <c r="CH6" s="29" t="n">
        <f aca="false">Waterfall!CH61</f>
        <v>93.2106260201925</v>
      </c>
      <c r="CI6" s="29" t="n">
        <f aca="false">Waterfall!CI61</f>
        <v>97.4702486744249</v>
      </c>
      <c r="CJ6" s="29" t="n">
        <f aca="false">Waterfall!CJ61</f>
        <v>96.7430591147527</v>
      </c>
      <c r="CK6" s="29" t="n">
        <f aca="false">Waterfall!CK61</f>
        <v>113.432767668704</v>
      </c>
      <c r="CL6" s="29" t="n">
        <f aca="false">Waterfall!CL61</f>
        <v>104.772781974886</v>
      </c>
      <c r="CM6" s="29" t="n">
        <f aca="false">Waterfall!CM61</f>
        <v>109.348472680609</v>
      </c>
      <c r="CN6" s="29" t="n">
        <f aca="false">Waterfall!CN61</f>
        <v>109.219722400503</v>
      </c>
      <c r="CO6" s="29" t="n">
        <f aca="false">Waterfall!CO61</f>
        <v>113.303535457093</v>
      </c>
      <c r="CP6" s="29" t="n">
        <f aca="false">Waterfall!CP61</f>
        <v>157.063605300249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0.108237746791546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-29.506125807808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4788.18648053102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11.9722770333237</v>
      </c>
      <c r="AA11" s="19" t="n">
        <f aca="false">-Construction!AA13+Funding!AA39+Waterfall!AA7*(1-Time!AA20)-Operations!AA45</f>
        <v>26.8224075022113</v>
      </c>
      <c r="AB11" s="19" t="n">
        <f aca="false">-Construction!AB13+Funding!AB39+Waterfall!AB7*(1-Time!AB20)-Operations!AB45</f>
        <v>32.0874032911033</v>
      </c>
      <c r="AC11" s="19" t="n">
        <f aca="false">-Construction!AC13+Funding!AC39+Waterfall!AC7*(1-Time!AC20)-Operations!AC45</f>
        <v>34.0691482578989</v>
      </c>
      <c r="AD11" s="19" t="n">
        <f aca="false">-Construction!AD13+Funding!AD39+Waterfall!AD7*(1-Time!AD20)-Operations!AD45</f>
        <v>37.6581565302267</v>
      </c>
      <c r="AE11" s="19" t="n">
        <f aca="false">-Construction!AE13+Funding!AE39+Waterfall!AE7*(1-Time!AE20)-Operations!AE45</f>
        <v>39.9820970130466</v>
      </c>
      <c r="AF11" s="19" t="n">
        <f aca="false">-Construction!AF13+Funding!AF39+Waterfall!AF7*(1-Time!AF20)-Operations!AF45</f>
        <v>42.8427680508151</v>
      </c>
      <c r="AG11" s="19" t="n">
        <f aca="false">-Construction!AG13+Funding!AG39+Waterfall!AG7*(1-Time!AG20)-Operations!AG45</f>
        <v>45.33785143152</v>
      </c>
      <c r="AH11" s="19" t="n">
        <f aca="false">-Construction!AH13+Funding!AH39+Waterfall!AH7*(1-Time!AH20)-Operations!AH45</f>
        <v>46.2520931917594</v>
      </c>
      <c r="AI11" s="19" t="n">
        <f aca="false">-Construction!AI13+Funding!AI39+Waterfall!AI7*(1-Time!AI20)-Operations!AI45</f>
        <v>45.551782513232</v>
      </c>
      <c r="AJ11" s="19" t="n">
        <f aca="false">-Construction!AJ13+Funding!AJ39+Waterfall!AJ7*(1-Time!AJ20)-Operations!AJ45</f>
        <v>46.8035444864203</v>
      </c>
      <c r="AK11" s="19" t="n">
        <f aca="false">-Construction!AK13+Funding!AK39+Waterfall!AK7*(1-Time!AK20)-Operations!AK45</f>
        <v>49.2236628351718</v>
      </c>
      <c r="AL11" s="19" t="n">
        <f aca="false">-Construction!AL13+Funding!AL39+Waterfall!AL7*(1-Time!AL20)-Operations!AL45</f>
        <v>50.2663422890722</v>
      </c>
      <c r="AM11" s="19" t="n">
        <f aca="false">-Construction!AM13+Funding!AM39+Waterfall!AM7*(1-Time!AM20)-Operations!AM45</f>
        <v>53.1536009858225</v>
      </c>
      <c r="AN11" s="19" t="n">
        <f aca="false">-Construction!AN13+Funding!AN39+Waterfall!AN7*(1-Time!AN20)-Operations!AN45</f>
        <v>54.2668945404405</v>
      </c>
      <c r="AO11" s="19" t="n">
        <f aca="false">-Construction!AO13+Funding!AO39+Waterfall!AO7*(1-Time!AO20)-Operations!AO45</f>
        <v>60.5401249493982</v>
      </c>
      <c r="AP11" s="19" t="n">
        <f aca="false">-Construction!AP13+Funding!AP39+Waterfall!AP7*(1-Time!AP20)-Operations!AP45</f>
        <v>61.7257353086905</v>
      </c>
      <c r="AQ11" s="19" t="n">
        <f aca="false">-Construction!AQ13+Funding!AQ39+Waterfall!AQ7*(1-Time!AQ20)-Operations!AQ45</f>
        <v>54.7144157833967</v>
      </c>
      <c r="AR11" s="19" t="n">
        <f aca="false">-Construction!AR13+Funding!AR39+Waterfall!AR7*(1-Time!AR20)-Operations!AR45</f>
        <v>56.3463027918885</v>
      </c>
      <c r="AS11" s="19" t="n">
        <f aca="false">-Construction!AS13+Funding!AS39+Waterfall!AS7*(1-Time!AS20)-Operations!AS45</f>
        <v>59.4763327817232</v>
      </c>
      <c r="AT11" s="19" t="n">
        <f aca="false">-Construction!AT13+Funding!AT39+Waterfall!AT7*(1-Time!AT20)-Operations!AT45</f>
        <v>60.8259461880899</v>
      </c>
      <c r="AU11" s="19" t="n">
        <f aca="false">-Construction!AU13+Funding!AU39+Waterfall!AU7*(1-Time!AU20)-Operations!AU45</f>
        <v>64.5609708438497</v>
      </c>
      <c r="AV11" s="19" t="n">
        <f aca="false">-Construction!AV13+Funding!AV39+Waterfall!AV7*(1-Time!AV20)-Operations!AV45</f>
        <v>66.0005264515732</v>
      </c>
      <c r="AW11" s="19" t="n">
        <f aca="false">-Construction!AW13+Funding!AW39+Waterfall!AW7*(1-Time!AW20)-Operations!AW45</f>
        <v>71.5445973819467</v>
      </c>
      <c r="AX11" s="19" t="n">
        <f aca="false">-Construction!AX13+Funding!AX39+Waterfall!AX7*(1-Time!AX20)-Operations!AX45</f>
        <v>72.0892426109825</v>
      </c>
      <c r="AY11" s="19" t="n">
        <f aca="false">-Construction!AY13+Funding!AY39+Waterfall!AY7*(1-Time!AY20)-Operations!AY45</f>
        <v>71.8537583415923</v>
      </c>
      <c r="AZ11" s="19" t="n">
        <f aca="false">-Construction!AZ13+Funding!AZ39+Waterfall!AZ7*(1-Time!AZ20)-Operations!AZ45</f>
        <v>72.895955386749</v>
      </c>
      <c r="BA11" s="19" t="n">
        <f aca="false">-Construction!BA13+Funding!BA39+Waterfall!BA7*(1-Time!BA20)-Operations!BA45</f>
        <v>76.2752291892364</v>
      </c>
      <c r="BB11" s="19" t="n">
        <f aca="false">-Construction!BB13+Funding!BB39+Waterfall!BB7*(1-Time!BB20)-Operations!BB45</f>
        <v>76.8770632476208</v>
      </c>
      <c r="BC11" s="19" t="n">
        <f aca="false">-Construction!BC13+Funding!BC39+Waterfall!BC7*(1-Time!BC20)-Operations!BC45</f>
        <v>89.2280084263935</v>
      </c>
      <c r="BD11" s="19" t="n">
        <f aca="false">-Construction!BD13+Funding!BD39+Waterfall!BD7*(1-Time!BD20)-Operations!BD45</f>
        <v>89.8619259684757</v>
      </c>
      <c r="BE11" s="19" t="n">
        <f aca="false">-Construction!BE13+Funding!BE39+Waterfall!BE7*(1-Time!BE20)-Operations!BE45</f>
        <v>98.0579163119572</v>
      </c>
      <c r="BF11" s="19" t="n">
        <f aca="false">-Construction!BF13+Funding!BF39+Waterfall!BF7*(1-Time!BF20)-Operations!BF45</f>
        <v>98.7254747775707</v>
      </c>
      <c r="BG11" s="19" t="n">
        <f aca="false">-Construction!BG13+Funding!BG39+Waterfall!BG7*(1-Time!BG20)-Operations!BG45</f>
        <v>103.194394857504</v>
      </c>
      <c r="BH11" s="19" t="n">
        <f aca="false">-Construction!BH13+Funding!BH39+Waterfall!BH7*(1-Time!BH20)-Operations!BH45</f>
        <v>104.468647800019</v>
      </c>
      <c r="BI11" s="19" t="n">
        <f aca="false">-Construction!BI13+Funding!BI39+Waterfall!BI7*(1-Time!BI20)-Operations!BI45</f>
        <v>108.601145110487</v>
      </c>
      <c r="BJ11" s="19" t="n">
        <f aca="false">-Construction!BJ13+Funding!BJ39+Waterfall!BJ7*(1-Time!BJ20)-Operations!BJ45</f>
        <v>109.337364366659</v>
      </c>
      <c r="BK11" s="19" t="n">
        <f aca="false">-Construction!BK13+Funding!BK39+Waterfall!BK7*(1-Time!BK20)-Operations!BK45</f>
        <v>114.293061537872</v>
      </c>
      <c r="BL11" s="19" t="n">
        <f aca="false">-Construction!BL13+Funding!BL39+Waterfall!BL7*(1-Time!BL20)-Operations!BL45</f>
        <v>115.067690711324</v>
      </c>
      <c r="BM11" s="19" t="n">
        <f aca="false">-Construction!BM13+Funding!BM39+Waterfall!BM7*(1-Time!BM20)-Operations!BM45</f>
        <v>120.239169921338</v>
      </c>
      <c r="BN11" s="19" t="n">
        <f aca="false">-Construction!BN13+Funding!BN39+Waterfall!BN7*(1-Time!BN20)-Operations!BN45</f>
        <v>121.050527222382</v>
      </c>
      <c r="BO11" s="19" t="n">
        <f aca="false">-Construction!BO13+Funding!BO39+Waterfall!BO7*(1-Time!BO20)-Operations!BO45</f>
        <v>107.888776102879</v>
      </c>
      <c r="BP11" s="19" t="n">
        <f aca="false">-Construction!BP13+Funding!BP39+Waterfall!BP7*(1-Time!BP20)-Operations!BP45</f>
        <v>109.446382107727</v>
      </c>
      <c r="BQ11" s="19" t="n">
        <f aca="false">-Construction!BQ13+Funding!BQ39+Waterfall!BQ7*(1-Time!BQ20)-Operations!BQ45</f>
        <v>114.461289187612</v>
      </c>
      <c r="BR11" s="19" t="n">
        <f aca="false">-Construction!BR13+Funding!BR39+Waterfall!BR7*(1-Time!BR20)-Operations!BR45</f>
        <v>113.830368647306</v>
      </c>
      <c r="BS11" s="19" t="n">
        <f aca="false">-Construction!BS13+Funding!BS39+Waterfall!BS7*(1-Time!BS20)-Operations!BS45</f>
        <v>119.657250663285</v>
      </c>
      <c r="BT11" s="19" t="n">
        <f aca="false">-Construction!BT13+Funding!BT39+Waterfall!BT7*(1-Time!BT20)-Operations!BT45</f>
        <v>119.004102048023</v>
      </c>
      <c r="BU11" s="19" t="n">
        <f aca="false">-Construction!BU13+Funding!BU39+Waterfall!BU7*(1-Time!BU20)-Operations!BU45</f>
        <v>143.656975256623</v>
      </c>
      <c r="BV11" s="19" t="n">
        <f aca="false">-Construction!BV13+Funding!BV39+Waterfall!BV7*(1-Time!BV20)-Operations!BV45</f>
        <v>142.980608731004</v>
      </c>
      <c r="BW11" s="19" t="n">
        <f aca="false">-Construction!BW13+Funding!BW39+Waterfall!BW7*(1-Time!BW20)-Operations!BW45</f>
        <v>142.86428891831</v>
      </c>
      <c r="BX11" s="19" t="n">
        <f aca="false">-Construction!BX13+Funding!BX39+Waterfall!BX7*(1-Time!BX20)-Operations!BX45</f>
        <v>117.774604516838</v>
      </c>
      <c r="BY11" s="19" t="n">
        <f aca="false">-Construction!BY13+Funding!BY39+Waterfall!BY7*(1-Time!BY20)-Operations!BY45</f>
        <v>121.438412778792</v>
      </c>
      <c r="BZ11" s="19" t="n">
        <f aca="false">-Construction!BZ13+Funding!BZ39+Waterfall!BZ7*(1-Time!BZ20)-Operations!BZ45</f>
        <v>120.414290082536</v>
      </c>
      <c r="CA11" s="19" t="n">
        <f aca="false">-Construction!CA13+Funding!CA39+Waterfall!CA7*(1-Time!CA20)-Operations!CA45</f>
        <v>112.832241226464</v>
      </c>
      <c r="CB11" s="19" t="n">
        <f aca="false">-Construction!CB13+Funding!CB39+Waterfall!CB7*(1-Time!CB20)-Operations!CB45</f>
        <v>111.804952994684</v>
      </c>
      <c r="CC11" s="19" t="n">
        <f aca="false">-Construction!CC13+Funding!CC39+Waterfall!CC7*(1-Time!CC20)-Operations!CC45</f>
        <v>116.403223024599</v>
      </c>
      <c r="CD11" s="19" t="n">
        <f aca="false">-Construction!CD13+Funding!CD39+Waterfall!CD7*(1-Time!CD20)-Operations!CD45</f>
        <v>115.327676826184</v>
      </c>
      <c r="CE11" s="19" t="n">
        <f aca="false">-Construction!CE13+Funding!CE39+Waterfall!CE7*(1-Time!CE20)-Operations!CE45</f>
        <v>114.241065683596</v>
      </c>
      <c r="CF11" s="19" t="n">
        <f aca="false">-Construction!CF13+Funding!CF39+Waterfall!CF7*(1-Time!CF20)-Operations!CF45</f>
        <v>113.857760064061</v>
      </c>
      <c r="CG11" s="19" t="n">
        <f aca="false">-Construction!CG13+Funding!CG39+Waterfall!CG7*(1-Time!CG20)-Operations!CG45</f>
        <v>142.112362901006</v>
      </c>
      <c r="CH11" s="19" t="n">
        <f aca="false">-Construction!CH13+Funding!CH39+Waterfall!CH7*(1-Time!CH20)-Operations!CH45</f>
        <v>119.153667117229</v>
      </c>
      <c r="CI11" s="19" t="n">
        <f aca="false">-Construction!CI13+Funding!CI39+Waterfall!CI7*(1-Time!CI20)-Operations!CI45</f>
        <v>124.61200465455</v>
      </c>
      <c r="CJ11" s="19" t="n">
        <f aca="false">-Construction!CJ13+Funding!CJ39+Waterfall!CJ7*(1-Time!CJ20)-Operations!CJ45</f>
        <v>123.586226936254</v>
      </c>
      <c r="CK11" s="19" t="n">
        <f aca="false">-Construction!CK13+Funding!CK39+Waterfall!CK7*(1-Time!CK20)-Operations!CK45</f>
        <v>145.507193900089</v>
      </c>
      <c r="CL11" s="19" t="n">
        <f aca="false">-Construction!CL13+Funding!CL39+Waterfall!CL7*(1-Time!CL20)-Operations!CL45</f>
        <v>133.966865818315</v>
      </c>
      <c r="CM11" s="19" t="n">
        <f aca="false">-Construction!CM13+Funding!CM39+Waterfall!CM7*(1-Time!CM20)-Operations!CM45</f>
        <v>139.822490878482</v>
      </c>
      <c r="CN11" s="19" t="n">
        <f aca="false">-Construction!CN13+Funding!CN39+Waterfall!CN7*(1-Time!CN20)-Operations!CN45</f>
        <v>139.557403854145</v>
      </c>
      <c r="CO11" s="19" t="n">
        <f aca="false">-Construction!CO13+Funding!CO39+Waterfall!CO7*(1-Time!CO20)-Operations!CO45</f>
        <v>144.778832089402</v>
      </c>
      <c r="CP11" s="19" t="n">
        <f aca="false">-Construction!CP13+Funding!CP39+Waterfall!CP7*(1-Time!CP20)-Operations!CP45</f>
        <v>157.063605300249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0.0716469822783381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5554.05798824392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11.9722770333237</v>
      </c>
      <c r="AA13" s="19" t="n">
        <f aca="false">AA11+Tax!AA23</f>
        <v>26.8224075022113</v>
      </c>
      <c r="AB13" s="19" t="n">
        <f aca="false">AB11+Tax!AB23</f>
        <v>32.0874032911033</v>
      </c>
      <c r="AC13" s="19" t="n">
        <f aca="false">AC11+Tax!AC23</f>
        <v>34.0691482578989</v>
      </c>
      <c r="AD13" s="19" t="n">
        <f aca="false">AD11+Tax!AD23</f>
        <v>37.6581565302267</v>
      </c>
      <c r="AE13" s="19" t="n">
        <f aca="false">AE11+Tax!AE23</f>
        <v>39.9820970130466</v>
      </c>
      <c r="AF13" s="19" t="n">
        <f aca="false">AF11+Tax!AF23</f>
        <v>42.8427680508151</v>
      </c>
      <c r="AG13" s="19" t="n">
        <f aca="false">AG11+Tax!AG23</f>
        <v>45.33785143152</v>
      </c>
      <c r="AH13" s="19" t="n">
        <f aca="false">AH11+Tax!AH23</f>
        <v>46.2520931917594</v>
      </c>
      <c r="AI13" s="19" t="n">
        <f aca="false">AI11+Tax!AI23</f>
        <v>45.551782513232</v>
      </c>
      <c r="AJ13" s="19" t="n">
        <f aca="false">AJ11+Tax!AJ23</f>
        <v>46.8035444864203</v>
      </c>
      <c r="AK13" s="19" t="n">
        <f aca="false">AK11+Tax!AK23</f>
        <v>49.2236628351718</v>
      </c>
      <c r="AL13" s="19" t="n">
        <f aca="false">AL11+Tax!AL23</f>
        <v>50.2663422890722</v>
      </c>
      <c r="AM13" s="19" t="n">
        <f aca="false">AM11+Tax!AM23</f>
        <v>53.1536009858225</v>
      </c>
      <c r="AN13" s="19" t="n">
        <f aca="false">AN11+Tax!AN23</f>
        <v>54.2668945404405</v>
      </c>
      <c r="AO13" s="19" t="n">
        <f aca="false">AO11+Tax!AO23</f>
        <v>60.5401249493982</v>
      </c>
      <c r="AP13" s="19" t="n">
        <f aca="false">AP11+Tax!AP23</f>
        <v>61.7257353086905</v>
      </c>
      <c r="AQ13" s="19" t="n">
        <f aca="false">AQ11+Tax!AQ23</f>
        <v>54.7144157833967</v>
      </c>
      <c r="AR13" s="19" t="n">
        <f aca="false">AR11+Tax!AR23</f>
        <v>56.3463027918885</v>
      </c>
      <c r="AS13" s="19" t="n">
        <f aca="false">AS11+Tax!AS23</f>
        <v>59.4763327817232</v>
      </c>
      <c r="AT13" s="19" t="n">
        <f aca="false">AT11+Tax!AT23</f>
        <v>60.8259461880899</v>
      </c>
      <c r="AU13" s="19" t="n">
        <f aca="false">AU11+Tax!AU23</f>
        <v>64.5609708438497</v>
      </c>
      <c r="AV13" s="19" t="n">
        <f aca="false">AV11+Tax!AV23</f>
        <v>66.0005264515732</v>
      </c>
      <c r="AW13" s="19" t="n">
        <f aca="false">AW11+Tax!AW23</f>
        <v>71.5445973819467</v>
      </c>
      <c r="AX13" s="19" t="n">
        <f aca="false">AX11+Tax!AX23</f>
        <v>72.0892426109825</v>
      </c>
      <c r="AY13" s="19" t="n">
        <f aca="false">AY11+Tax!AY23</f>
        <v>71.8537583415923</v>
      </c>
      <c r="AZ13" s="19" t="n">
        <f aca="false">AZ11+Tax!AZ23</f>
        <v>72.895955386749</v>
      </c>
      <c r="BA13" s="19" t="n">
        <f aca="false">BA11+Tax!BA23</f>
        <v>76.2752291892364</v>
      </c>
      <c r="BB13" s="19" t="n">
        <f aca="false">BB11+Tax!BB23</f>
        <v>76.8770632476208</v>
      </c>
      <c r="BC13" s="19" t="n">
        <f aca="false">BC11+Tax!BC23</f>
        <v>89.2280084263935</v>
      </c>
      <c r="BD13" s="19" t="n">
        <f aca="false">BD11+Tax!BD23</f>
        <v>89.8619259684757</v>
      </c>
      <c r="BE13" s="19" t="n">
        <f aca="false">BE11+Tax!BE23</f>
        <v>98.0579163119572</v>
      </c>
      <c r="BF13" s="19" t="n">
        <f aca="false">BF11+Tax!BF23</f>
        <v>98.7254747775707</v>
      </c>
      <c r="BG13" s="19" t="n">
        <f aca="false">BG11+Tax!BG23</f>
        <v>103.194394857504</v>
      </c>
      <c r="BH13" s="19" t="n">
        <f aca="false">BH11+Tax!BH23</f>
        <v>104.468647800019</v>
      </c>
      <c r="BI13" s="19" t="n">
        <f aca="false">BI11+Tax!BI23</f>
        <v>108.601145110487</v>
      </c>
      <c r="BJ13" s="19" t="n">
        <f aca="false">BJ11+Tax!BJ23</f>
        <v>109.337364366659</v>
      </c>
      <c r="BK13" s="19" t="n">
        <f aca="false">BK11+Tax!BK23</f>
        <v>114.293061537872</v>
      </c>
      <c r="BL13" s="19" t="n">
        <f aca="false">BL11+Tax!BL23</f>
        <v>115.067690711324</v>
      </c>
      <c r="BM13" s="19" t="n">
        <f aca="false">BM11+Tax!BM23</f>
        <v>120.239169921338</v>
      </c>
      <c r="BN13" s="19" t="n">
        <f aca="false">BN11+Tax!BN23</f>
        <v>121.050527222382</v>
      </c>
      <c r="BO13" s="19" t="n">
        <f aca="false">BO11+Tax!BO23</f>
        <v>107.888776102879</v>
      </c>
      <c r="BP13" s="19" t="n">
        <f aca="false">BP11+Tax!BP23</f>
        <v>109.446382107727</v>
      </c>
      <c r="BQ13" s="19" t="n">
        <f aca="false">BQ11+Tax!BQ23</f>
        <v>114.461289187612</v>
      </c>
      <c r="BR13" s="19" t="n">
        <f aca="false">BR11+Tax!BR23</f>
        <v>113.830368647306</v>
      </c>
      <c r="BS13" s="19" t="n">
        <f aca="false">BS11+Tax!BS23</f>
        <v>119.657250663285</v>
      </c>
      <c r="BT13" s="19" t="n">
        <f aca="false">BT11+Tax!BT23</f>
        <v>119.004102048023</v>
      </c>
      <c r="BU13" s="19" t="n">
        <f aca="false">BU11+Tax!BU23</f>
        <v>143.656975256623</v>
      </c>
      <c r="BV13" s="19" t="n">
        <f aca="false">BV11+Tax!BV23</f>
        <v>142.980608731004</v>
      </c>
      <c r="BW13" s="19" t="n">
        <f aca="false">BW11+Tax!BW23</f>
        <v>149.262708532045</v>
      </c>
      <c r="BX13" s="19" t="n">
        <f aca="false">BX11+Tax!BX23</f>
        <v>149.383229003594</v>
      </c>
      <c r="BY13" s="19" t="n">
        <f aca="false">BY11+Tax!BY23</f>
        <v>155.081275278141</v>
      </c>
      <c r="BZ13" s="19" t="n">
        <f aca="false">BZ11+Tax!BZ23</f>
        <v>154.355393646788</v>
      </c>
      <c r="CA13" s="19" t="n">
        <f aca="false">CA11+Tax!CA23</f>
        <v>149.108563709203</v>
      </c>
      <c r="CB13" s="19" t="n">
        <f aca="false">CB11+Tax!CB23</f>
        <v>148.356328487094</v>
      </c>
      <c r="CC13" s="19" t="n">
        <f aca="false">CC11+Tax!CC23</f>
        <v>155.369245967277</v>
      </c>
      <c r="CD13" s="19" t="n">
        <f aca="false">CD11+Tax!CD23</f>
        <v>154.589554504956</v>
      </c>
      <c r="CE13" s="19" t="n">
        <f aca="false">CE11+Tax!CE23</f>
        <v>156.045084988729</v>
      </c>
      <c r="CF13" s="19" t="n">
        <f aca="false">CF11+Tax!CF23</f>
        <v>156.193355870517</v>
      </c>
      <c r="CG13" s="19" t="n">
        <f aca="false">CG11+Tax!CG23</f>
        <v>165.207309689514</v>
      </c>
      <c r="CH13" s="19" t="n">
        <f aca="false">CH11+Tax!CH23</f>
        <v>164.132197872336</v>
      </c>
      <c r="CI13" s="19" t="n">
        <f aca="false">CI11+Tax!CI23</f>
        <v>171.9883383825</v>
      </c>
      <c r="CJ13" s="19" t="n">
        <f aca="false">CJ11+Tax!CJ23</f>
        <v>170.876018722152</v>
      </c>
      <c r="CK13" s="19" t="n">
        <f aca="false">CK11+Tax!CK23</f>
        <v>184.826252975163</v>
      </c>
      <c r="CL13" s="19" t="n">
        <f aca="false">CL11+Tax!CL23</f>
        <v>183.675343058379</v>
      </c>
      <c r="CM13" s="19" t="n">
        <f aca="false">CM11+Tax!CM23</f>
        <v>192.150072974524</v>
      </c>
      <c r="CN13" s="19" t="n">
        <f aca="false">CN11+Tax!CN23</f>
        <v>192.077001640399</v>
      </c>
      <c r="CO13" s="19" t="n">
        <f aca="false">CO11+Tax!CO23</f>
        <v>199.733799562924</v>
      </c>
      <c r="CP13" s="19" t="n">
        <f aca="false">CP11+Tax!CP23</f>
        <v>170.579602412448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0.0747998084657357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611.048967552042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7108.05798824392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11.9722770333237</v>
      </c>
      <c r="AA17" s="19" t="n">
        <f aca="false">Operations!AA32-Operations!AA44-Operations!AA36-Reserves!AA22+Operations!AA31</f>
        <v>26.8224075022113</v>
      </c>
      <c r="AB17" s="19" t="n">
        <f aca="false">Operations!AB32-Operations!AB44-Operations!AB36-Reserves!AB22+Operations!AB31</f>
        <v>32.0874032911033</v>
      </c>
      <c r="AC17" s="19" t="n">
        <f aca="false">Operations!AC32-Operations!AC44-Operations!AC36-Reserves!AC22+Operations!AC31</f>
        <v>34.0691482578989</v>
      </c>
      <c r="AD17" s="19" t="n">
        <f aca="false">Operations!AD32-Operations!AD44-Operations!AD36-Reserves!AD22+Operations!AD31</f>
        <v>37.6581565302267</v>
      </c>
      <c r="AE17" s="19" t="n">
        <f aca="false">Operations!AE32-Operations!AE44-Operations!AE36-Reserves!AE22+Operations!AE31</f>
        <v>39.9820970130466</v>
      </c>
      <c r="AF17" s="19" t="n">
        <f aca="false">Operations!AF32-Operations!AF44-Operations!AF36-Reserves!AF22+Operations!AF31</f>
        <v>42.8427680508151</v>
      </c>
      <c r="AG17" s="19" t="n">
        <f aca="false">Operations!AG32-Operations!AG44-Operations!AG36-Reserves!AG22+Operations!AG31</f>
        <v>45.33785143152</v>
      </c>
      <c r="AH17" s="19" t="n">
        <f aca="false">Operations!AH32-Operations!AH44-Operations!AH36-Reserves!AH22+Operations!AH31</f>
        <v>46.2520931917594</v>
      </c>
      <c r="AI17" s="19" t="n">
        <f aca="false">Operations!AI32-Operations!AI44-Operations!AI36-Reserves!AI22+Operations!AI31</f>
        <v>48.7663948248451</v>
      </c>
      <c r="AJ17" s="19" t="n">
        <f aca="false">Operations!AJ32-Operations!AJ44-Operations!AJ36-Reserves!AJ22+Operations!AJ31</f>
        <v>50.0181567980334</v>
      </c>
      <c r="AK17" s="19" t="n">
        <f aca="false">Operations!AK32-Operations!AK44-Operations!AK36-Reserves!AK22+Operations!AK31</f>
        <v>52.4382751467849</v>
      </c>
      <c r="AL17" s="19" t="n">
        <f aca="false">Operations!AL32-Operations!AL44-Operations!AL36-Reserves!AL22+Operations!AL31</f>
        <v>53.4809546006853</v>
      </c>
      <c r="AM17" s="19" t="n">
        <f aca="false">Operations!AM32-Operations!AM44-Operations!AM36-Reserves!AM22+Operations!AM31</f>
        <v>56.3682132974356</v>
      </c>
      <c r="AN17" s="19" t="n">
        <f aca="false">Operations!AN32-Operations!AN44-Operations!AN36-Reserves!AN22+Operations!AN31</f>
        <v>57.4815068520536</v>
      </c>
      <c r="AO17" s="19" t="n">
        <f aca="false">Operations!AO32-Operations!AO44-Operations!AO36-Reserves!AO22+Operations!AO31</f>
        <v>41.2524510797196</v>
      </c>
      <c r="AP17" s="19" t="n">
        <f aca="false">Operations!AP32-Operations!AP44-Operations!AP36-Reserves!AP22+Operations!AP31</f>
        <v>61.7257353086905</v>
      </c>
      <c r="AQ17" s="19" t="n">
        <f aca="false">Operations!AQ32-Operations!AQ44-Operations!AQ36-Reserves!AQ22+Operations!AQ31</f>
        <v>64.9973327655333</v>
      </c>
      <c r="AR17" s="19" t="n">
        <f aca="false">Operations!AR32-Operations!AR44-Operations!AR36-Reserves!AR22+Operations!AR31</f>
        <v>66.6292197740251</v>
      </c>
      <c r="AS17" s="19" t="n">
        <f aca="false">Operations!AS32-Operations!AS44-Operations!AS36-Reserves!AS22+Operations!AS31</f>
        <v>69.7592497638598</v>
      </c>
      <c r="AT17" s="19" t="n">
        <f aca="false">Operations!AT32-Operations!AT44-Operations!AT36-Reserves!AT22+Operations!AT31</f>
        <v>71.1088631702265</v>
      </c>
      <c r="AU17" s="19" t="n">
        <f aca="false">Operations!AU32-Operations!AU44-Operations!AU36-Reserves!AU22+Operations!AU31</f>
        <v>74.8438878259863</v>
      </c>
      <c r="AV17" s="19" t="n">
        <f aca="false">Operations!AV32-Operations!AV44-Operations!AV36-Reserves!AV22+Operations!AV31</f>
        <v>76.2834434337098</v>
      </c>
      <c r="AW17" s="19" t="n">
        <f aca="false">Operations!AW32-Operations!AW44-Operations!AW36-Reserves!AW22+Operations!AW31</f>
        <v>18.1392810049334</v>
      </c>
      <c r="AX17" s="19" t="n">
        <f aca="false">Operations!AX32-Operations!AX44-Operations!AX36-Reserves!AX22+Operations!AX31</f>
        <v>80.3814281267887</v>
      </c>
      <c r="AY17" s="19" t="n">
        <f aca="false">Operations!AY32-Operations!AY44-Operations!AY36-Reserves!AY22+Operations!AY31</f>
        <v>84.062636812239</v>
      </c>
      <c r="AZ17" s="19" t="n">
        <f aca="false">Operations!AZ32-Operations!AZ44-Operations!AZ36-Reserves!AZ22+Operations!AZ31</f>
        <v>85.1048338573957</v>
      </c>
      <c r="BA17" s="19" t="n">
        <f aca="false">Operations!BA32-Operations!BA44-Operations!BA36-Reserves!BA22+Operations!BA31</f>
        <v>88.4841076598831</v>
      </c>
      <c r="BB17" s="19" t="n">
        <f aca="false">Operations!BB32-Operations!BB44-Operations!BB36-Reserves!BB22+Operations!BB31</f>
        <v>89.0859417182675</v>
      </c>
      <c r="BC17" s="19" t="n">
        <f aca="false">Operations!BC32-Operations!BC44-Operations!BC36-Reserves!BC22+Operations!BC31</f>
        <v>43.3915882863965</v>
      </c>
      <c r="BD17" s="19" t="n">
        <f aca="false">Operations!BD32-Operations!BD44-Operations!BD36-Reserves!BD22+Operations!BD31</f>
        <v>93.7786189233161</v>
      </c>
      <c r="BE17" s="19" t="n">
        <f aca="false">Operations!BE32-Operations!BE44-Operations!BE36-Reserves!BE22+Operations!BE31</f>
        <v>74.5577585829145</v>
      </c>
      <c r="BF17" s="19" t="n">
        <f aca="false">Operations!BF32-Operations!BF44-Operations!BF36-Reserves!BF22+Operations!BF31</f>
        <v>98.7254747775707</v>
      </c>
      <c r="BG17" s="19" t="n">
        <f aca="false">Operations!BG32-Operations!BG44-Operations!BG36-Reserves!BG22+Operations!BG31</f>
        <v>103.194394857504</v>
      </c>
      <c r="BH17" s="19" t="n">
        <f aca="false">Operations!BH32-Operations!BH44-Operations!BH36-Reserves!BH22+Operations!BH31</f>
        <v>104.468647800019</v>
      </c>
      <c r="BI17" s="19" t="n">
        <f aca="false">Operations!BI32-Operations!BI44-Operations!BI36-Reserves!BI22+Operations!BI31</f>
        <v>108.601145110487</v>
      </c>
      <c r="BJ17" s="19" t="n">
        <f aca="false">Operations!BJ32-Operations!BJ44-Operations!BJ36-Reserves!BJ22+Operations!BJ31</f>
        <v>109.337364366659</v>
      </c>
      <c r="BK17" s="19" t="n">
        <f aca="false">Operations!BK32-Operations!BK44-Operations!BK36-Reserves!BK22+Operations!BK31</f>
        <v>114.293061537872</v>
      </c>
      <c r="BL17" s="19" t="n">
        <f aca="false">Operations!BL32-Operations!BL44-Operations!BL36-Reserves!BL22+Operations!BL31</f>
        <v>115.067690711324</v>
      </c>
      <c r="BM17" s="19" t="n">
        <f aca="false">Operations!BM32-Operations!BM44-Operations!BM36-Reserves!BM22+Operations!BM31</f>
        <v>120.239169921338</v>
      </c>
      <c r="BN17" s="19" t="n">
        <f aca="false">Operations!BN32-Operations!BN44-Operations!BN36-Reserves!BN22+Operations!BN31</f>
        <v>121.050527222382</v>
      </c>
      <c r="BO17" s="19" t="n">
        <f aca="false">Operations!BO32-Operations!BO44-Operations!BO36-Reserves!BO22+Operations!BO31</f>
        <v>126.490266277641</v>
      </c>
      <c r="BP17" s="19" t="n">
        <f aca="false">Operations!BP32-Operations!BP44-Operations!BP36-Reserves!BP22+Operations!BP31</f>
        <v>128.047872282489</v>
      </c>
      <c r="BQ17" s="19" t="n">
        <f aca="false">Operations!BQ32-Operations!BQ44-Operations!BQ36-Reserves!BQ22+Operations!BQ31</f>
        <v>133.062779362374</v>
      </c>
      <c r="BR17" s="19" t="n">
        <f aca="false">Operations!BR32-Operations!BR44-Operations!BR36-Reserves!BR22+Operations!BR31</f>
        <v>132.431858822068</v>
      </c>
      <c r="BS17" s="19" t="n">
        <f aca="false">Operations!BS32-Operations!BS44-Operations!BS36-Reserves!BS22+Operations!BS31</f>
        <v>138.258740838047</v>
      </c>
      <c r="BT17" s="19" t="n">
        <f aca="false">Operations!BT32-Operations!BT44-Operations!BT36-Reserves!BT22+Operations!BT31</f>
        <v>137.605592222785</v>
      </c>
      <c r="BU17" s="19" t="n">
        <f aca="false">Operations!BU32-Operations!BU44-Operations!BU36-Reserves!BU22+Operations!BU31</f>
        <v>32.0480342080493</v>
      </c>
      <c r="BV17" s="19" t="n">
        <f aca="false">Operations!BV32-Operations!BV44-Operations!BV36-Reserves!BV22+Operations!BV31</f>
        <v>142.980608731004</v>
      </c>
      <c r="BW17" s="19" t="n">
        <f aca="false">Operations!BW32-Operations!BW44-Operations!BW36-Reserves!BW22+Operations!BW31</f>
        <v>149.262708532045</v>
      </c>
      <c r="BX17" s="19" t="n">
        <f aca="false">Operations!BX32-Operations!BX44-Operations!BX36-Reserves!BX22+Operations!BX31</f>
        <v>149.383229003594</v>
      </c>
      <c r="BY17" s="19" t="n">
        <f aca="false">Operations!BY32-Operations!BY44-Operations!BY36-Reserves!BY22+Operations!BY31</f>
        <v>155.081275278141</v>
      </c>
      <c r="BZ17" s="19" t="n">
        <f aca="false">Operations!BZ32-Operations!BZ44-Operations!BZ36-Reserves!BZ22+Operations!BZ31</f>
        <v>154.355393646788</v>
      </c>
      <c r="CA17" s="19" t="n">
        <f aca="false">Operations!CA32-Operations!CA44-Operations!CA36-Reserves!CA22+Operations!CA31</f>
        <v>161.118120788007</v>
      </c>
      <c r="CB17" s="19" t="n">
        <f aca="false">Operations!CB32-Operations!CB44-Operations!CB36-Reserves!CB22+Operations!CB31</f>
        <v>160.365885565898</v>
      </c>
      <c r="CC17" s="19" t="n">
        <f aca="false">Operations!CC32-Operations!CC44-Operations!CC36-Reserves!CC22+Operations!CC31</f>
        <v>167.378803046082</v>
      </c>
      <c r="CD17" s="19" t="n">
        <f aca="false">Operations!CD32-Operations!CD44-Operations!CD36-Reserves!CD22+Operations!CD31</f>
        <v>166.599111583761</v>
      </c>
      <c r="CE17" s="19" t="n">
        <f aca="false">Operations!CE32-Operations!CE44-Operations!CE36-Reserves!CE22+Operations!CE31</f>
        <v>173.868994773395</v>
      </c>
      <c r="CF17" s="19" t="n">
        <f aca="false">Operations!CF32-Operations!CF44-Operations!CF36-Reserves!CF22+Operations!CF31</f>
        <v>174.017265655184</v>
      </c>
      <c r="CG17" s="19" t="n">
        <f aca="false">Operations!CG32-Operations!CG44-Operations!CG36-Reserves!CG22+Operations!CG31</f>
        <v>108.587024591335</v>
      </c>
      <c r="CH17" s="19" t="n">
        <f aca="false">Operations!CH32-Operations!CH44-Operations!CH36-Reserves!CH22+Operations!CH31</f>
        <v>179.809822863703</v>
      </c>
      <c r="CI17" s="19" t="n">
        <f aca="false">Operations!CI32-Operations!CI44-Operations!CI36-Reserves!CI22+Operations!CI31</f>
        <v>187.665963373867</v>
      </c>
      <c r="CJ17" s="19" t="n">
        <f aca="false">Operations!CJ32-Operations!CJ44-Operations!CJ36-Reserves!CJ22+Operations!CJ31</f>
        <v>186.800225520657</v>
      </c>
      <c r="CK17" s="19" t="n">
        <f aca="false">Operations!CK32-Operations!CK44-Operations!CK36-Reserves!CK22+Operations!CK31</f>
        <v>160.049990832631</v>
      </c>
      <c r="CL17" s="19" t="n">
        <f aca="false">Operations!CL32-Operations!CL44-Operations!CL36-Reserves!CL22+Operations!CL31</f>
        <v>194.037943503337</v>
      </c>
      <c r="CM17" s="19" t="n">
        <f aca="false">Operations!CM32-Operations!CM44-Operations!CM36-Reserves!CM22+Operations!CM31</f>
        <v>202.512673419482</v>
      </c>
      <c r="CN17" s="19" t="n">
        <f aca="false">Operations!CN32-Operations!CN44-Operations!CN36-Reserves!CN22+Operations!CN31</f>
        <v>202.698667096481</v>
      </c>
      <c r="CO17" s="19" t="n">
        <f aca="false">Operations!CO32-Operations!CO44-Operations!CO36-Reserves!CO22+Operations!CO31</f>
        <v>210.355465019007</v>
      </c>
      <c r="CP17" s="19" t="n">
        <f aca="false">Operations!CP32-Operations!CP44-Operations!CP36-Reserves!CP22+Operations!CP31</f>
        <v>79.0421131852885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1716.37922454594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1703.87922454594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302.045797778302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1722.8674656638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504.798501588041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429.078726349835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75.7197752382061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44.2802247617939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7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1.58669111415317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2.58851571509434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1.53928571918228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2.5475174593014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2.83248729827533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0.108237746791546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-29.506125807808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0.0716469822783381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