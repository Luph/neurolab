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Inputs!$F$6</definedName>
  </definedNames>
  <calcPr calcId="124519" fullCalcOnLoad="1" iterate="1" iterateCount="1000" iterateDelta="1e-07"/>
</workbook>
</file>

<file path=xl/styles.xml><?xml version="1.0" encoding="utf-8"?>
<styleSheet xmlns="http://schemas.openxmlformats.org/spreadsheetml/2006/main">
  <numFmts count="12">
    <numFmt numFmtId="164" formatCode="yyyy-mm-dd"/>
    <numFmt numFmtId="165" formatCode="0.000000"/>
    <numFmt numFmtId="166" formatCode="0.0E+00"/>
    <numFmt numFmtId="167" formatCode="0.0"/>
    <numFmt numFmtId="168" formatCode="#,##0.0;(#,##0.0);&quot;–&quot;"/>
    <numFmt numFmtId="169" formatCode="0.00&quot;x&quot;"/>
    <numFmt numFmtId="170" formatCode="0.0000"/>
    <numFmt numFmtId="171" formatCode="0.000"/>
    <numFmt numFmtId="172" formatCode="0.0000%"/>
    <numFmt numFmtId="173" formatCode="#,##0.000000"/>
    <numFmt numFmtId="174" formatCode="#,##0.0000"/>
    <numFmt numFmtId="175" formatCode="#,##0.000"/>
  </numFmts>
  <fonts count="5">
    <font>
      <name val="Calibri"/>
      <family val="2"/>
      <color theme="1"/>
      <sz val="11"/>
      <scheme val="minor"/>
    </font>
    <font>
      <b val="1"/>
      <sz val="14"/>
    </font>
    <font>
      <color rgb="00008000"/>
    </font>
    <font>
      <b val="1"/>
    </font>
    <font>
      <color rgb="000000FF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164" fontId="3" fillId="2" borderId="0" pivotButton="0" quotePrefix="0" xfId="0"/>
    <xf numFmtId="0" fontId="3" fillId="0" borderId="0" pivotButton="0" quotePrefix="0" xfId="0"/>
    <xf numFmtId="1" fontId="4" fillId="3" borderId="0" pivotButton="0" quotePrefix="0" xfId="0"/>
    <xf numFmtId="165" fontId="4" fillId="3" borderId="0" pivotButton="0" quotePrefix="0" xfId="0"/>
    <xf numFmtId="2" fontId="4" fillId="3" borderId="0" pivotButton="0" quotePrefix="0" xfId="0"/>
    <xf numFmtId="166" fontId="4" fillId="3" borderId="0" pivotButton="0" quotePrefix="0" xfId="0"/>
    <xf numFmtId="164" fontId="4" fillId="3" borderId="0" pivotButton="0" quotePrefix="0" xfId="0"/>
    <xf numFmtId="167" fontId="4" fillId="3" borderId="0" pivotButton="0" quotePrefix="0" xfId="0"/>
    <xf numFmtId="168" fontId="4" fillId="3" borderId="0" pivotButton="0" quotePrefix="0" xfId="0"/>
    <xf numFmtId="10" fontId="4" fillId="3" borderId="0" pivotButton="0" quotePrefix="0" xfId="0"/>
    <xf numFmtId="169" fontId="4" fillId="3" borderId="0" pivotButton="0" quotePrefix="0" xfId="0"/>
    <xf numFmtId="170" fontId="4" fillId="3" borderId="0" pivotButton="0" quotePrefix="0" xfId="0"/>
    <xf numFmtId="1" fontId="0" fillId="0" borderId="0" pivotButton="0" quotePrefix="0" xfId="0"/>
    <xf numFmtId="164" fontId="0" fillId="0" borderId="0" pivotButton="0" quotePrefix="0" xfId="0"/>
    <xf numFmtId="170" fontId="0" fillId="0" borderId="0" pivotButton="0" quotePrefix="0" xfId="0"/>
    <xf numFmtId="4" fontId="0" fillId="0" borderId="0" pivotButton="0" quotePrefix="0" xfId="0"/>
    <xf numFmtId="2" fontId="0" fillId="0" borderId="0" pivotButton="0" quotePrefix="0" xfId="0"/>
    <xf numFmtId="168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72" fontId="4" fillId="3" borderId="0" pivotButton="0" quotePrefix="0" xfId="0"/>
    <xf numFmtId="173" fontId="4" fillId="3" borderId="0" pivotButton="0" quotePrefix="0" xfId="0"/>
    <xf numFmtId="174" fontId="0" fillId="0" borderId="0" pivotButton="0" quotePrefix="0" xfId="0"/>
    <xf numFmtId="174" fontId="4" fillId="3" borderId="0" pivotButton="0" quotePrefix="0" xfId="0"/>
    <xf numFmtId="10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8" fontId="2" fillId="0" borderId="0" pivotButton="0" quotePrefix="0" xfId="0"/>
    <xf numFmtId="175" fontId="0" fillId="0" borderId="0" pivotButton="0" quotePrefix="0" xfId="0"/>
    <xf numFmtId="169" fontId="0" fillId="0" borderId="0" pivotButton="0" quotePrefix="0" xfId="0"/>
    <xf numFmtId="1" fontId="2" fillId="0" borderId="0" pivotButton="0" quotePrefix="0" xfId="0"/>
    <xf numFmtId="169" fontId="2" fillId="0" borderId="0" pivotButton="0" quotePrefix="0" xfId="0"/>
    <xf numFmtId="1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D1:D41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120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Cover</t>
        </is>
      </c>
    </row>
    <row r="3">
      <c r="D3" t="inlineStr">
        <is>
          <t>Case T reference model: the Merrick Link toll road PPP, State of Brannock, Commonwealth of Ardmore.</t>
        </is>
      </c>
    </row>
    <row r="4">
      <c r="D4" t="inlineStr">
        <is>
          <t>Model version 1.0; story as of October 3, 2026. Currency: Ardmore dollar (ARD), millions, nominal.</t>
        </is>
      </c>
    </row>
    <row r="5">
      <c r="D5" t="inlineStr">
        <is>
          <t>Python mirror: model/case_t.py (source of truth); verification: model/case_t_verification.md.</t>
        </is>
      </c>
    </row>
    <row r="6">
      <c r="D6" t="inlineStr"/>
    </row>
    <row r="7">
      <c r="D7" t="inlineStr">
        <is>
          <t>How to use: choose the scenario in Inputs!F (named range Scenario):</t>
        </is>
      </c>
    </row>
    <row r="8">
      <c r="D8" t="inlineStr">
        <is>
          <t xml:space="preserve">   1 = Bid base (Pellow traffic), locked financing</t>
        </is>
      </c>
    </row>
    <row r="9">
      <c r="D9" t="inlineStr">
        <is>
          <t xml:space="preserve">   2 = Banking case (Ridgeway traffic), live debt sizing</t>
        </is>
      </c>
    </row>
    <row r="10">
      <c r="D10" t="inlineStr">
        <is>
          <t xml:space="preserve">   3 = Downside traffic, locked financing</t>
        </is>
      </c>
    </row>
    <row r="11">
      <c r="D11" t="inlineStr">
        <is>
          <t xml:space="preserve">   4 = Actual history to 2026H1, then Ridgeway 2023 case; restructuring at 2023-12-31</t>
        </is>
      </c>
    </row>
    <row r="12">
      <c r="D12" t="inlineStr">
        <is>
          <t xml:space="preserve">   5 = Restructuring case: actual history to 2023H2, Ridgeway 2023 case from 2024 (live notes sculpting)</t>
        </is>
      </c>
    </row>
    <row r="13">
      <c r="D13" t="inlineStr">
        <is>
          <t xml:space="preserve">   6 = Retender valuation at 2022-06-30 (actual to 2022H1, retender traffic case after)</t>
        </is>
      </c>
    </row>
    <row r="14">
      <c r="D14" t="inlineStr">
        <is>
          <t xml:space="preserve">   7 = Sensitivity: traffic -10%</t>
        </is>
      </c>
    </row>
    <row r="15">
      <c r="D15" t="inlineStr">
        <is>
          <t xml:space="preserve">   8 = Sensitivity: ramp-up one year slower</t>
        </is>
      </c>
    </row>
    <row r="16">
      <c r="D16" t="inlineStr">
        <is>
          <t xml:space="preserve">   9 = Sensitivity: toll escalation CPI only</t>
        </is>
      </c>
    </row>
    <row r="17">
      <c r="D17" t="inlineStr">
        <is>
          <t xml:space="preserve">   10 = Sensitivity: opex +10%</t>
        </is>
      </c>
    </row>
    <row r="18">
      <c r="D18" t="inlineStr">
        <is>
          <t xml:space="preserve">   11 = Sensitivity: lifecycle +20%</t>
        </is>
      </c>
    </row>
    <row r="19">
      <c r="D19" t="inlineStr">
        <is>
          <t xml:space="preserve">   12 = Sensitivity: interest +100 bp on refinancing</t>
        </is>
      </c>
    </row>
    <row r="20">
      <c r="D20" t="inlineStr">
        <is>
          <t xml:space="preserve">   13 = Sensitivity: heavy-vehicle share -2 points</t>
        </is>
      </c>
    </row>
    <row r="21">
      <c r="D21" t="inlineStr">
        <is>
          <t xml:space="preserve">   14 = Bid variant: Pellow low value of time (51.2), locked financing</t>
        </is>
      </c>
    </row>
    <row r="22">
      <c r="D22" t="inlineStr">
        <is>
          <t xml:space="preserve">   15 = Bid variant: Pellow central value of time (54.6), locked financing</t>
        </is>
      </c>
    </row>
    <row r="23">
      <c r="D23" t="inlineStr"/>
    </row>
    <row r="24">
      <c r="D24" t="inlineStr">
        <is>
          <t>Contribution option (Inputs): 1 = bid ARD 287.4 million; 2 = contribution solved by the Python mirror for an</t>
        </is>
      </c>
    </row>
    <row r="25">
      <c r="D25" t="inlineStr">
        <is>
          <t xml:space="preserve">   11.4% equity IRR on the banking case (run with Scenario 2; Returns shows the IRR it delivers).</t>
        </is>
      </c>
    </row>
    <row r="26">
      <c r="D26" t="inlineStr"/>
    </row>
    <row r="27">
      <c r="D27" t="inlineStr">
        <is>
          <t>Circularity: financing costs during construction, the funding requirement, debt sizing, tax and the sculpting</t>
        </is>
      </c>
    </row>
    <row r="28">
      <c r="D28" t="inlineStr">
        <is>
          <t xml:space="preserve">   divisors are circular. The file is saved with iterative calculation on (File &gt; Options &gt; Formulas &gt;</t>
        </is>
      </c>
    </row>
    <row r="29">
      <c r="D29" t="inlineStr">
        <is>
          <t xml:space="preserve">   Enable iterative calculation, 1,000 iterations, maximum change 0.0000001). Circuit breaker: Inputs Circ.</t>
        </is>
      </c>
    </row>
    <row r="30">
      <c r="D30" t="inlineStr">
        <is>
          <t xml:space="preserve">   Set Circ to 0 if errors ever propagate (the locked financing is then used and the loop is cut), recalculate,</t>
        </is>
      </c>
    </row>
    <row r="31">
      <c r="D31" t="inlineStr">
        <is>
          <t xml:space="preserve">   then set it back to 1.</t>
        </is>
      </c>
    </row>
    <row r="32">
      <c r="D32" t="inlineStr"/>
    </row>
    <row r="33">
      <c r="D33" t="inlineStr">
        <is>
          <t>Sizing: Scenario 2 sizes the debt live. Every other scenario uses the locked banking-case financing on the</t>
        </is>
      </c>
    </row>
    <row r="34">
      <c r="D34" t="inlineStr">
        <is>
          <t xml:space="preserve">   Inputs sheet (as a lender's model does once the debt is sized). Checks shows live = locked in Scenario 2.</t>
        </is>
      </c>
    </row>
    <row r="35">
      <c r="D35" t="inlineStr">
        <is>
          <t xml:space="preserve">   Scenario 5 sculpts the Restructured Senior Notes and the restructured NILO loan live; Scenario 4 uses</t>
        </is>
      </c>
    </row>
    <row r="36">
      <c r="D36" t="inlineStr">
        <is>
          <t xml:space="preserve">   those profiles locked.</t>
        </is>
      </c>
    </row>
    <row r="37">
      <c r="D37" t="inlineStr"/>
    </row>
    <row r="38">
      <c r="D38" t="inlineStr">
        <is>
          <t>Sheets: Inputs, Time, Construction, Operations, Tax, Funding, Debt, Reserves, Waterfall, Financials, Ratios,</t>
        </is>
      </c>
    </row>
    <row r="39">
      <c r="D39" t="inlineStr">
        <is>
          <t xml:space="preserve">   Returns (equity, project, PSC and value for money, termination, restructuring), Checks, Outputs.</t>
        </is>
      </c>
    </row>
    <row r="40">
      <c r="D40" t="inlineStr">
        <is>
          <t>Conventions: time across columns from column J; one formula per row; flags are 1/0; costs positive and</t>
        </is>
      </c>
    </row>
    <row r="41">
      <c r="D41" t="inlineStr">
        <is>
          <t xml:space="preserve">   subtracted; tables show negatives in parentheses.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D1:DB281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Inputs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Switches</t>
        </is>
      </c>
    </row>
    <row r="6">
      <c r="D6" t="inlineStr">
        <is>
          <t>Scenario (1-15, see Cover)</t>
        </is>
      </c>
      <c r="E6" t="inlineStr">
        <is>
          <t>#</t>
        </is>
      </c>
      <c r="F6" s="4" t="n">
        <v>2</v>
      </c>
    </row>
    <row r="7">
      <c r="D7" t="inlineStr">
        <is>
          <t>Contribution option (1 = bid, 2 = solved for 11.4% on banking)</t>
        </is>
      </c>
      <c r="E7" t="inlineStr">
        <is>
          <t>#</t>
        </is>
      </c>
      <c r="F7" s="4" t="n">
        <v>1</v>
      </c>
    </row>
    <row r="8">
      <c r="D8" t="inlineStr">
        <is>
          <t>Circuit breaker (1 = live circular links, 0 = cut)</t>
        </is>
      </c>
      <c r="E8" t="inlineStr">
        <is>
          <t>flag</t>
        </is>
      </c>
      <c r="F8" s="4" t="n">
        <v>1</v>
      </c>
    </row>
    <row r="9">
      <c r="D9" t="inlineStr">
        <is>
          <t>Test tolerance</t>
        </is>
      </c>
      <c r="E9" t="inlineStr">
        <is>
          <t>ARD m</t>
        </is>
      </c>
      <c r="F9" s="5" t="n">
        <v>1e-06</v>
      </c>
    </row>
    <row r="10">
      <c r="D10" t="inlineStr">
        <is>
          <t>Materiality for lock-up tests (arrears, NILO shortfall, DSRA)</t>
        </is>
      </c>
      <c r="E10" t="inlineStr">
        <is>
          <t>ARD m</t>
        </is>
      </c>
      <c r="F10" s="6" t="n">
        <v>0.01</v>
      </c>
    </row>
    <row r="11">
      <c r="D11" t="inlineStr">
        <is>
          <t>Large number for MIN helper rows</t>
        </is>
      </c>
      <c r="E11" t="inlineStr">
        <is>
          <t>#</t>
        </is>
      </c>
      <c r="F11" s="7" t="n">
        <v>1000000000000</v>
      </c>
    </row>
    <row r="13">
      <c r="D13" s="3" t="inlineStr">
        <is>
          <t>Dates</t>
        </is>
      </c>
    </row>
    <row r="14">
      <c r="D14" t="inlineStr">
        <is>
          <t>Financial close</t>
        </is>
      </c>
      <c r="E14" t="inlineStr">
        <is>
          <t>date</t>
        </is>
      </c>
      <c r="F14" s="8" t="n">
        <v>42151</v>
      </c>
    </row>
    <row r="15">
      <c r="D15" t="inlineStr">
        <is>
          <t>End of first model period</t>
        </is>
      </c>
      <c r="E15" t="inlineStr">
        <is>
          <t>date</t>
        </is>
      </c>
      <c r="F15" s="8" t="n">
        <v>42185</v>
      </c>
    </row>
    <row r="16">
      <c r="D16" t="inlineStr">
        <is>
          <t>Scheduled completion and end of construction funding</t>
        </is>
      </c>
      <c r="E16" t="inlineStr">
        <is>
          <t>date</t>
        </is>
      </c>
      <c r="F16" s="8" t="n">
        <v>43555</v>
      </c>
    </row>
    <row r="17">
      <c r="D17" t="inlineStr">
        <is>
          <t>Scheduled opening</t>
        </is>
      </c>
      <c r="E17" t="inlineStr">
        <is>
          <t>date</t>
        </is>
      </c>
      <c r="F17" s="8" t="n">
        <v>43555</v>
      </c>
    </row>
    <row r="18">
      <c r="D18" t="inlineStr">
        <is>
          <t>Actual opening</t>
        </is>
      </c>
      <c r="E18" t="inlineStr">
        <is>
          <t>date</t>
        </is>
      </c>
      <c r="F18" s="8" t="n">
        <v>43591</v>
      </c>
    </row>
    <row r="19">
      <c r="D19" t="inlineStr">
        <is>
          <t>Concession expiry (original)</t>
        </is>
      </c>
      <c r="E19" t="inlineStr">
        <is>
          <t>date</t>
        </is>
      </c>
      <c r="F19" s="8" t="n">
        <v>56030</v>
      </c>
    </row>
    <row r="20">
      <c r="D20" t="inlineStr">
        <is>
          <t>Concession expiry (extended 2023)</t>
        </is>
      </c>
      <c r="E20" t="inlineStr">
        <is>
          <t>date</t>
        </is>
      </c>
      <c r="F20" s="8" t="n">
        <v>58221</v>
      </c>
    </row>
    <row r="21">
      <c r="D21" t="inlineStr">
        <is>
          <t>Restructuring (model date)</t>
        </is>
      </c>
      <c r="E21" t="inlineStr">
        <is>
          <t>date</t>
        </is>
      </c>
      <c r="F21" s="8" t="n">
        <v>45291</v>
      </c>
    </row>
    <row r="22">
      <c r="D22" t="inlineStr">
        <is>
          <t>Senior first repayment</t>
        </is>
      </c>
      <c r="E22" t="inlineStr">
        <is>
          <t>date</t>
        </is>
      </c>
      <c r="F22" s="8" t="n">
        <v>44377</v>
      </c>
    </row>
    <row r="23">
      <c r="D23" t="inlineStr">
        <is>
          <t>Senior final repayment</t>
        </is>
      </c>
      <c r="E23" t="inlineStr">
        <is>
          <t>date</t>
        </is>
      </c>
      <c r="F23" s="8" t="n">
        <v>54423</v>
      </c>
    </row>
    <row r="24">
      <c r="D24" t="inlineStr">
        <is>
          <t>Bank margin step-up date</t>
        </is>
      </c>
      <c r="E24" t="inlineStr">
        <is>
          <t>date</t>
        </is>
      </c>
      <c r="F24" s="8" t="n">
        <v>43978</v>
      </c>
    </row>
    <row r="25">
      <c r="D25" t="inlineStr">
        <is>
          <t>Bank mini-perm maturity (refinancing or A&amp;E date)</t>
        </is>
      </c>
      <c r="E25" t="inlineStr">
        <is>
          <t>date</t>
        </is>
      </c>
      <c r="F25" s="8" t="n">
        <v>44708</v>
      </c>
    </row>
    <row r="26">
      <c r="D26" t="inlineStr">
        <is>
          <t>Swap end</t>
        </is>
      </c>
      <c r="E26" t="inlineStr">
        <is>
          <t>date</t>
        </is>
      </c>
      <c r="F26" s="8" t="n">
        <v>49490</v>
      </c>
    </row>
    <row r="27">
      <c r="D27" t="inlineStr">
        <is>
          <t>NILO interest capitalized to</t>
        </is>
      </c>
      <c r="E27" t="inlineStr">
        <is>
          <t>date</t>
        </is>
      </c>
      <c r="F27" s="8" t="n">
        <v>45382</v>
      </c>
    </row>
    <row r="28">
      <c r="D28" t="inlineStr">
        <is>
          <t>NILO first repayment (original)</t>
        </is>
      </c>
      <c r="E28" t="inlineStr">
        <is>
          <t>date</t>
        </is>
      </c>
      <c r="F28" s="8" t="n">
        <v>45473</v>
      </c>
    </row>
    <row r="29">
      <c r="D29" t="inlineStr">
        <is>
          <t>NILO final repayment (original)</t>
        </is>
      </c>
      <c r="E29" t="inlineStr">
        <is>
          <t>date</t>
        </is>
      </c>
      <c r="F29" s="8" t="n">
        <v>55884</v>
      </c>
    </row>
    <row r="30">
      <c r="D30" t="inlineStr">
        <is>
          <t>NILO first repayment (restructured)</t>
        </is>
      </c>
      <c r="E30" t="inlineStr">
        <is>
          <t>date</t>
        </is>
      </c>
      <c r="F30" s="8" t="n">
        <v>48029</v>
      </c>
    </row>
    <row r="31">
      <c r="D31" t="inlineStr">
        <is>
          <t>NILO final repayment (restructured)</t>
        </is>
      </c>
      <c r="E31" t="inlineStr">
        <is>
          <t>date</t>
        </is>
      </c>
      <c r="F31" s="8" t="n">
        <v>58075</v>
      </c>
    </row>
    <row r="32">
      <c r="D32" t="inlineStr">
        <is>
          <t>NILO PIK period end (restructured)</t>
        </is>
      </c>
      <c r="E32" t="inlineStr">
        <is>
          <t>date</t>
        </is>
      </c>
      <c r="F32" s="8" t="n">
        <v>47848</v>
      </c>
    </row>
    <row r="33">
      <c r="D33" t="inlineStr">
        <is>
          <t>Restructured notes final repayment</t>
        </is>
      </c>
      <c r="E33" t="inlineStr">
        <is>
          <t>date</t>
        </is>
      </c>
      <c r="F33" s="8" t="n">
        <v>55884</v>
      </c>
    </row>
    <row r="34">
      <c r="D34" t="inlineStr">
        <is>
          <t>Notes 50% cash sweep end</t>
        </is>
      </c>
      <c r="E34" t="inlineStr">
        <is>
          <t>date</t>
        </is>
      </c>
      <c r="F34" s="8" t="n">
        <v>47848</v>
      </c>
    </row>
    <row r="35">
      <c r="D35" t="inlineStr">
        <is>
          <t>First DSCR test date</t>
        </is>
      </c>
      <c r="E35" t="inlineStr">
        <is>
          <t>date</t>
        </is>
      </c>
      <c r="F35" s="8" t="n">
        <v>43830</v>
      </c>
    </row>
    <row r="36">
      <c r="D36" t="inlineStr">
        <is>
          <t>First default DSCR test date</t>
        </is>
      </c>
      <c r="E36" t="inlineStr">
        <is>
          <t>date</t>
        </is>
      </c>
      <c r="F36" s="8" t="n">
        <v>44196</v>
      </c>
    </row>
    <row r="37">
      <c r="D37" t="inlineStr">
        <is>
          <t>Termination comparison and fair value date</t>
        </is>
      </c>
      <c r="E37" t="inlineStr">
        <is>
          <t>date</t>
        </is>
      </c>
      <c r="F37" s="8" t="n">
        <v>44742</v>
      </c>
    </row>
    <row r="38">
      <c r="D38" t="inlineStr">
        <is>
          <t>Construction insurance second instalment</t>
        </is>
      </c>
      <c r="E38" t="inlineStr">
        <is>
          <t>date</t>
        </is>
      </c>
      <c r="F38" s="8" t="n">
        <v>42916</v>
      </c>
    </row>
    <row r="39">
      <c r="D39" t="inlineStr">
        <is>
          <t>Restructuring costs: first period end</t>
        </is>
      </c>
      <c r="E39" t="inlineStr">
        <is>
          <t>date</t>
        </is>
      </c>
      <c r="F39" s="8" t="n">
        <v>44742</v>
      </c>
    </row>
    <row r="40">
      <c r="D40" t="inlineStr">
        <is>
          <t>Interchange upgrade: first period end</t>
        </is>
      </c>
      <c r="E40" t="inlineStr">
        <is>
          <t>date</t>
        </is>
      </c>
      <c r="F40" s="8" t="n">
        <v>45473</v>
      </c>
    </row>
    <row r="41">
      <c r="D41" t="inlineStr">
        <is>
          <t>Interchange upgrade: last period end</t>
        </is>
      </c>
      <c r="E41" t="inlineStr">
        <is>
          <t>date</t>
        </is>
      </c>
      <c r="F41" s="8" t="n">
        <v>46022</v>
      </c>
    </row>
    <row r="42">
      <c r="D42" t="inlineStr">
        <is>
          <t>PSC present value date</t>
        </is>
      </c>
      <c r="E42" t="inlineStr">
        <is>
          <t>date</t>
        </is>
      </c>
      <c r="F42" s="8" t="n">
        <v>41274</v>
      </c>
    </row>
    <row r="43">
      <c r="D43" t="inlineStr">
        <is>
          <t>PSC: contribution payment date</t>
        </is>
      </c>
      <c r="E43" t="inlineStr">
        <is>
          <t>date</t>
        </is>
      </c>
      <c r="F43" s="8" t="n">
        <v>43555</v>
      </c>
    </row>
    <row r="45">
      <c r="D45" s="3" t="inlineStr">
        <is>
          <t>Conventions</t>
        </is>
      </c>
    </row>
    <row r="46">
      <c r="D46" t="inlineStr">
        <is>
          <t>Days per year (ACT/365)</t>
        </is>
      </c>
      <c r="E46" t="inlineStr">
        <is>
          <t>days</t>
        </is>
      </c>
      <c r="F46" s="4" t="n">
        <v>365</v>
      </c>
    </row>
    <row r="47">
      <c r="D47" t="inlineStr">
        <is>
          <t>Days per year (30/360)</t>
        </is>
      </c>
      <c r="E47" t="inlineStr">
        <is>
          <t>days</t>
        </is>
      </c>
      <c r="F47" s="4" t="n">
        <v>360</v>
      </c>
    </row>
    <row r="48">
      <c r="D48" t="inlineStr">
        <is>
          <t>Average days per month (period length in months)</t>
        </is>
      </c>
      <c r="E48" t="inlineStr">
        <is>
          <t>days</t>
        </is>
      </c>
      <c r="F48" s="9" t="n">
        <v>30.4</v>
      </c>
    </row>
    <row r="49">
      <c r="D49" t="inlineStr">
        <is>
          <t>Defects period</t>
        </is>
      </c>
      <c r="E49" t="inlineStr">
        <is>
          <t>months</t>
        </is>
      </c>
      <c r="F49" s="4" t="n">
        <v>24</v>
      </c>
    </row>
    <row r="50">
      <c r="D50" t="inlineStr">
        <is>
          <t>Handback funding window</t>
        </is>
      </c>
      <c r="E50" t="inlineStr">
        <is>
          <t>months</t>
        </is>
      </c>
      <c r="F50" s="4" t="n">
        <v>60</v>
      </c>
    </row>
    <row r="51">
      <c r="D51" t="inlineStr">
        <is>
          <t>Bridge draws: last construction months</t>
        </is>
      </c>
      <c r="E51" t="inlineStr">
        <is>
          <t>months</t>
        </is>
      </c>
      <c r="F51" s="4" t="n">
        <v>18</v>
      </c>
    </row>
    <row r="52">
      <c r="D52" t="inlineStr">
        <is>
          <t>Toll escalation month (July 1)</t>
        </is>
      </c>
      <c r="E52" t="inlineStr">
        <is>
          <t>#</t>
        </is>
      </c>
      <c r="F52" s="4" t="n">
        <v>7</v>
      </c>
    </row>
    <row r="53">
      <c r="D53" t="inlineStr">
        <is>
          <t>Toll rounding (decimal places)</t>
        </is>
      </c>
      <c r="E53" t="inlineStr">
        <is>
          <t>#</t>
        </is>
      </c>
      <c r="F53" s="4" t="n">
        <v>4</v>
      </c>
    </row>
    <row r="54">
      <c r="D54" t="inlineStr">
        <is>
          <t>Last year of the 3% escalation floor (July 1)</t>
        </is>
      </c>
      <c r="E54" t="inlineStr">
        <is>
          <t>year</t>
        </is>
      </c>
      <c r="F54" s="4" t="n">
        <v>2029</v>
      </c>
    </row>
    <row r="55">
      <c r="D55" t="inlineStr">
        <is>
          <t>CPI-only escalation from (restructured)</t>
        </is>
      </c>
      <c r="E55" t="inlineStr">
        <is>
          <t>year</t>
        </is>
      </c>
      <c r="F55" s="4" t="n">
        <v>2024</v>
      </c>
    </row>
    <row r="56">
      <c r="D56" t="inlineStr">
        <is>
          <t>Traffic growth band 1 ends</t>
        </is>
      </c>
      <c r="E56" t="inlineStr">
        <is>
          <t>year</t>
        </is>
      </c>
      <c r="F56" s="4" t="n">
        <v>2030</v>
      </c>
    </row>
    <row r="57">
      <c r="D57" t="inlineStr">
        <is>
          <t>Traffic growth band 2 ends</t>
        </is>
      </c>
      <c r="E57" t="inlineStr">
        <is>
          <t>year</t>
        </is>
      </c>
      <c r="F57" s="4" t="n">
        <v>2040</v>
      </c>
    </row>
    <row r="58">
      <c r="D58" t="inlineStr">
        <is>
          <t>First ramp-up year</t>
        </is>
      </c>
      <c r="E58" t="inlineStr">
        <is>
          <t>year</t>
        </is>
      </c>
      <c r="F58" s="4" t="n">
        <v>2019</v>
      </c>
    </row>
    <row r="59">
      <c r="D59" t="inlineStr">
        <is>
          <t>Last ramp-up year in table</t>
        </is>
      </c>
      <c r="E59" t="inlineStr">
        <is>
          <t>year</t>
        </is>
      </c>
      <c r="F59" s="4" t="n">
        <v>2023</v>
      </c>
    </row>
    <row r="60">
      <c r="D60" t="inlineStr">
        <is>
          <t>Heavy-vehicle uplift from (restructured case)</t>
        </is>
      </c>
      <c r="E60" t="inlineStr">
        <is>
          <t>year</t>
        </is>
      </c>
      <c r="F60" s="4" t="n">
        <v>2024</v>
      </c>
    </row>
    <row r="61">
      <c r="D61" t="inlineStr">
        <is>
          <t>Operating year base (OY = year - base)</t>
        </is>
      </c>
      <c r="E61" t="inlineStr">
        <is>
          <t>year</t>
        </is>
      </c>
      <c r="F61" s="4" t="n">
        <v>2018</v>
      </c>
    </row>
    <row r="62">
      <c r="D62" t="inlineStr">
        <is>
          <t>CPI product for revenue-share threshold: from year</t>
        </is>
      </c>
      <c r="E62" t="inlineStr">
        <is>
          <t>year</t>
        </is>
      </c>
      <c r="F62" s="4" t="n">
        <v>2016</v>
      </c>
    </row>
    <row r="63">
      <c r="D63" t="inlineStr">
        <is>
          <t>CPI product for revenue-share threshold: to year (2023 prices)</t>
        </is>
      </c>
      <c r="E63" t="inlineStr">
        <is>
          <t>year</t>
        </is>
      </c>
      <c r="F63" s="4" t="n">
        <v>2023</v>
      </c>
    </row>
    <row r="64">
      <c r="D64" t="inlineStr">
        <is>
          <t>Half-year code multiplier (year x 10 + half)</t>
        </is>
      </c>
      <c r="E64" t="inlineStr">
        <is>
          <t>#</t>
        </is>
      </c>
      <c r="F64" s="4" t="n">
        <v>10</v>
      </c>
    </row>
    <row r="65">
      <c r="D65" t="inlineStr">
        <is>
          <t>Thousand trips</t>
        </is>
      </c>
      <c r="E65" t="inlineStr">
        <is>
          <t>#</t>
        </is>
      </c>
      <c r="F65" s="4" t="n">
        <v>1000</v>
      </c>
    </row>
    <row r="66">
      <c r="D66" t="inlineStr">
        <is>
          <t>ARD per ARD million</t>
        </is>
      </c>
      <c r="E66" t="inlineStr">
        <is>
          <t>#</t>
        </is>
      </c>
      <c r="F66" s="4" t="n">
        <v>1000000</v>
      </c>
    </row>
    <row r="68">
      <c r="D68" s="3" t="inlineStr">
        <is>
          <t>Construction costs</t>
        </is>
      </c>
    </row>
    <row r="69">
      <c r="D69" t="inlineStr">
        <is>
          <t>D&amp;C contract price (lump sum)</t>
        </is>
      </c>
      <c r="E69" t="inlineStr">
        <is>
          <t>ARD m</t>
        </is>
      </c>
      <c r="F69" s="10" t="n">
        <v>1684.3</v>
      </c>
    </row>
    <row r="70">
      <c r="D70" t="inlineStr">
        <is>
          <t>Retention released at completion</t>
        </is>
      </c>
      <c r="E70" t="inlineStr">
        <is>
          <t>%</t>
        </is>
      </c>
      <c r="F70" s="11" t="n">
        <v>0.025</v>
      </c>
    </row>
    <row r="71">
      <c r="D71" t="inlineStr">
        <is>
          <t>Retention released at end of defects period</t>
        </is>
      </c>
      <c r="E71" t="inlineStr">
        <is>
          <t>%</t>
        </is>
      </c>
      <c r="F71" s="11" t="n">
        <v>0.025</v>
      </c>
    </row>
    <row r="72">
      <c r="D72" t="inlineStr">
        <is>
          <t>Development and bid costs reimbursed (at close)</t>
        </is>
      </c>
      <c r="E72" t="inlineStr">
        <is>
          <t>ARD m</t>
        </is>
      </c>
      <c r="F72" s="10" t="n">
        <v>41.2</v>
      </c>
    </row>
    <row r="73">
      <c r="D73" t="inlineStr">
        <is>
          <t>Project company costs during construction (flat by day)</t>
        </is>
      </c>
      <c r="E73" t="inlineStr">
        <is>
          <t>ARD m</t>
        </is>
      </c>
      <c r="F73" s="10" t="n">
        <v>37.8</v>
      </c>
    </row>
    <row r="74">
      <c r="D74" t="inlineStr">
        <is>
          <t>Insurance during construction</t>
        </is>
      </c>
      <c r="E74" t="inlineStr">
        <is>
          <t>ARD m</t>
        </is>
      </c>
      <c r="F74" s="10" t="n">
        <v>12.6</v>
      </c>
    </row>
    <row r="75">
      <c r="D75" t="inlineStr">
        <is>
          <t>Insurance share paid at close</t>
        </is>
      </c>
      <c r="E75" t="inlineStr">
        <is>
          <t>%</t>
        </is>
      </c>
      <c r="F75" s="11" t="n">
        <v>0.8</v>
      </c>
    </row>
    <row r="76">
      <c r="D76" t="inlineStr">
        <is>
          <t>Independent certifier (flat by day)</t>
        </is>
      </c>
      <c r="E76" t="inlineStr">
        <is>
          <t>ARD m</t>
        </is>
      </c>
      <c r="F76" s="10" t="n">
        <v>3.4</v>
      </c>
    </row>
    <row r="77">
      <c r="D77" t="inlineStr">
        <is>
          <t>Lenders' advisors and legal (flat by day)</t>
        </is>
      </c>
      <c r="E77" t="inlineStr">
        <is>
          <t>ARD m</t>
        </is>
      </c>
      <c r="F77" s="10" t="n">
        <v>9.699999999999999</v>
      </c>
    </row>
    <row r="78">
      <c r="D78" t="inlineStr">
        <is>
          <t>Contingency (pro rata with D&amp;C)</t>
        </is>
      </c>
      <c r="E78" t="inlineStr">
        <is>
          <t>ARD m</t>
        </is>
      </c>
      <c r="F78" s="10" t="n">
        <v>52.4</v>
      </c>
    </row>
    <row r="79">
      <c r="D79" t="inlineStr">
        <is>
          <t>Delay LDs received (actual)</t>
        </is>
      </c>
      <c r="E79" t="inlineStr">
        <is>
          <t>ARD m</t>
        </is>
      </c>
      <c r="F79" s="10" t="n">
        <v>10.26</v>
      </c>
    </row>
    <row r="81">
      <c r="D81" s="3" t="inlineStr">
        <is>
          <t>State contribution and bridge</t>
        </is>
      </c>
    </row>
    <row r="82">
      <c r="D82" t="inlineStr">
        <is>
          <t>State construction contribution (bid)</t>
        </is>
      </c>
      <c r="E82" t="inlineStr">
        <is>
          <t>ARD m</t>
        </is>
      </c>
      <c r="F82" s="10" t="n">
        <v>287.4</v>
      </c>
    </row>
    <row r="83">
      <c r="D83" t="inlineStr">
        <is>
          <t>Contribution for 11.4% on banking (solved by Python mirror)</t>
        </is>
      </c>
      <c r="E83" t="inlineStr">
        <is>
          <t>ARD m</t>
        </is>
      </c>
      <c r="F83" s="10" t="n">
        <v>537.716259</v>
      </c>
    </row>
    <row r="84">
      <c r="D84" t="inlineStr">
        <is>
          <t>Bridge margin over ABBR</t>
        </is>
      </c>
      <c r="E84" t="inlineStr">
        <is>
          <t>%</t>
        </is>
      </c>
      <c r="F84" s="11" t="n">
        <v>0.016</v>
      </c>
    </row>
    <row r="85">
      <c r="D85" t="inlineStr">
        <is>
          <t>Bridge upfront fee</t>
        </is>
      </c>
      <c r="E85" t="inlineStr">
        <is>
          <t>%</t>
        </is>
      </c>
      <c r="F85" s="11" t="n">
        <v>0.01</v>
      </c>
    </row>
    <row r="87">
      <c r="D87" s="3" t="inlineStr">
        <is>
          <t>Equity and sizing</t>
        </is>
      </c>
    </row>
    <row r="88">
      <c r="D88" t="inlineStr">
        <is>
          <t>Equity share of funding requirement net of contribution</t>
        </is>
      </c>
      <c r="E88" t="inlineStr">
        <is>
          <t>%</t>
        </is>
      </c>
      <c r="F88" s="11" t="n">
        <v>0.22</v>
      </c>
    </row>
    <row r="89">
      <c r="D89" t="inlineStr">
        <is>
          <t>Share capital share of equity</t>
        </is>
      </c>
      <c r="E89" t="inlineStr">
        <is>
          <t>%</t>
        </is>
      </c>
      <c r="F89" s="11" t="n">
        <v>0.15</v>
      </c>
    </row>
    <row r="90">
      <c r="D90" t="inlineStr">
        <is>
          <t>Shareholder loan rate</t>
        </is>
      </c>
      <c r="E90" t="inlineStr">
        <is>
          <t>%</t>
        </is>
      </c>
      <c r="F90" s="11" t="n">
        <v>0.1025</v>
      </c>
    </row>
    <row r="91">
      <c r="D91" t="inlineStr">
        <is>
          <t>Bid target equity IRR (nominal post-tax)</t>
        </is>
      </c>
      <c r="E91" t="inlineStr">
        <is>
          <t>%</t>
        </is>
      </c>
      <c r="F91" s="11" t="n">
        <v>0.114</v>
      </c>
    </row>
    <row r="92">
      <c r="D92" t="inlineStr">
        <is>
          <t>Senior sculpting / minimum DSCR, banking</t>
        </is>
      </c>
      <c r="E92" t="inlineStr">
        <is>
          <t>x</t>
        </is>
      </c>
      <c r="F92" s="12" t="n">
        <v>1.5</v>
      </c>
    </row>
    <row r="93">
      <c r="D93" t="inlineStr">
        <is>
          <t>Minimum DSCR, downside</t>
        </is>
      </c>
      <c r="E93" t="inlineStr">
        <is>
          <t>x</t>
        </is>
      </c>
      <c r="F93" s="12" t="n">
        <v>1.15</v>
      </c>
    </row>
    <row r="94">
      <c r="D94" t="inlineStr">
        <is>
          <t>Minimum LLCR, banking</t>
        </is>
      </c>
      <c r="E94" t="inlineStr">
        <is>
          <t>x</t>
        </is>
      </c>
      <c r="F94" s="12" t="n">
        <v>1.55</v>
      </c>
    </row>
    <row r="95">
      <c r="D95" t="inlineStr">
        <is>
          <t>Senior cap, % of funding net of contribution</t>
        </is>
      </c>
      <c r="E95" t="inlineStr">
        <is>
          <t>%</t>
        </is>
      </c>
      <c r="F95" s="11" t="n">
        <v>0.55</v>
      </c>
    </row>
    <row r="96">
      <c r="D96" t="inlineStr">
        <is>
          <t>Ramp-up interest account target DSCR</t>
        </is>
      </c>
      <c r="E96" t="inlineStr">
        <is>
          <t>x</t>
        </is>
      </c>
      <c r="F96" s="12" t="n">
        <v>1.5</v>
      </c>
    </row>
    <row r="97">
      <c r="D97" t="inlineStr">
        <is>
          <t>Senior split: bank</t>
        </is>
      </c>
      <c r="E97" t="inlineStr">
        <is>
          <t>%</t>
        </is>
      </c>
      <c r="F97" s="11" t="n">
        <v>0.45</v>
      </c>
    </row>
    <row r="98">
      <c r="D98" t="inlineStr">
        <is>
          <t>Senior split: bonds</t>
        </is>
      </c>
      <c r="E98" t="inlineStr">
        <is>
          <t>%</t>
        </is>
      </c>
      <c r="F98" s="11" t="n">
        <v>0.55</v>
      </c>
    </row>
    <row r="100">
      <c r="D100" s="3" t="inlineStr">
        <is>
          <t>Senior debt terms</t>
        </is>
      </c>
    </row>
    <row r="101">
      <c r="D101" t="inlineStr">
        <is>
          <t>Bank swap fixed rate</t>
        </is>
      </c>
      <c r="E101" t="inlineStr">
        <is>
          <t>%pa</t>
        </is>
      </c>
      <c r="F101" s="6" t="n">
        <v>3.48</v>
      </c>
    </row>
    <row r="102">
      <c r="D102" t="inlineStr">
        <is>
          <t>Market swap rate at 2023-12-31</t>
        </is>
      </c>
      <c r="E102" t="inlineStr">
        <is>
          <t>%pa</t>
        </is>
      </c>
      <c r="F102" s="6" t="n">
        <v>4.36</v>
      </c>
    </row>
    <row r="103">
      <c r="D103" t="inlineStr">
        <is>
          <t>Bank margin to 2020-05-27</t>
        </is>
      </c>
      <c r="E103" t="inlineStr">
        <is>
          <t>%pa</t>
        </is>
      </c>
      <c r="F103" s="6" t="n">
        <v>2.35</v>
      </c>
    </row>
    <row r="104">
      <c r="D104" t="inlineStr">
        <is>
          <t>Bank margin 2020-05-27 to 2022-05-27</t>
        </is>
      </c>
      <c r="E104" t="inlineStr">
        <is>
          <t>%pa</t>
        </is>
      </c>
      <c r="F104" s="6" t="n">
        <v>2.6</v>
      </c>
    </row>
    <row r="105">
      <c r="D105" t="inlineStr">
        <is>
          <t>Base-case refinancing margin from 2022-05-27</t>
        </is>
      </c>
      <c r="E105" t="inlineStr">
        <is>
          <t>%pa</t>
        </is>
      </c>
      <c r="F105" s="6" t="n">
        <v>2.25</v>
      </c>
    </row>
    <row r="106">
      <c r="D106" t="inlineStr">
        <is>
          <t>Amend-and-extend margin from 2022-05-27 (actual)</t>
        </is>
      </c>
      <c r="E106" t="inlineStr">
        <is>
          <t>%pa</t>
        </is>
      </c>
      <c r="F106" s="6" t="n">
        <v>3.25</v>
      </c>
    </row>
    <row r="107">
      <c r="D107" t="inlineStr">
        <is>
          <t>Base-case refinancing fee</t>
        </is>
      </c>
      <c r="E107" t="inlineStr">
        <is>
          <t>%</t>
        </is>
      </c>
      <c r="F107" s="11" t="n">
        <v>0.0125</v>
      </c>
    </row>
    <row r="108">
      <c r="D108" t="inlineStr">
        <is>
          <t>Amend-and-extend fee</t>
        </is>
      </c>
      <c r="E108" t="inlineStr">
        <is>
          <t>%</t>
        </is>
      </c>
      <c r="F108" s="11" t="n">
        <v>0.005</v>
      </c>
    </row>
    <row r="109">
      <c r="D109" t="inlineStr">
        <is>
          <t>Bank upfront fee</t>
        </is>
      </c>
      <c r="E109" t="inlineStr">
        <is>
          <t>%</t>
        </is>
      </c>
      <c r="F109" s="11" t="n">
        <v>0.0185</v>
      </c>
    </row>
    <row r="110">
      <c r="D110" t="inlineStr">
        <is>
          <t>Bank commitment fee</t>
        </is>
      </c>
      <c r="E110" t="inlineStr">
        <is>
          <t>%</t>
        </is>
      </c>
      <c r="F110" s="11" t="n">
        <v>0.0095</v>
      </c>
    </row>
    <row r="111">
      <c r="D111" t="inlineStr">
        <is>
          <t>Bond coupon</t>
        </is>
      </c>
      <c r="E111" t="inlineStr">
        <is>
          <t>%</t>
        </is>
      </c>
      <c r="F111" s="11" t="n">
        <v>0.0485</v>
      </c>
    </row>
    <row r="112">
      <c r="D112" t="inlineStr">
        <is>
          <t>Bond escrow earnings rate</t>
        </is>
      </c>
      <c r="E112" t="inlineStr">
        <is>
          <t>%</t>
        </is>
      </c>
      <c r="F112" s="11" t="n">
        <v>0.021</v>
      </c>
    </row>
    <row r="113">
      <c r="D113" t="inlineStr">
        <is>
          <t>Bond issue costs</t>
        </is>
      </c>
      <c r="E113" t="inlineStr">
        <is>
          <t>%</t>
        </is>
      </c>
      <c r="F113" s="11" t="n">
        <v>0.012</v>
      </c>
    </row>
    <row r="114">
      <c r="D114" t="inlineStr">
        <is>
          <t>Lock-up DSCR (historic)</t>
        </is>
      </c>
      <c r="E114" t="inlineStr">
        <is>
          <t>x</t>
        </is>
      </c>
      <c r="F114" s="12" t="n">
        <v>1.2</v>
      </c>
    </row>
    <row r="115">
      <c r="D115" t="inlineStr">
        <is>
          <t>Event of default DSCR (historic)</t>
        </is>
      </c>
      <c r="E115" t="inlineStr">
        <is>
          <t>x</t>
        </is>
      </c>
      <c r="F115" s="12" t="n">
        <v>1.05</v>
      </c>
    </row>
    <row r="116">
      <c r="D116" t="inlineStr">
        <is>
          <t>DSRA months of debt service</t>
        </is>
      </c>
      <c r="E116" t="inlineStr">
        <is>
          <t>months</t>
        </is>
      </c>
      <c r="F116" s="4" t="n">
        <v>6</v>
      </c>
    </row>
    <row r="118">
      <c r="D118" s="3" t="inlineStr">
        <is>
          <t>NILO loan</t>
        </is>
      </c>
    </row>
    <row r="119">
      <c r="D119" t="inlineStr">
        <is>
          <t>NILO fixed rate</t>
        </is>
      </c>
      <c r="E119" t="inlineStr">
        <is>
          <t>%</t>
        </is>
      </c>
      <c r="F119" s="11" t="n">
        <v>0.0306</v>
      </c>
    </row>
    <row r="120">
      <c r="D120" t="inlineStr">
        <is>
          <t>NILO PIK rate to 2030 (restructured)</t>
        </is>
      </c>
      <c r="E120" t="inlineStr">
        <is>
          <t>%</t>
        </is>
      </c>
      <c r="F120" s="11" t="n">
        <v>0.01</v>
      </c>
    </row>
    <row r="121">
      <c r="D121" t="inlineStr">
        <is>
          <t>NILO maximum share of eligible costs</t>
        </is>
      </c>
      <c r="E121" t="inlineStr">
        <is>
          <t>%</t>
        </is>
      </c>
      <c r="F121" s="11" t="n">
        <v>0.33</v>
      </c>
    </row>
    <row r="122">
      <c r="D122" t="inlineStr">
        <is>
          <t>NILO application fee</t>
        </is>
      </c>
      <c r="E122" t="inlineStr">
        <is>
          <t>%</t>
        </is>
      </c>
      <c r="F122" s="11" t="n">
        <v>0.001</v>
      </c>
    </row>
    <row r="123">
      <c r="D123" t="inlineStr">
        <is>
          <t>Combined senior plus NILO minimum DSCR (banking)</t>
        </is>
      </c>
      <c r="E123" t="inlineStr">
        <is>
          <t>x</t>
        </is>
      </c>
      <c r="F123" s="12" t="n">
        <v>1.25</v>
      </c>
    </row>
    <row r="125">
      <c r="D125" s="3" t="inlineStr">
        <is>
          <t>Tolls, traffic and revenue</t>
        </is>
      </c>
    </row>
    <row r="126">
      <c r="D126" t="inlineStr">
        <is>
          <t>Car toll per km, June 2014 prices</t>
        </is>
      </c>
      <c r="E126" t="inlineStr">
        <is>
          <t>ARD/km</t>
        </is>
      </c>
      <c r="F126" s="13" t="n">
        <v>0.1525</v>
      </c>
    </row>
    <row r="127">
      <c r="D127" t="inlineStr">
        <is>
          <t>Escalation floor to 2030</t>
        </is>
      </c>
      <c r="E127" t="inlineStr">
        <is>
          <t>%</t>
        </is>
      </c>
      <c r="F127" s="11" t="n">
        <v>0.03</v>
      </c>
    </row>
    <row r="128">
      <c r="D128" t="inlineStr">
        <is>
          <t>Average trip length</t>
        </is>
      </c>
      <c r="E128" t="inlineStr">
        <is>
          <t>km</t>
        </is>
      </c>
      <c r="F128" s="9" t="n">
        <v>23.8</v>
      </c>
    </row>
    <row r="129">
      <c r="D129" t="inlineStr">
        <is>
          <t>Revenue leakage</t>
        </is>
      </c>
      <c r="E129" t="inlineStr">
        <is>
          <t>%</t>
        </is>
      </c>
      <c r="F129" s="11" t="n">
        <v>0.018</v>
      </c>
    </row>
    <row r="130">
      <c r="D130" t="inlineStr">
        <is>
          <t>Vehicle mix: car (original)</t>
        </is>
      </c>
      <c r="E130" t="inlineStr">
        <is>
          <t>%pa</t>
        </is>
      </c>
      <c r="F130" s="6" t="n">
        <v>79.40000000000001</v>
      </c>
    </row>
    <row r="131">
      <c r="D131" t="inlineStr">
        <is>
          <t>Vehicle mix: light commercial (original)</t>
        </is>
      </c>
      <c r="E131" t="inlineStr">
        <is>
          <t>%pa</t>
        </is>
      </c>
      <c r="F131" s="6" t="n">
        <v>9</v>
      </c>
    </row>
    <row r="132">
      <c r="D132" t="inlineStr">
        <is>
          <t>Vehicle mix: heavy (original)</t>
        </is>
      </c>
      <c r="E132" t="inlineStr">
        <is>
          <t>%pa</t>
        </is>
      </c>
      <c r="F132" s="6" t="n">
        <v>11.6</v>
      </c>
    </row>
    <row r="133">
      <c r="D133" t="inlineStr">
        <is>
          <t>Vehicle mix: car (from 2024)</t>
        </is>
      </c>
      <c r="E133" t="inlineStr">
        <is>
          <t>%pa</t>
        </is>
      </c>
      <c r="F133" s="6" t="n">
        <v>77.59999999999999</v>
      </c>
    </row>
    <row r="134">
      <c r="D134" t="inlineStr">
        <is>
          <t>Vehicle mix: light commercial (from 2024)</t>
        </is>
      </c>
      <c r="E134" t="inlineStr">
        <is>
          <t>%pa</t>
        </is>
      </c>
      <c r="F134" s="6" t="n">
        <v>8.6</v>
      </c>
    </row>
    <row r="135">
      <c r="D135" t="inlineStr">
        <is>
          <t>Vehicle mix: heavy (from 2024)</t>
        </is>
      </c>
      <c r="E135" t="inlineStr">
        <is>
          <t>%pa</t>
        </is>
      </c>
      <c r="F135" s="6" t="n">
        <v>13.8</v>
      </c>
    </row>
    <row r="136">
      <c r="D136" t="inlineStr">
        <is>
          <t>Class multiplier: light commercial</t>
        </is>
      </c>
      <c r="E136" t="inlineStr">
        <is>
          <t>factor</t>
        </is>
      </c>
      <c r="F136" s="13" t="n">
        <v>1.6</v>
      </c>
    </row>
    <row r="137">
      <c r="D137" t="inlineStr">
        <is>
          <t>Class multiplier: heavy (original)</t>
        </is>
      </c>
      <c r="E137" t="inlineStr">
        <is>
          <t>factor</t>
        </is>
      </c>
      <c r="F137" s="13" t="n">
        <v>2.85</v>
      </c>
    </row>
    <row r="138">
      <c r="D138" t="inlineStr">
        <is>
          <t>Class multiplier: heavy (from 2024)</t>
        </is>
      </c>
      <c r="E138" t="inlineStr">
        <is>
          <t>factor</t>
        </is>
      </c>
      <c r="F138" s="13" t="n">
        <v>2.4</v>
      </c>
    </row>
    <row r="139">
      <c r="D139" t="inlineStr">
        <is>
          <t>Class multiplier: car</t>
        </is>
      </c>
      <c r="E139" t="inlineStr">
        <is>
          <t>factor</t>
        </is>
      </c>
      <c r="F139" s="13" t="n">
        <v>1</v>
      </c>
    </row>
    <row r="141">
      <c r="D141" s="3" t="inlineStr">
        <is>
          <t>Operating costs (2015 prices) and lifecycle</t>
        </is>
      </c>
    </row>
    <row r="142">
      <c r="D142" t="inlineStr">
        <is>
          <t>Corvus fixed O&amp;M</t>
        </is>
      </c>
      <c r="E142" t="inlineStr">
        <is>
          <t>ARD m</t>
        </is>
      </c>
      <c r="F142" s="10" t="n">
        <v>11.84</v>
      </c>
    </row>
    <row r="143">
      <c r="D143" t="inlineStr">
        <is>
          <t>O&amp;M fee cut from 2024 (restructured)</t>
        </is>
      </c>
      <c r="E143" t="inlineStr">
        <is>
          <t>%</t>
        </is>
      </c>
      <c r="F143" s="11" t="n">
        <v>0.08</v>
      </c>
    </row>
    <row r="144">
      <c r="D144" t="inlineStr">
        <is>
          <t>Tolling back office, % of toll revenue</t>
        </is>
      </c>
      <c r="E144" t="inlineStr">
        <is>
          <t>%</t>
        </is>
      </c>
      <c r="F144" s="11" t="n">
        <v>0.062</v>
      </c>
    </row>
    <row r="145">
      <c r="D145" t="inlineStr">
        <is>
          <t>Tolling back office fixed</t>
        </is>
      </c>
      <c r="E145" t="inlineStr">
        <is>
          <t>ARD m</t>
        </is>
      </c>
      <c r="F145" s="10" t="n">
        <v>2.15</v>
      </c>
    </row>
    <row r="146">
      <c r="D146" t="inlineStr">
        <is>
          <t>Insurance</t>
        </is>
      </c>
      <c r="E146" t="inlineStr">
        <is>
          <t>ARD m</t>
        </is>
      </c>
      <c r="F146" s="10" t="n">
        <v>3.36</v>
      </c>
    </row>
    <row r="147">
      <c r="D147" t="inlineStr">
        <is>
          <t>Project company costs</t>
        </is>
      </c>
      <c r="E147" t="inlineStr">
        <is>
          <t>ARD m</t>
        </is>
      </c>
      <c r="F147" s="10" t="n">
        <v>2.71</v>
      </c>
    </row>
    <row r="148">
      <c r="D148" t="inlineStr">
        <is>
          <t>Pavement resurfacing (OY12, 24, 36)</t>
        </is>
      </c>
      <c r="E148" t="inlineStr">
        <is>
          <t>ARD m</t>
        </is>
      </c>
      <c r="F148" s="10" t="n">
        <v>42.6</v>
      </c>
    </row>
    <row r="149">
      <c r="D149" t="inlineStr">
        <is>
          <t>Pavement cycle</t>
        </is>
      </c>
      <c r="E149" t="inlineStr">
        <is>
          <t>years</t>
        </is>
      </c>
      <c r="F149" s="4" t="n">
        <v>12</v>
      </c>
    </row>
    <row r="150">
      <c r="D150" t="inlineStr">
        <is>
          <t>Tunnel M&amp;E (OY15, 30)</t>
        </is>
      </c>
      <c r="E150" t="inlineStr">
        <is>
          <t>ARD m</t>
        </is>
      </c>
      <c r="F150" s="10" t="n">
        <v>31.9</v>
      </c>
    </row>
    <row r="151">
      <c r="D151" t="inlineStr">
        <is>
          <t>Tunnel cycle</t>
        </is>
      </c>
      <c r="E151" t="inlineStr">
        <is>
          <t>years</t>
        </is>
      </c>
      <c r="F151" s="4" t="n">
        <v>15</v>
      </c>
    </row>
    <row r="152">
      <c r="D152" t="inlineStr">
        <is>
          <t>Tolling and ITS replacement (every 8 years from OY8)</t>
        </is>
      </c>
      <c r="E152" t="inlineStr">
        <is>
          <t>ARD m</t>
        </is>
      </c>
      <c r="F152" s="10" t="n">
        <v>14.7</v>
      </c>
    </row>
    <row r="153">
      <c r="D153" t="inlineStr">
        <is>
          <t>Tolling and ITS cycle</t>
        </is>
      </c>
      <c r="E153" t="inlineStr">
        <is>
          <t>years</t>
        </is>
      </c>
      <c r="F153" s="4" t="n">
        <v>8</v>
      </c>
    </row>
    <row r="154">
      <c r="D154" t="inlineStr">
        <is>
          <t>Lifecycle reserve accumulation periods</t>
        </is>
      </c>
      <c r="E154" t="inlineStr">
        <is>
          <t>#</t>
        </is>
      </c>
      <c r="F154" s="4" t="n">
        <v>6</v>
      </c>
    </row>
    <row r="155">
      <c r="D155" t="inlineStr">
        <is>
          <t>Handback works estimate</t>
        </is>
      </c>
      <c r="E155" t="inlineStr">
        <is>
          <t>ARD m</t>
        </is>
      </c>
      <c r="F155" s="10" t="n">
        <v>42.6</v>
      </c>
    </row>
    <row r="156">
      <c r="D156" t="inlineStr">
        <is>
          <t>Handback funding periods</t>
        </is>
      </c>
      <c r="E156" t="inlineStr">
        <is>
          <t>#</t>
        </is>
      </c>
      <c r="F156" s="4" t="n">
        <v>10</v>
      </c>
    </row>
    <row r="157">
      <c r="D157" t="inlineStr">
        <is>
          <t>Toll receivable days</t>
        </is>
      </c>
      <c r="E157" t="inlineStr">
        <is>
          <t>days</t>
        </is>
      </c>
      <c r="F157" s="4" t="n">
        <v>14</v>
      </c>
    </row>
    <row r="158">
      <c r="D158" t="inlineStr">
        <is>
          <t>Payable days</t>
        </is>
      </c>
      <c r="E158" t="inlineStr">
        <is>
          <t>days</t>
        </is>
      </c>
      <c r="F158" s="4" t="n">
        <v>30</v>
      </c>
    </row>
    <row r="159">
      <c r="D159" t="inlineStr">
        <is>
          <t>Corporate tax rate</t>
        </is>
      </c>
      <c r="E159" t="inlineStr">
        <is>
          <t>%</t>
        </is>
      </c>
      <c r="F159" s="11" t="n">
        <v>0.3</v>
      </c>
    </row>
    <row r="161">
      <c r="D161" s="3" t="inlineStr">
        <is>
          <t>Events and restructuring</t>
        </is>
      </c>
    </row>
    <row r="162">
      <c r="D162" t="inlineStr">
        <is>
          <t>Restructuring costs 2022-2023</t>
        </is>
      </c>
      <c r="E162" t="inlineStr">
        <is>
          <t>ARD m</t>
        </is>
      </c>
      <c r="F162" s="10" t="n">
        <v>21.6</v>
      </c>
    </row>
    <row r="163">
      <c r="D163" t="inlineStr">
        <is>
          <t>Restructuring cost periods</t>
        </is>
      </c>
      <c r="E163" t="inlineStr">
        <is>
          <t>#</t>
        </is>
      </c>
      <c r="F163" s="4" t="n">
        <v>4</v>
      </c>
    </row>
    <row r="164">
      <c r="D164" t="inlineStr">
        <is>
          <t>Restructured notes, % of net claims</t>
        </is>
      </c>
      <c r="E164" t="inlineStr">
        <is>
          <t>%</t>
        </is>
      </c>
      <c r="F164" s="11" t="n">
        <v>0.76</v>
      </c>
    </row>
    <row r="165">
      <c r="D165" t="inlineStr">
        <is>
          <t>Claims cancelled</t>
        </is>
      </c>
      <c r="E165" t="inlineStr">
        <is>
          <t>%</t>
        </is>
      </c>
      <c r="F165" s="11" t="n">
        <v>0.14</v>
      </c>
    </row>
    <row r="166">
      <c r="D166" t="inlineStr">
        <is>
          <t>Claims converted to equity</t>
        </is>
      </c>
      <c r="E166" t="inlineStr">
        <is>
          <t>%</t>
        </is>
      </c>
      <c r="F166" s="11" t="n">
        <v>0.1</v>
      </c>
    </row>
    <row r="167">
      <c r="D167" t="inlineStr">
        <is>
          <t>Restructured notes coupon</t>
        </is>
      </c>
      <c r="E167" t="inlineStr">
        <is>
          <t>%</t>
        </is>
      </c>
      <c r="F167" s="11" t="n">
        <v>0.051</v>
      </c>
    </row>
    <row r="168">
      <c r="D168" t="inlineStr">
        <is>
          <t>Notes minimum DSCR (sculpting floor)</t>
        </is>
      </c>
      <c r="E168" t="inlineStr">
        <is>
          <t>x</t>
        </is>
      </c>
      <c r="F168" s="12" t="n">
        <v>1.3</v>
      </c>
    </row>
    <row r="169">
      <c r="D169" t="inlineStr">
        <is>
          <t>Notes excess cash sweep to 2030</t>
        </is>
      </c>
      <c r="E169" t="inlineStr">
        <is>
          <t>%</t>
        </is>
      </c>
      <c r="F169" s="11" t="n">
        <v>0.5</v>
      </c>
    </row>
    <row r="170">
      <c r="D170" t="inlineStr">
        <is>
          <t>Senior creditors' share of new equity</t>
        </is>
      </c>
      <c r="E170" t="inlineStr">
        <is>
          <t>%</t>
        </is>
      </c>
      <c r="F170" s="11" t="n">
        <v>0.85</v>
      </c>
    </row>
    <row r="171">
      <c r="D171" t="inlineStr">
        <is>
          <t>State share of new equity</t>
        </is>
      </c>
      <c r="E171" t="inlineStr">
        <is>
          <t>%</t>
        </is>
      </c>
      <c r="F171" s="11" t="n">
        <v>0.15</v>
      </c>
    </row>
    <row r="172">
      <c r="D172" t="inlineStr">
        <is>
          <t>State new money</t>
        </is>
      </c>
      <c r="E172" t="inlineStr">
        <is>
          <t>ARD m</t>
        </is>
      </c>
      <c r="F172" s="10" t="n">
        <v>120</v>
      </c>
    </row>
    <row r="173">
      <c r="D173" t="inlineStr">
        <is>
          <t>Holloway Junction interchange upgrade</t>
        </is>
      </c>
      <c r="E173" t="inlineStr">
        <is>
          <t>ARD m</t>
        </is>
      </c>
      <c r="F173" s="10" t="n">
        <v>78.3</v>
      </c>
    </row>
    <row r="174">
      <c r="D174" t="inlineStr">
        <is>
          <t>Upgrade spending periods</t>
        </is>
      </c>
      <c r="E174" t="inlineStr">
        <is>
          <t>#</t>
        </is>
      </c>
      <c r="F174" s="4" t="n">
        <v>4</v>
      </c>
    </row>
    <row r="175">
      <c r="D175" t="inlineStr">
        <is>
          <t>Reserve top-up (to cash at restructuring)</t>
        </is>
      </c>
      <c r="E175" t="inlineStr">
        <is>
          <t>ARD m</t>
        </is>
      </c>
      <c r="F175" s="10" t="n">
        <v>41.7</v>
      </c>
    </row>
    <row r="176">
      <c r="D176" t="inlineStr">
        <is>
          <t>Warrants over new equity (original sponsors)</t>
        </is>
      </c>
      <c r="E176" t="inlineStr">
        <is>
          <t>%</t>
        </is>
      </c>
      <c r="F176" s="11" t="n">
        <v>0.03</v>
      </c>
    </row>
    <row r="177">
      <c r="D177" t="inlineStr">
        <is>
          <t>State share of toll revenue above threshold</t>
        </is>
      </c>
      <c r="E177" t="inlineStr">
        <is>
          <t>%</t>
        </is>
      </c>
      <c r="F177" s="11" t="n">
        <v>0.3</v>
      </c>
    </row>
    <row r="178">
      <c r="D178" t="inlineStr">
        <is>
          <t>Revenue share threshold (2023 prices, a year)</t>
        </is>
      </c>
      <c r="E178" t="inlineStr">
        <is>
          <t>ARD m</t>
        </is>
      </c>
      <c r="F178" s="10" t="n">
        <v>260</v>
      </c>
    </row>
    <row r="179">
      <c r="D179" t="inlineStr">
        <is>
          <t>Plan valuation: new equity discount rate</t>
        </is>
      </c>
      <c r="E179" t="inlineStr">
        <is>
          <t>%</t>
        </is>
      </c>
      <c r="F179" s="11" t="n">
        <v>0.14</v>
      </c>
    </row>
    <row r="180">
      <c r="D180" t="inlineStr">
        <is>
          <t>Plan valuation: notes market yield</t>
        </is>
      </c>
      <c r="E180" t="inlineStr">
        <is>
          <t>%</t>
        </is>
      </c>
      <c r="F180" s="11" t="n">
        <v>0.075</v>
      </c>
    </row>
    <row r="181">
      <c r="D181" t="inlineStr">
        <is>
          <t>Fair value 2022: pre-tax discount rate</t>
        </is>
      </c>
      <c r="E181" t="inlineStr">
        <is>
          <t>%</t>
        </is>
      </c>
      <c r="F181" s="11" t="n">
        <v>0.09</v>
      </c>
    </row>
    <row r="182">
      <c r="D182" t="inlineStr">
        <is>
          <t>Retendering costs</t>
        </is>
      </c>
      <c r="E182" t="inlineStr">
        <is>
          <t>ARD m</t>
        </is>
      </c>
      <c r="F182" s="10" t="n">
        <v>12.5</v>
      </c>
    </row>
    <row r="184">
      <c r="D184" s="3" t="inlineStr">
        <is>
          <t>Public sector comparator (PV at 2012-12-31)</t>
        </is>
      </c>
    </row>
    <row r="185">
      <c r="D185" t="inlineStr">
        <is>
          <t>PSC discount rate (nominal)</t>
        </is>
      </c>
      <c r="E185" t="inlineStr">
        <is>
          <t>%</t>
        </is>
      </c>
      <c r="F185" s="11" t="n">
        <v>0.06849999999999999</v>
      </c>
    </row>
    <row r="186">
      <c r="D186" t="inlineStr">
        <is>
          <t>Raw capital cost</t>
        </is>
      </c>
      <c r="E186" t="inlineStr">
        <is>
          <t>ARD m</t>
        </is>
      </c>
      <c r="F186" s="10" t="n">
        <v>1478.6</v>
      </c>
    </row>
    <row r="187">
      <c r="D187" t="inlineStr">
        <is>
          <t>O&amp;M and lifecycle</t>
        </is>
      </c>
      <c r="E187" t="inlineStr">
        <is>
          <t>ARD m</t>
        </is>
      </c>
      <c r="F187" s="10" t="n">
        <v>486.2</v>
      </c>
    </row>
    <row r="188">
      <c r="D188" t="inlineStr">
        <is>
          <t>Toll revenue retained by the state</t>
        </is>
      </c>
      <c r="E188" t="inlineStr">
        <is>
          <t>ARD m</t>
        </is>
      </c>
      <c r="F188" s="10" t="n">
        <v>-1821.4</v>
      </c>
    </row>
    <row r="189">
      <c r="D189" t="inlineStr">
        <is>
          <t>Construction risk</t>
        </is>
      </c>
      <c r="E189" t="inlineStr">
        <is>
          <t>ARD m</t>
        </is>
      </c>
      <c r="F189" s="10" t="n">
        <v>115.3</v>
      </c>
    </row>
    <row r="190">
      <c r="D190" t="inlineStr">
        <is>
          <t>Traffic revenue risk</t>
        </is>
      </c>
      <c r="E190" t="inlineStr">
        <is>
          <t>ARD m</t>
        </is>
      </c>
      <c r="F190" s="10" t="n">
        <v>87.40000000000001</v>
      </c>
    </row>
    <row r="191">
      <c r="D191" t="inlineStr">
        <is>
          <t>Operating risk</t>
        </is>
      </c>
      <c r="E191" t="inlineStr">
        <is>
          <t>ARD m</t>
        </is>
      </c>
      <c r="F191" s="10" t="n">
        <v>18.5</v>
      </c>
    </row>
    <row r="192">
      <c r="D192" t="inlineStr">
        <is>
          <t>Competitive neutrality</t>
        </is>
      </c>
      <c r="E192" t="inlineStr">
        <is>
          <t>ARD m</t>
        </is>
      </c>
      <c r="F192" s="10" t="n">
        <v>19.6</v>
      </c>
    </row>
    <row r="193">
      <c r="D193" t="inlineStr">
        <is>
          <t>Reference (shadow bid) contribution</t>
        </is>
      </c>
      <c r="E193" t="inlineStr">
        <is>
          <t>ARD m</t>
        </is>
      </c>
      <c r="F193" s="10" t="n">
        <v>410</v>
      </c>
    </row>
    <row r="194">
      <c r="D194" t="inlineStr">
        <is>
          <t>PPP retained risks</t>
        </is>
      </c>
      <c r="E194" t="inlineStr">
        <is>
          <t>ARD m</t>
        </is>
      </c>
      <c r="F194" s="10" t="n">
        <v>52.8</v>
      </c>
    </row>
    <row r="195">
      <c r="D195" t="inlineStr">
        <is>
          <t>PPP contract management</t>
        </is>
      </c>
      <c r="E195" t="inlineStr">
        <is>
          <t>ARD m</t>
        </is>
      </c>
      <c r="F195" s="10" t="n">
        <v>21.6</v>
      </c>
    </row>
    <row r="197">
      <c r="D197" s="3" t="inlineStr">
        <is>
          <t>Scenario table (columns J to X = scenarios 1 to 15)</t>
        </is>
      </c>
    </row>
    <row r="198">
      <c r="D198" t="inlineStr">
        <is>
          <t>Scenario number</t>
        </is>
      </c>
      <c r="E198" t="inlineStr">
        <is>
          <t>#</t>
        </is>
      </c>
      <c r="J198" s="4" t="n">
        <v>1</v>
      </c>
      <c r="K198" s="4" t="n">
        <v>2</v>
      </c>
      <c r="L198" s="4" t="n">
        <v>3</v>
      </c>
      <c r="M198" s="4" t="n">
        <v>4</v>
      </c>
      <c r="N198" s="4" t="n">
        <v>5</v>
      </c>
      <c r="O198" s="4" t="n">
        <v>6</v>
      </c>
      <c r="P198" s="4" t="n">
        <v>7</v>
      </c>
      <c r="Q198" s="4" t="n">
        <v>8</v>
      </c>
      <c r="R198" s="4" t="n">
        <v>9</v>
      </c>
      <c r="S198" s="4" t="n">
        <v>10</v>
      </c>
      <c r="T198" s="4" t="n">
        <v>11</v>
      </c>
      <c r="U198" s="4" t="n">
        <v>12</v>
      </c>
      <c r="V198" s="4" t="n">
        <v>13</v>
      </c>
      <c r="W198" s="4" t="n">
        <v>14</v>
      </c>
      <c r="X198" s="4" t="n">
        <v>15</v>
      </c>
    </row>
    <row r="199">
      <c r="D199" t="inlineStr">
        <is>
          <t>History run (actual events)</t>
        </is>
      </c>
      <c r="E199" t="inlineStr">
        <is>
          <t>flag</t>
        </is>
      </c>
      <c r="J199" s="4" t="n">
        <v>0</v>
      </c>
      <c r="K199" s="4" t="n">
        <v>0</v>
      </c>
      <c r="L199" s="4" t="n">
        <v>0</v>
      </c>
      <c r="M199" s="4" t="n">
        <v>1</v>
      </c>
      <c r="N199" s="4" t="n">
        <v>1</v>
      </c>
      <c r="O199" s="4" t="n">
        <v>1</v>
      </c>
      <c r="P199" s="4" t="n">
        <v>0</v>
      </c>
      <c r="Q199" s="4" t="n">
        <v>0</v>
      </c>
      <c r="R199" s="4" t="n">
        <v>0</v>
      </c>
      <c r="S199" s="4" t="n">
        <v>0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</row>
    <row r="200">
      <c r="D200" t="inlineStr">
        <is>
          <t>Actual traffic used to</t>
        </is>
      </c>
      <c r="E200" t="inlineStr">
        <is>
          <t>date</t>
        </is>
      </c>
      <c r="J200" s="8" t="n">
        <v>1</v>
      </c>
      <c r="K200" s="8" t="n">
        <v>1</v>
      </c>
      <c r="L200" s="8" t="n">
        <v>1</v>
      </c>
      <c r="M200" s="8" t="n">
        <v>46203</v>
      </c>
      <c r="N200" s="8" t="n">
        <v>45291</v>
      </c>
      <c r="O200" s="8" t="n">
        <v>44742</v>
      </c>
      <c r="P200" s="8" t="n">
        <v>1</v>
      </c>
      <c r="Q200" s="8" t="n">
        <v>1</v>
      </c>
      <c r="R200" s="8" t="n">
        <v>1</v>
      </c>
      <c r="S200" s="8" t="n">
        <v>1</v>
      </c>
      <c r="T200" s="8" t="n">
        <v>1</v>
      </c>
      <c r="U200" s="8" t="n">
        <v>1</v>
      </c>
      <c r="V200" s="8" t="n">
        <v>1</v>
      </c>
      <c r="W200" s="8" t="n">
        <v>1</v>
      </c>
      <c r="X200" s="8" t="n">
        <v>1</v>
      </c>
    </row>
    <row r="201">
      <c r="D201" t="inlineStr">
        <is>
          <t>Restructured (extension and new terms)</t>
        </is>
      </c>
      <c r="E201" t="inlineStr">
        <is>
          <t>flag</t>
        </is>
      </c>
      <c r="J201" s="4" t="n">
        <v>0</v>
      </c>
      <c r="K201" s="4" t="n">
        <v>0</v>
      </c>
      <c r="L201" s="4" t="n">
        <v>0</v>
      </c>
      <c r="M201" s="4" t="n">
        <v>1</v>
      </c>
      <c r="N201" s="4" t="n">
        <v>1</v>
      </c>
      <c r="O201" s="4" t="n">
        <v>0</v>
      </c>
      <c r="P201" s="4" t="n">
        <v>0</v>
      </c>
      <c r="Q201" s="4" t="n">
        <v>0</v>
      </c>
      <c r="R201" s="4" t="n">
        <v>0</v>
      </c>
      <c r="S201" s="4" t="n">
        <v>0</v>
      </c>
      <c r="T201" s="4" t="n">
        <v>0</v>
      </c>
      <c r="U201" s="4" t="n">
        <v>0</v>
      </c>
      <c r="V201" s="4" t="n">
        <v>0</v>
      </c>
      <c r="W201" s="4" t="n">
        <v>0</v>
      </c>
      <c r="X201" s="4" t="n">
        <v>0</v>
      </c>
    </row>
    <row r="202">
      <c r="D202" t="inlineStr">
        <is>
          <t>CPI path (1 bid 2.5%, 2 actual)</t>
        </is>
      </c>
      <c r="E202" t="inlineStr">
        <is>
          <t>#</t>
        </is>
      </c>
      <c r="J202" s="4" t="n">
        <v>1</v>
      </c>
      <c r="K202" s="4" t="n">
        <v>1</v>
      </c>
      <c r="L202" s="4" t="n">
        <v>1</v>
      </c>
      <c r="M202" s="4" t="n">
        <v>2</v>
      </c>
      <c r="N202" s="4" t="n">
        <v>2</v>
      </c>
      <c r="O202" s="4" t="n">
        <v>2</v>
      </c>
      <c r="P202" s="4" t="n">
        <v>1</v>
      </c>
      <c r="Q202" s="4" t="n">
        <v>1</v>
      </c>
      <c r="R202" s="4" t="n">
        <v>1</v>
      </c>
      <c r="S202" s="4" t="n">
        <v>1</v>
      </c>
      <c r="T202" s="4" t="n">
        <v>1</v>
      </c>
      <c r="U202" s="4" t="n">
        <v>1</v>
      </c>
      <c r="V202" s="4" t="n">
        <v>1</v>
      </c>
      <c r="W202" s="4" t="n">
        <v>1</v>
      </c>
      <c r="X202" s="4" t="n">
        <v>1</v>
      </c>
    </row>
    <row r="203">
      <c r="D203" t="inlineStr">
        <is>
          <t>Traffic case (1 Pellow, 2 Ridgeway, 3 downside, 4 R2023, 5 retender, 6 Pellow low VoT, 7 Pellow central VoT)</t>
        </is>
      </c>
      <c r="E203" t="inlineStr">
        <is>
          <t>#</t>
        </is>
      </c>
      <c r="J203" s="4" t="n">
        <v>1</v>
      </c>
      <c r="K203" s="4" t="n">
        <v>2</v>
      </c>
      <c r="L203" s="4" t="n">
        <v>3</v>
      </c>
      <c r="M203" s="4" t="n">
        <v>4</v>
      </c>
      <c r="N203" s="4" t="n">
        <v>4</v>
      </c>
      <c r="O203" s="4" t="n">
        <v>5</v>
      </c>
      <c r="P203" s="4" t="n">
        <v>1</v>
      </c>
      <c r="Q203" s="4" t="n">
        <v>1</v>
      </c>
      <c r="R203" s="4" t="n">
        <v>1</v>
      </c>
      <c r="S203" s="4" t="n">
        <v>1</v>
      </c>
      <c r="T203" s="4" t="n">
        <v>1</v>
      </c>
      <c r="U203" s="4" t="n">
        <v>1</v>
      </c>
      <c r="V203" s="4" t="n">
        <v>1</v>
      </c>
      <c r="W203" s="4" t="n">
        <v>6</v>
      </c>
      <c r="X203" s="4" t="n">
        <v>7</v>
      </c>
    </row>
    <row r="204">
      <c r="D204" t="inlineStr">
        <is>
          <t>Traffic factor</t>
        </is>
      </c>
      <c r="E204" t="inlineStr">
        <is>
          <t>factor</t>
        </is>
      </c>
      <c r="J204" s="13" t="n">
        <v>1</v>
      </c>
      <c r="K204" s="13" t="n">
        <v>1</v>
      </c>
      <c r="L204" s="13" t="n">
        <v>1</v>
      </c>
      <c r="M204" s="13" t="n">
        <v>1</v>
      </c>
      <c r="N204" s="13" t="n">
        <v>1</v>
      </c>
      <c r="O204" s="13" t="n">
        <v>1</v>
      </c>
      <c r="P204" s="13" t="n">
        <v>0.9</v>
      </c>
      <c r="Q204" s="13" t="n">
        <v>1</v>
      </c>
      <c r="R204" s="13" t="n">
        <v>1</v>
      </c>
      <c r="S204" s="13" t="n">
        <v>1</v>
      </c>
      <c r="T204" s="13" t="n">
        <v>1</v>
      </c>
      <c r="U204" s="13" t="n">
        <v>1</v>
      </c>
      <c r="V204" s="13" t="n">
        <v>1</v>
      </c>
      <c r="W204" s="13" t="n">
        <v>1</v>
      </c>
      <c r="X204" s="13" t="n">
        <v>1</v>
      </c>
    </row>
    <row r="205">
      <c r="D205" t="inlineStr">
        <is>
          <t>Ramp-up lag</t>
        </is>
      </c>
      <c r="E205" t="inlineStr">
        <is>
          <t>years</t>
        </is>
      </c>
      <c r="J205" s="4" t="n">
        <v>0</v>
      </c>
      <c r="K205" s="4" t="n">
        <v>0</v>
      </c>
      <c r="L205" s="4" t="n">
        <v>0</v>
      </c>
      <c r="M205" s="4" t="n">
        <v>0</v>
      </c>
      <c r="N205" s="4" t="n">
        <v>0</v>
      </c>
      <c r="O205" s="4" t="n">
        <v>0</v>
      </c>
      <c r="P205" s="4" t="n">
        <v>0</v>
      </c>
      <c r="Q205" s="4" t="n">
        <v>1</v>
      </c>
      <c r="R205" s="4" t="n">
        <v>0</v>
      </c>
      <c r="S205" s="4" t="n">
        <v>0</v>
      </c>
      <c r="T205" s="4" t="n">
        <v>0</v>
      </c>
      <c r="U205" s="4" t="n">
        <v>0</v>
      </c>
      <c r="V205" s="4" t="n">
        <v>0</v>
      </c>
      <c r="W205" s="4" t="n">
        <v>0</v>
      </c>
      <c r="X205" s="4" t="n">
        <v>0</v>
      </c>
    </row>
    <row r="206">
      <c r="D206" t="inlineStr">
        <is>
          <t>Toll escalation CPI only</t>
        </is>
      </c>
      <c r="E206" t="inlineStr">
        <is>
          <t>flag</t>
        </is>
      </c>
      <c r="J206" s="4" t="n">
        <v>0</v>
      </c>
      <c r="K206" s="4" t="n">
        <v>0</v>
      </c>
      <c r="L206" s="4" t="n">
        <v>0</v>
      </c>
      <c r="M206" s="4" t="n">
        <v>0</v>
      </c>
      <c r="N206" s="4" t="n">
        <v>0</v>
      </c>
      <c r="O206" s="4" t="n">
        <v>0</v>
      </c>
      <c r="P206" s="4" t="n">
        <v>0</v>
      </c>
      <c r="Q206" s="4" t="n">
        <v>0</v>
      </c>
      <c r="R206" s="4" t="n">
        <v>1</v>
      </c>
      <c r="S206" s="4" t="n">
        <v>0</v>
      </c>
      <c r="T206" s="4" t="n">
        <v>0</v>
      </c>
      <c r="U206" s="4" t="n">
        <v>0</v>
      </c>
      <c r="V206" s="4" t="n">
        <v>0</v>
      </c>
      <c r="W206" s="4" t="n">
        <v>0</v>
      </c>
      <c r="X206" s="4" t="n">
        <v>0</v>
      </c>
    </row>
    <row r="207">
      <c r="D207" t="inlineStr">
        <is>
          <t>Opex factor</t>
        </is>
      </c>
      <c r="E207" t="inlineStr">
        <is>
          <t>factor</t>
        </is>
      </c>
      <c r="J207" s="13" t="n">
        <v>1</v>
      </c>
      <c r="K207" s="13" t="n">
        <v>1</v>
      </c>
      <c r="L207" s="13" t="n">
        <v>1</v>
      </c>
      <c r="M207" s="13" t="n">
        <v>1</v>
      </c>
      <c r="N207" s="13" t="n">
        <v>1</v>
      </c>
      <c r="O207" s="13" t="n">
        <v>1</v>
      </c>
      <c r="P207" s="13" t="n">
        <v>1</v>
      </c>
      <c r="Q207" s="13" t="n">
        <v>1</v>
      </c>
      <c r="R207" s="13" t="n">
        <v>1</v>
      </c>
      <c r="S207" s="13" t="n">
        <v>1.1</v>
      </c>
      <c r="T207" s="13" t="n">
        <v>1</v>
      </c>
      <c r="U207" s="13" t="n">
        <v>1</v>
      </c>
      <c r="V207" s="13" t="n">
        <v>1</v>
      </c>
      <c r="W207" s="13" t="n">
        <v>1</v>
      </c>
      <c r="X207" s="13" t="n">
        <v>1</v>
      </c>
    </row>
    <row r="208">
      <c r="D208" t="inlineStr">
        <is>
          <t>Lifecycle factor</t>
        </is>
      </c>
      <c r="E208" t="inlineStr">
        <is>
          <t>factor</t>
        </is>
      </c>
      <c r="J208" s="13" t="n">
        <v>1</v>
      </c>
      <c r="K208" s="13" t="n">
        <v>1</v>
      </c>
      <c r="L208" s="13" t="n">
        <v>1</v>
      </c>
      <c r="M208" s="13" t="n">
        <v>1</v>
      </c>
      <c r="N208" s="13" t="n">
        <v>1</v>
      </c>
      <c r="O208" s="13" t="n">
        <v>1</v>
      </c>
      <c r="P208" s="13" t="n">
        <v>1</v>
      </c>
      <c r="Q208" s="13" t="n">
        <v>1</v>
      </c>
      <c r="R208" s="13" t="n">
        <v>1</v>
      </c>
      <c r="S208" s="13" t="n">
        <v>1</v>
      </c>
      <c r="T208" s="13" t="n">
        <v>1.2</v>
      </c>
      <c r="U208" s="13" t="n">
        <v>1</v>
      </c>
      <c r="V208" s="13" t="n">
        <v>1</v>
      </c>
      <c r="W208" s="13" t="n">
        <v>1</v>
      </c>
      <c r="X208" s="13" t="n">
        <v>1</v>
      </c>
    </row>
    <row r="209">
      <c r="D209" t="inlineStr">
        <is>
          <t>Refinancing margin add</t>
        </is>
      </c>
      <c r="E209" t="inlineStr">
        <is>
          <t>%pa</t>
        </is>
      </c>
      <c r="J209" s="6" t="n">
        <v>0</v>
      </c>
      <c r="K209" s="6" t="n">
        <v>0</v>
      </c>
      <c r="L209" s="6" t="n">
        <v>0</v>
      </c>
      <c r="M209" s="6" t="n">
        <v>0</v>
      </c>
      <c r="N209" s="6" t="n">
        <v>0</v>
      </c>
      <c r="O209" s="6" t="n">
        <v>0</v>
      </c>
      <c r="P209" s="6" t="n">
        <v>0</v>
      </c>
      <c r="Q209" s="6" t="n">
        <v>0</v>
      </c>
      <c r="R209" s="6" t="n">
        <v>0</v>
      </c>
      <c r="S209" s="6" t="n">
        <v>0</v>
      </c>
      <c r="T209" s="6" t="n">
        <v>0</v>
      </c>
      <c r="U209" s="6" t="n">
        <v>1</v>
      </c>
      <c r="V209" s="6" t="n">
        <v>0</v>
      </c>
      <c r="W209" s="6" t="n">
        <v>0</v>
      </c>
      <c r="X209" s="6" t="n">
        <v>0</v>
      </c>
    </row>
    <row r="210">
      <c r="D210" t="inlineStr">
        <is>
          <t>Heavy-vehicle share change (points)</t>
        </is>
      </c>
      <c r="E210" t="inlineStr">
        <is>
          <t>%pa</t>
        </is>
      </c>
      <c r="J210" s="6" t="n">
        <v>0</v>
      </c>
      <c r="K210" s="6" t="n">
        <v>0</v>
      </c>
      <c r="L210" s="6" t="n">
        <v>0</v>
      </c>
      <c r="M210" s="6" t="n">
        <v>0</v>
      </c>
      <c r="N210" s="6" t="n">
        <v>0</v>
      </c>
      <c r="O210" s="6" t="n">
        <v>0</v>
      </c>
      <c r="P210" s="6" t="n">
        <v>0</v>
      </c>
      <c r="Q210" s="6" t="n">
        <v>0</v>
      </c>
      <c r="R210" s="6" t="n">
        <v>0</v>
      </c>
      <c r="S210" s="6" t="n">
        <v>0</v>
      </c>
      <c r="T210" s="6" t="n">
        <v>0</v>
      </c>
      <c r="U210" s="6" t="n">
        <v>0</v>
      </c>
      <c r="V210" s="6" t="n">
        <v>-2</v>
      </c>
      <c r="W210" s="6" t="n">
        <v>0</v>
      </c>
      <c r="X210" s="6" t="n">
        <v>0</v>
      </c>
    </row>
    <row r="211">
      <c r="D211" t="inlineStr">
        <is>
          <t>Live senior sizing</t>
        </is>
      </c>
      <c r="E211" t="inlineStr">
        <is>
          <t>flag</t>
        </is>
      </c>
      <c r="J211" s="4" t="n">
        <v>0</v>
      </c>
      <c r="K211" s="4" t="n">
        <v>1</v>
      </c>
      <c r="L211" s="4" t="n">
        <v>0</v>
      </c>
      <c r="M211" s="4" t="n">
        <v>0</v>
      </c>
      <c r="N211" s="4" t="n">
        <v>0</v>
      </c>
      <c r="O211" s="4" t="n">
        <v>0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</row>
    <row r="212">
      <c r="D212" t="inlineStr">
        <is>
          <t>Live restructured sculpting</t>
        </is>
      </c>
      <c r="E212" t="inlineStr">
        <is>
          <t>flag</t>
        </is>
      </c>
      <c r="J212" s="4" t="n">
        <v>0</v>
      </c>
      <c r="K212" s="4" t="n">
        <v>0</v>
      </c>
      <c r="L212" s="4" t="n">
        <v>0</v>
      </c>
      <c r="M212" s="4" t="n">
        <v>0</v>
      </c>
      <c r="N212" s="4" t="n">
        <v>1</v>
      </c>
      <c r="O212" s="4" t="n">
        <v>0</v>
      </c>
      <c r="P212" s="4" t="n">
        <v>0</v>
      </c>
      <c r="Q212" s="4" t="n">
        <v>0</v>
      </c>
      <c r="R212" s="4" t="n">
        <v>0</v>
      </c>
      <c r="S212" s="4" t="n">
        <v>0</v>
      </c>
      <c r="T212" s="4" t="n">
        <v>0</v>
      </c>
      <c r="U212" s="4" t="n">
        <v>0</v>
      </c>
      <c r="V212" s="4" t="n">
        <v>0</v>
      </c>
      <c r="W212" s="4" t="n">
        <v>0</v>
      </c>
      <c r="X212" s="4" t="n">
        <v>0</v>
      </c>
    </row>
    <row r="213">
      <c r="D213" s="3" t="inlineStr">
        <is>
          <t>Selected scenario values</t>
        </is>
      </c>
    </row>
    <row r="214">
      <c r="D214" t="inlineStr">
        <is>
          <t>History run (selected)</t>
        </is>
      </c>
      <c r="E214" t="inlineStr">
        <is>
          <t>flag</t>
        </is>
      </c>
      <c r="F214" s="14">
        <f>INDEX($J$199:$X$199,$F$6)</f>
        <v/>
      </c>
    </row>
    <row r="215">
      <c r="D215" t="inlineStr">
        <is>
          <t>Actual traffic used to (selected)</t>
        </is>
      </c>
      <c r="E215" t="inlineStr">
        <is>
          <t>date</t>
        </is>
      </c>
      <c r="F215" s="15">
        <f>INDEX($J$200:$X$200,$F$6)</f>
        <v/>
      </c>
    </row>
    <row r="216">
      <c r="D216" t="inlineStr">
        <is>
          <t>Restructured (selected)</t>
        </is>
      </c>
      <c r="E216" t="inlineStr">
        <is>
          <t>flag</t>
        </is>
      </c>
      <c r="F216" s="14">
        <f>INDEX($J$201:$X$201,$F$6)</f>
        <v/>
      </c>
    </row>
    <row r="217">
      <c r="D217" t="inlineStr">
        <is>
          <t>CPI path (selected)</t>
        </is>
      </c>
      <c r="E217" t="inlineStr">
        <is>
          <t>#</t>
        </is>
      </c>
      <c r="F217" s="14">
        <f>INDEX($J$202:$X$202,$F$6)</f>
        <v/>
      </c>
    </row>
    <row r="218">
      <c r="D218" t="inlineStr">
        <is>
          <t>Traffic case (selected)</t>
        </is>
      </c>
      <c r="E218" t="inlineStr">
        <is>
          <t>#</t>
        </is>
      </c>
      <c r="F218" s="14">
        <f>INDEX($J$203:$X$203,$F$6)</f>
        <v/>
      </c>
    </row>
    <row r="219">
      <c r="D219" t="inlineStr">
        <is>
          <t>Traffic factor (selected)</t>
        </is>
      </c>
      <c r="E219" t="inlineStr">
        <is>
          <t>factor</t>
        </is>
      </c>
      <c r="F219" s="16">
        <f>INDEX($J$204:$X$204,$F$6)</f>
        <v/>
      </c>
    </row>
    <row r="220">
      <c r="D220" t="inlineStr">
        <is>
          <t>Ramp-up lag (selected)</t>
        </is>
      </c>
      <c r="E220" t="inlineStr">
        <is>
          <t>years</t>
        </is>
      </c>
      <c r="F220" s="17">
        <f>INDEX($J$205:$X$205,$F$6)</f>
        <v/>
      </c>
    </row>
    <row r="221">
      <c r="D221" t="inlineStr">
        <is>
          <t>CPI-only escalation (selected)</t>
        </is>
      </c>
      <c r="E221" t="inlineStr">
        <is>
          <t>flag</t>
        </is>
      </c>
      <c r="F221" s="14">
        <f>INDEX($J$206:$X$206,$F$6)</f>
        <v/>
      </c>
    </row>
    <row r="222">
      <c r="D222" t="inlineStr">
        <is>
          <t>Opex factor (selected)</t>
        </is>
      </c>
      <c r="E222" t="inlineStr">
        <is>
          <t>factor</t>
        </is>
      </c>
      <c r="F222" s="16">
        <f>INDEX($J$207:$X$207,$F$6)</f>
        <v/>
      </c>
    </row>
    <row r="223">
      <c r="D223" t="inlineStr">
        <is>
          <t>Lifecycle factor (selected)</t>
        </is>
      </c>
      <c r="E223" t="inlineStr">
        <is>
          <t>factor</t>
        </is>
      </c>
      <c r="F223" s="16">
        <f>INDEX($J$208:$X$208,$F$6)</f>
        <v/>
      </c>
    </row>
    <row r="224">
      <c r="D224" t="inlineStr">
        <is>
          <t>Refinancing margin add (selected)</t>
        </is>
      </c>
      <c r="E224" t="inlineStr">
        <is>
          <t>%pa</t>
        </is>
      </c>
      <c r="F224" s="18">
        <f>INDEX($J$209:$X$209,$F$6)</f>
        <v/>
      </c>
    </row>
    <row r="225">
      <c r="D225" t="inlineStr">
        <is>
          <t>Heavy-vehicle share change (selected)</t>
        </is>
      </c>
      <c r="E225" t="inlineStr">
        <is>
          <t>%pa</t>
        </is>
      </c>
      <c r="F225" s="18">
        <f>INDEX($J$210:$X$210,$F$6)</f>
        <v/>
      </c>
    </row>
    <row r="226">
      <c r="D226" t="inlineStr">
        <is>
          <t>Live senior sizing (selected)</t>
        </is>
      </c>
      <c r="E226" t="inlineStr">
        <is>
          <t>flag</t>
        </is>
      </c>
      <c r="F226" s="14">
        <f>INDEX($J$211:$X$211,$F$6)</f>
        <v/>
      </c>
    </row>
    <row r="227">
      <c r="D227" t="inlineStr">
        <is>
          <t>Live restructured sculpting (selected)</t>
        </is>
      </c>
      <c r="E227" t="inlineStr">
        <is>
          <t>flag</t>
        </is>
      </c>
      <c r="F227" s="14">
        <f>INDEX($J$212:$X$212,$F$6)</f>
        <v/>
      </c>
    </row>
    <row r="228">
      <c r="D228" t="inlineStr">
        <is>
          <t>State contribution used</t>
        </is>
      </c>
      <c r="E228" t="inlineStr">
        <is>
          <t>ARD m</t>
        </is>
      </c>
      <c r="F228" s="19">
        <f>IF($F$7=2,$F$83,$F$82)</f>
        <v/>
      </c>
    </row>
    <row r="230">
      <c r="D230" s="3" t="inlineStr">
        <is>
          <t>Traffic cases (columns J to P = cases 1 to 7)</t>
        </is>
      </c>
    </row>
    <row r="231">
      <c r="D231" t="inlineStr">
        <is>
          <t>Base level (k trips/day)</t>
        </is>
      </c>
      <c r="E231" t="inlineStr">
        <is>
          <t>k/day</t>
        </is>
      </c>
      <c r="J231" s="9" t="n">
        <v>58.4</v>
      </c>
      <c r="K231" s="9" t="n">
        <v>52.6</v>
      </c>
      <c r="L231" s="9" t="n">
        <v>46.7</v>
      </c>
      <c r="M231" s="9" t="n">
        <v>42.6</v>
      </c>
      <c r="N231" s="9" t="n">
        <v>42.6</v>
      </c>
      <c r="O231" s="9" t="n">
        <v>51.2</v>
      </c>
      <c r="P231" s="9" t="n">
        <v>54.6</v>
      </c>
    </row>
    <row r="232">
      <c r="D232" t="inlineStr">
        <is>
          <t>Base year</t>
        </is>
      </c>
      <c r="E232" t="inlineStr">
        <is>
          <t>year</t>
        </is>
      </c>
      <c r="J232" s="4" t="n">
        <v>2019</v>
      </c>
      <c r="K232" s="4" t="n">
        <v>2019</v>
      </c>
      <c r="L232" s="4" t="n">
        <v>2019</v>
      </c>
      <c r="M232" s="4" t="n">
        <v>2023</v>
      </c>
      <c r="N232" s="4" t="n">
        <v>2023</v>
      </c>
      <c r="O232" s="4" t="n">
        <v>2019</v>
      </c>
      <c r="P232" s="4" t="n">
        <v>2019</v>
      </c>
    </row>
    <row r="233">
      <c r="D233" t="inlineStr">
        <is>
          <t>Growth to band 1 end</t>
        </is>
      </c>
      <c r="E233" t="inlineStr">
        <is>
          <t>%pa</t>
        </is>
      </c>
      <c r="J233" s="6" t="n">
        <v>3.4</v>
      </c>
      <c r="K233" s="6" t="n">
        <v>2.9</v>
      </c>
      <c r="L233" s="6" t="n">
        <v>2.2</v>
      </c>
      <c r="M233" s="6" t="n">
        <v>2.6</v>
      </c>
      <c r="N233" s="6" t="n">
        <v>2.6</v>
      </c>
      <c r="O233" s="6" t="n">
        <v>3.4</v>
      </c>
      <c r="P233" s="6" t="n">
        <v>3.4</v>
      </c>
    </row>
    <row r="234">
      <c r="D234" t="inlineStr">
        <is>
          <t>Growth band 2</t>
        </is>
      </c>
      <c r="E234" t="inlineStr">
        <is>
          <t>%pa</t>
        </is>
      </c>
      <c r="J234" s="6" t="n">
        <v>2.3</v>
      </c>
      <c r="K234" s="6" t="n">
        <v>2</v>
      </c>
      <c r="L234" s="6" t="n">
        <v>1.6</v>
      </c>
      <c r="M234" s="6" t="n">
        <v>1.8</v>
      </c>
      <c r="N234" s="6" t="n">
        <v>1.8</v>
      </c>
      <c r="O234" s="6" t="n">
        <v>2.3</v>
      </c>
      <c r="P234" s="6" t="n">
        <v>2.3</v>
      </c>
    </row>
    <row r="235">
      <c r="D235" t="inlineStr">
        <is>
          <t>Growth after band 2</t>
        </is>
      </c>
      <c r="E235" t="inlineStr">
        <is>
          <t>%pa</t>
        </is>
      </c>
      <c r="J235" s="6" t="n">
        <v>1.2</v>
      </c>
      <c r="K235" s="6" t="n">
        <v>1</v>
      </c>
      <c r="L235" s="6" t="n">
        <v>0.8</v>
      </c>
      <c r="M235" s="6" t="n">
        <v>0.9</v>
      </c>
      <c r="N235" s="6" t="n">
        <v>0.9</v>
      </c>
      <c r="O235" s="6" t="n">
        <v>1.2</v>
      </c>
      <c r="P235" s="6" t="n">
        <v>1.2</v>
      </c>
    </row>
    <row r="236">
      <c r="D236" t="inlineStr">
        <is>
          <t>Ramp-up factor 2019</t>
        </is>
      </c>
      <c r="E236" t="inlineStr">
        <is>
          <t>factor</t>
        </is>
      </c>
      <c r="J236" s="13" t="n">
        <v>0.8</v>
      </c>
      <c r="K236" s="13" t="n">
        <v>0.72</v>
      </c>
      <c r="L236" s="13" t="n">
        <v>0.65</v>
      </c>
      <c r="M236" s="13" t="n">
        <v>1</v>
      </c>
      <c r="N236" s="13" t="n">
        <v>1</v>
      </c>
      <c r="O236" s="13" t="n">
        <v>0.8</v>
      </c>
      <c r="P236" s="13" t="n">
        <v>0.8</v>
      </c>
    </row>
    <row r="237">
      <c r="D237" t="inlineStr">
        <is>
          <t>Ramp-up factor 2020</t>
        </is>
      </c>
      <c r="E237" t="inlineStr">
        <is>
          <t>factor</t>
        </is>
      </c>
      <c r="J237" s="13" t="n">
        <v>0.9</v>
      </c>
      <c r="K237" s="13" t="n">
        <v>0.84</v>
      </c>
      <c r="L237" s="13" t="n">
        <v>0.78</v>
      </c>
      <c r="M237" s="13" t="n">
        <v>1</v>
      </c>
      <c r="N237" s="13" t="n">
        <v>1</v>
      </c>
      <c r="O237" s="13" t="n">
        <v>0.9</v>
      </c>
      <c r="P237" s="13" t="n">
        <v>0.9</v>
      </c>
    </row>
    <row r="238">
      <c r="D238" t="inlineStr">
        <is>
          <t>Ramp-up factor 2021</t>
        </is>
      </c>
      <c r="E238" t="inlineStr">
        <is>
          <t>factor</t>
        </is>
      </c>
      <c r="J238" s="13" t="n">
        <v>0.96</v>
      </c>
      <c r="K238" s="13" t="n">
        <v>0.93</v>
      </c>
      <c r="L238" s="13" t="n">
        <v>0.88</v>
      </c>
      <c r="M238" s="13" t="n">
        <v>1</v>
      </c>
      <c r="N238" s="13" t="n">
        <v>1</v>
      </c>
      <c r="O238" s="13" t="n">
        <v>0.96</v>
      </c>
      <c r="P238" s="13" t="n">
        <v>0.96</v>
      </c>
    </row>
    <row r="239">
      <c r="D239" t="inlineStr">
        <is>
          <t>Ramp-up factor 2022</t>
        </is>
      </c>
      <c r="E239" t="inlineStr">
        <is>
          <t>factor</t>
        </is>
      </c>
      <c r="J239" s="13" t="n">
        <v>1</v>
      </c>
      <c r="K239" s="13" t="n">
        <v>0.98</v>
      </c>
      <c r="L239" s="13" t="n">
        <v>0.95</v>
      </c>
      <c r="M239" s="13" t="n">
        <v>1</v>
      </c>
      <c r="N239" s="13" t="n">
        <v>1</v>
      </c>
      <c r="O239" s="13" t="n">
        <v>1</v>
      </c>
      <c r="P239" s="13" t="n">
        <v>1</v>
      </c>
    </row>
    <row r="240">
      <c r="D240" t="inlineStr">
        <is>
          <t>Ramp-up factor 2023</t>
        </is>
      </c>
      <c r="E240" t="inlineStr">
        <is>
          <t>factor</t>
        </is>
      </c>
      <c r="J240" s="13" t="n">
        <v>1</v>
      </c>
      <c r="K240" s="13" t="n">
        <v>1</v>
      </c>
      <c r="L240" s="13" t="n">
        <v>1</v>
      </c>
      <c r="M240" s="13" t="n">
        <v>1</v>
      </c>
      <c r="N240" s="13" t="n">
        <v>1</v>
      </c>
      <c r="O240" s="13" t="n">
        <v>1</v>
      </c>
      <c r="P240" s="13" t="n">
        <v>1</v>
      </c>
    </row>
    <row r="241">
      <c r="D241" t="inlineStr">
        <is>
          <t>Heavy-vehicle uplift in total trips</t>
        </is>
      </c>
      <c r="E241" t="inlineStr">
        <is>
          <t>%pa</t>
        </is>
      </c>
      <c r="J241" s="6" t="n">
        <v>0</v>
      </c>
      <c r="K241" s="6" t="n">
        <v>0</v>
      </c>
      <c r="L241" s="6" t="n">
        <v>0</v>
      </c>
      <c r="M241" s="6" t="n">
        <v>2.4</v>
      </c>
      <c r="N241" s="6" t="n">
        <v>0</v>
      </c>
      <c r="O241" s="6" t="n">
        <v>0</v>
      </c>
      <c r="P241" s="6" t="n">
        <v>0</v>
      </c>
    </row>
    <row r="242">
      <c r="D242" t="inlineStr">
        <is>
          <t>Selected traffic case: L0</t>
        </is>
      </c>
      <c r="E242" t="inlineStr">
        <is>
          <t>#</t>
        </is>
      </c>
      <c r="F242" s="20">
        <f>INDEX($J$231:$P$231,$F$218)</f>
        <v/>
      </c>
    </row>
    <row r="243">
      <c r="D243" t="inlineStr">
        <is>
          <t>Selected traffic case: BY</t>
        </is>
      </c>
      <c r="E243" t="inlineStr">
        <is>
          <t>#</t>
        </is>
      </c>
      <c r="F243" s="20">
        <f>INDEX($J$232:$P$232,$F$218)</f>
        <v/>
      </c>
    </row>
    <row r="244">
      <c r="D244" t="inlineStr">
        <is>
          <t>Selected traffic case: G1</t>
        </is>
      </c>
      <c r="E244" t="inlineStr">
        <is>
          <t>#</t>
        </is>
      </c>
      <c r="F244" s="20">
        <f>INDEX($J$233:$P$233,$F$218)</f>
        <v/>
      </c>
    </row>
    <row r="245">
      <c r="D245" t="inlineStr">
        <is>
          <t>Selected traffic case: G2</t>
        </is>
      </c>
      <c r="E245" t="inlineStr">
        <is>
          <t>#</t>
        </is>
      </c>
      <c r="F245" s="20">
        <f>INDEX($J$234:$P$234,$F$218)</f>
        <v/>
      </c>
    </row>
    <row r="246">
      <c r="D246" t="inlineStr">
        <is>
          <t>Selected traffic case: G3</t>
        </is>
      </c>
      <c r="E246" t="inlineStr">
        <is>
          <t>#</t>
        </is>
      </c>
      <c r="F246" s="20">
        <f>INDEX($J$235:$P$235,$F$218)</f>
        <v/>
      </c>
    </row>
    <row r="247">
      <c r="D247" t="inlineStr">
        <is>
          <t>Selected traffic case: Upl</t>
        </is>
      </c>
      <c r="E247" t="inlineStr">
        <is>
          <t>#</t>
        </is>
      </c>
      <c r="F247" s="20">
        <f>INDEX($J$241:$P$241,$F$218)</f>
        <v/>
      </c>
    </row>
    <row r="248">
      <c r="D248" t="inlineStr">
        <is>
          <t>Selected ramp-up factors follow (2019 to 2023)</t>
        </is>
      </c>
      <c r="E248" t="inlineStr"/>
      <c r="F248" s="17">
        <f>0</f>
        <v/>
      </c>
    </row>
    <row r="249">
      <c r="D249" t="inlineStr">
        <is>
          <t>Selected ramp-up factor 2019</t>
        </is>
      </c>
      <c r="E249" t="inlineStr">
        <is>
          <t>factor</t>
        </is>
      </c>
      <c r="F249" s="16">
        <f>INDEX($J$236:$P$236,$F$218)</f>
        <v/>
      </c>
    </row>
    <row r="250">
      <c r="D250" t="inlineStr">
        <is>
          <t>Selected ramp-up factor 2020</t>
        </is>
      </c>
      <c r="E250" t="inlineStr">
        <is>
          <t>factor</t>
        </is>
      </c>
      <c r="F250" s="16">
        <f>INDEX($J$237:$P$237,$F$218)</f>
        <v/>
      </c>
    </row>
    <row r="251">
      <c r="D251" t="inlineStr">
        <is>
          <t>Selected ramp-up factor 2021</t>
        </is>
      </c>
      <c r="E251" t="inlineStr">
        <is>
          <t>factor</t>
        </is>
      </c>
      <c r="F251" s="16">
        <f>INDEX($J$238:$P$238,$F$218)</f>
        <v/>
      </c>
    </row>
    <row r="252">
      <c r="D252" t="inlineStr">
        <is>
          <t>Selected ramp-up factor 2022</t>
        </is>
      </c>
      <c r="E252" t="inlineStr">
        <is>
          <t>factor</t>
        </is>
      </c>
      <c r="F252" s="16">
        <f>INDEX($J$239:$P$239,$F$218)</f>
        <v/>
      </c>
    </row>
    <row r="253">
      <c r="D253" t="inlineStr">
        <is>
          <t>Selected ramp-up factor 2023</t>
        </is>
      </c>
      <c r="E253" t="inlineStr">
        <is>
          <t>factor</t>
        </is>
      </c>
      <c r="F253" s="16">
        <f>INDEX($J$240:$P$240,$F$218)</f>
        <v/>
      </c>
    </row>
    <row r="255">
      <c r="D255" s="3" t="inlineStr">
        <is>
          <t>Annual and half-year tables</t>
        </is>
      </c>
    </row>
    <row r="256">
      <c r="D256" t="inlineStr">
        <is>
          <t>Year</t>
        </is>
      </c>
      <c r="E256" t="inlineStr">
        <is>
          <t>year</t>
        </is>
      </c>
      <c r="J256" s="4" t="n">
        <v>2012</v>
      </c>
      <c r="K256" s="4" t="n">
        <v>2013</v>
      </c>
      <c r="L256" s="4" t="n">
        <v>2014</v>
      </c>
      <c r="M256" s="4" t="n">
        <v>2015</v>
      </c>
      <c r="N256" s="4" t="n">
        <v>2016</v>
      </c>
      <c r="O256" s="4" t="n">
        <v>2017</v>
      </c>
      <c r="P256" s="4" t="n">
        <v>2018</v>
      </c>
      <c r="Q256" s="4" t="n">
        <v>2019</v>
      </c>
      <c r="R256" s="4" t="n">
        <v>2020</v>
      </c>
      <c r="S256" s="4" t="n">
        <v>2021</v>
      </c>
      <c r="T256" s="4" t="n">
        <v>2022</v>
      </c>
      <c r="U256" s="4" t="n">
        <v>2023</v>
      </c>
      <c r="V256" s="4" t="n">
        <v>2024</v>
      </c>
      <c r="W256" s="4" t="n">
        <v>2025</v>
      </c>
      <c r="X256" s="4" t="n">
        <v>2026</v>
      </c>
      <c r="Y256" s="4" t="n">
        <v>2027</v>
      </c>
      <c r="Z256" s="4" t="n">
        <v>2028</v>
      </c>
      <c r="AA256" s="4" t="n">
        <v>2029</v>
      </c>
      <c r="AB256" s="4" t="n">
        <v>2030</v>
      </c>
      <c r="AC256" s="4" t="n">
        <v>2031</v>
      </c>
      <c r="AD256" s="4" t="n">
        <v>2032</v>
      </c>
      <c r="AE256" s="4" t="n">
        <v>2033</v>
      </c>
      <c r="AF256" s="4" t="n">
        <v>2034</v>
      </c>
      <c r="AG256" s="4" t="n">
        <v>2035</v>
      </c>
      <c r="AH256" s="4" t="n">
        <v>2036</v>
      </c>
      <c r="AI256" s="4" t="n">
        <v>2037</v>
      </c>
      <c r="AJ256" s="4" t="n">
        <v>2038</v>
      </c>
      <c r="AK256" s="4" t="n">
        <v>2039</v>
      </c>
      <c r="AL256" s="4" t="n">
        <v>2040</v>
      </c>
      <c r="AM256" s="4" t="n">
        <v>2041</v>
      </c>
      <c r="AN256" s="4" t="n">
        <v>2042</v>
      </c>
      <c r="AO256" s="4" t="n">
        <v>2043</v>
      </c>
      <c r="AP256" s="4" t="n">
        <v>2044</v>
      </c>
      <c r="AQ256" s="4" t="n">
        <v>2045</v>
      </c>
      <c r="AR256" s="4" t="n">
        <v>2046</v>
      </c>
      <c r="AS256" s="4" t="n">
        <v>2047</v>
      </c>
      <c r="AT256" s="4" t="n">
        <v>2048</v>
      </c>
      <c r="AU256" s="4" t="n">
        <v>2049</v>
      </c>
      <c r="AV256" s="4" t="n">
        <v>2050</v>
      </c>
      <c r="AW256" s="4" t="n">
        <v>2051</v>
      </c>
      <c r="AX256" s="4" t="n">
        <v>2052</v>
      </c>
      <c r="AY256" s="4" t="n">
        <v>2053</v>
      </c>
      <c r="AZ256" s="4" t="n">
        <v>2054</v>
      </c>
      <c r="BA256" s="4" t="n">
        <v>2055</v>
      </c>
      <c r="BB256" s="4" t="n">
        <v>2056</v>
      </c>
      <c r="BC256" s="4" t="n">
        <v>2057</v>
      </c>
      <c r="BD256" s="4" t="n">
        <v>2058</v>
      </c>
      <c r="BE256" s="4" t="n">
        <v>2059</v>
      </c>
    </row>
    <row r="257">
      <c r="D257" t="inlineStr">
        <is>
          <t>Ardmore CPI, annual average change (actual path)</t>
        </is>
      </c>
      <c r="E257" t="inlineStr">
        <is>
          <t>%pa</t>
        </is>
      </c>
      <c r="J257" s="6" t="n">
        <v>2</v>
      </c>
      <c r="K257" s="6" t="n">
        <v>2.4</v>
      </c>
      <c r="L257" s="6" t="n">
        <v>2.5</v>
      </c>
      <c r="M257" s="6" t="n">
        <v>1.6</v>
      </c>
      <c r="N257" s="6" t="n">
        <v>1.4</v>
      </c>
      <c r="O257" s="6" t="n">
        <v>1.9</v>
      </c>
      <c r="P257" s="6" t="n">
        <v>1.9</v>
      </c>
      <c r="Q257" s="6" t="n">
        <v>1.6</v>
      </c>
      <c r="R257" s="6" t="n">
        <v>0.9</v>
      </c>
      <c r="S257" s="6" t="n">
        <v>3.4</v>
      </c>
      <c r="T257" s="6" t="n">
        <v>7.1</v>
      </c>
      <c r="U257" s="6" t="n">
        <v>5.4</v>
      </c>
      <c r="V257" s="6" t="n">
        <v>3.3</v>
      </c>
      <c r="W257" s="6" t="n">
        <v>2.7</v>
      </c>
      <c r="X257" s="6" t="n">
        <v>2.6</v>
      </c>
      <c r="Y257" s="6" t="n">
        <v>2.5</v>
      </c>
      <c r="Z257" s="6" t="n">
        <v>2.5</v>
      </c>
      <c r="AA257" s="6" t="n">
        <v>2.5</v>
      </c>
      <c r="AB257" s="6" t="n">
        <v>2.5</v>
      </c>
      <c r="AC257" s="6" t="n">
        <v>2.5</v>
      </c>
      <c r="AD257" s="6" t="n">
        <v>2.5</v>
      </c>
      <c r="AE257" s="6" t="n">
        <v>2.5</v>
      </c>
      <c r="AF257" s="6" t="n">
        <v>2.5</v>
      </c>
      <c r="AG257" s="6" t="n">
        <v>2.5</v>
      </c>
      <c r="AH257" s="6" t="n">
        <v>2.5</v>
      </c>
      <c r="AI257" s="6" t="n">
        <v>2.5</v>
      </c>
      <c r="AJ257" s="6" t="n">
        <v>2.5</v>
      </c>
      <c r="AK257" s="6" t="n">
        <v>2.5</v>
      </c>
      <c r="AL257" s="6" t="n">
        <v>2.5</v>
      </c>
      <c r="AM257" s="6" t="n">
        <v>2.5</v>
      </c>
      <c r="AN257" s="6" t="n">
        <v>2.5</v>
      </c>
      <c r="AO257" s="6" t="n">
        <v>2.5</v>
      </c>
      <c r="AP257" s="6" t="n">
        <v>2.5</v>
      </c>
      <c r="AQ257" s="6" t="n">
        <v>2.5</v>
      </c>
      <c r="AR257" s="6" t="n">
        <v>2.5</v>
      </c>
      <c r="AS257" s="6" t="n">
        <v>2.5</v>
      </c>
      <c r="AT257" s="6" t="n">
        <v>2.5</v>
      </c>
      <c r="AU257" s="6" t="n">
        <v>2.5</v>
      </c>
      <c r="AV257" s="6" t="n">
        <v>2.5</v>
      </c>
      <c r="AW257" s="6" t="n">
        <v>2.5</v>
      </c>
      <c r="AX257" s="6" t="n">
        <v>2.5</v>
      </c>
      <c r="AY257" s="6" t="n">
        <v>2.5</v>
      </c>
      <c r="AZ257" s="6" t="n">
        <v>2.5</v>
      </c>
      <c r="BA257" s="6" t="n">
        <v>2.5</v>
      </c>
      <c r="BB257" s="6" t="n">
        <v>2.5</v>
      </c>
      <c r="BC257" s="6" t="n">
        <v>2.5</v>
      </c>
      <c r="BD257" s="6" t="n">
        <v>2.5</v>
      </c>
      <c r="BE257" s="6" t="n">
        <v>2.5</v>
      </c>
    </row>
    <row r="258">
      <c r="D258" t="inlineStr">
        <is>
          <t>Ardmore CPI, bid-date path</t>
        </is>
      </c>
      <c r="E258" t="inlineStr">
        <is>
          <t>%pa</t>
        </is>
      </c>
      <c r="J258" s="6" t="n">
        <v>2.5</v>
      </c>
      <c r="K258" s="6" t="n">
        <v>2.5</v>
      </c>
      <c r="L258" s="6" t="n">
        <v>2.5</v>
      </c>
      <c r="M258" s="6" t="n">
        <v>2.5</v>
      </c>
      <c r="N258" s="6" t="n">
        <v>2.5</v>
      </c>
      <c r="O258" s="6" t="n">
        <v>2.5</v>
      </c>
      <c r="P258" s="6" t="n">
        <v>2.5</v>
      </c>
      <c r="Q258" s="6" t="n">
        <v>2.5</v>
      </c>
      <c r="R258" s="6" t="n">
        <v>2.5</v>
      </c>
      <c r="S258" s="6" t="n">
        <v>2.5</v>
      </c>
      <c r="T258" s="6" t="n">
        <v>2.5</v>
      </c>
      <c r="U258" s="6" t="n">
        <v>2.5</v>
      </c>
      <c r="V258" s="6" t="n">
        <v>2.5</v>
      </c>
      <c r="W258" s="6" t="n">
        <v>2.5</v>
      </c>
      <c r="X258" s="6" t="n">
        <v>2.5</v>
      </c>
      <c r="Y258" s="6" t="n">
        <v>2.5</v>
      </c>
      <c r="Z258" s="6" t="n">
        <v>2.5</v>
      </c>
      <c r="AA258" s="6" t="n">
        <v>2.5</v>
      </c>
      <c r="AB258" s="6" t="n">
        <v>2.5</v>
      </c>
      <c r="AC258" s="6" t="n">
        <v>2.5</v>
      </c>
      <c r="AD258" s="6" t="n">
        <v>2.5</v>
      </c>
      <c r="AE258" s="6" t="n">
        <v>2.5</v>
      </c>
      <c r="AF258" s="6" t="n">
        <v>2.5</v>
      </c>
      <c r="AG258" s="6" t="n">
        <v>2.5</v>
      </c>
      <c r="AH258" s="6" t="n">
        <v>2.5</v>
      </c>
      <c r="AI258" s="6" t="n">
        <v>2.5</v>
      </c>
      <c r="AJ258" s="6" t="n">
        <v>2.5</v>
      </c>
      <c r="AK258" s="6" t="n">
        <v>2.5</v>
      </c>
      <c r="AL258" s="6" t="n">
        <v>2.5</v>
      </c>
      <c r="AM258" s="6" t="n">
        <v>2.5</v>
      </c>
      <c r="AN258" s="6" t="n">
        <v>2.5</v>
      </c>
      <c r="AO258" s="6" t="n">
        <v>2.5</v>
      </c>
      <c r="AP258" s="6" t="n">
        <v>2.5</v>
      </c>
      <c r="AQ258" s="6" t="n">
        <v>2.5</v>
      </c>
      <c r="AR258" s="6" t="n">
        <v>2.5</v>
      </c>
      <c r="AS258" s="6" t="n">
        <v>2.5</v>
      </c>
      <c r="AT258" s="6" t="n">
        <v>2.5</v>
      </c>
      <c r="AU258" s="6" t="n">
        <v>2.5</v>
      </c>
      <c r="AV258" s="6" t="n">
        <v>2.5</v>
      </c>
      <c r="AW258" s="6" t="n">
        <v>2.5</v>
      </c>
      <c r="AX258" s="6" t="n">
        <v>2.5</v>
      </c>
      <c r="AY258" s="6" t="n">
        <v>2.5</v>
      </c>
      <c r="AZ258" s="6" t="n">
        <v>2.5</v>
      </c>
      <c r="BA258" s="6" t="n">
        <v>2.5</v>
      </c>
      <c r="BB258" s="6" t="n">
        <v>2.5</v>
      </c>
      <c r="BC258" s="6" t="n">
        <v>2.5</v>
      </c>
      <c r="BD258" s="6" t="n">
        <v>2.5</v>
      </c>
      <c r="BE258" s="6" t="n">
        <v>2.5</v>
      </c>
    </row>
    <row r="259">
      <c r="D259" t="inlineStr">
        <is>
          <t>ABBR fixing code (year x 10 + half)</t>
        </is>
      </c>
      <c r="E259" t="inlineStr">
        <is>
          <t>code</t>
        </is>
      </c>
      <c r="J259" s="4" t="n">
        <v>20151</v>
      </c>
      <c r="K259" s="4" t="n">
        <v>20152</v>
      </c>
      <c r="L259" s="4" t="n">
        <v>20161</v>
      </c>
      <c r="M259" s="4" t="n">
        <v>20162</v>
      </c>
      <c r="N259" s="4" t="n">
        <v>20171</v>
      </c>
      <c r="O259" s="4" t="n">
        <v>20172</v>
      </c>
      <c r="P259" s="4" t="n">
        <v>20181</v>
      </c>
      <c r="Q259" s="4" t="n">
        <v>20182</v>
      </c>
      <c r="R259" s="4" t="n">
        <v>20191</v>
      </c>
      <c r="S259" s="4" t="n">
        <v>20192</v>
      </c>
      <c r="T259" s="4" t="n">
        <v>20201</v>
      </c>
      <c r="U259" s="4" t="n">
        <v>20202</v>
      </c>
      <c r="V259" s="4" t="n">
        <v>20211</v>
      </c>
      <c r="W259" s="4" t="n">
        <v>20212</v>
      </c>
      <c r="X259" s="4" t="n">
        <v>20221</v>
      </c>
      <c r="Y259" s="4" t="n">
        <v>20222</v>
      </c>
      <c r="Z259" s="4" t="n">
        <v>20231</v>
      </c>
      <c r="AA259" s="4" t="n">
        <v>20232</v>
      </c>
      <c r="AB259" s="4" t="n">
        <v>20241</v>
      </c>
      <c r="AC259" s="4" t="n">
        <v>20242</v>
      </c>
      <c r="AD259" s="4" t="n">
        <v>20251</v>
      </c>
      <c r="AE259" s="4" t="n">
        <v>20252</v>
      </c>
      <c r="AF259" s="4" t="n">
        <v>20261</v>
      </c>
      <c r="AG259" s="4" t="n">
        <v>20262</v>
      </c>
    </row>
    <row r="260">
      <c r="D260" t="inlineStr">
        <is>
          <t>6-month ABBR fixing</t>
        </is>
      </c>
      <c r="E260" t="inlineStr">
        <is>
          <t>%pa</t>
        </is>
      </c>
      <c r="J260" s="6" t="n">
        <v>2.31</v>
      </c>
      <c r="K260" s="6" t="n">
        <v>2.18</v>
      </c>
      <c r="L260" s="6" t="n">
        <v>2.02</v>
      </c>
      <c r="M260" s="6" t="n">
        <v>1.84</v>
      </c>
      <c r="N260" s="6" t="n">
        <v>1.79</v>
      </c>
      <c r="O260" s="6" t="n">
        <v>1.77</v>
      </c>
      <c r="P260" s="6" t="n">
        <v>1.94</v>
      </c>
      <c r="Q260" s="6" t="n">
        <v>1.98</v>
      </c>
      <c r="R260" s="6" t="n">
        <v>1.66</v>
      </c>
      <c r="S260" s="6" t="n">
        <v>0.92</v>
      </c>
      <c r="T260" s="6" t="n">
        <v>0.41</v>
      </c>
      <c r="U260" s="6" t="n">
        <v>0.11</v>
      </c>
      <c r="V260" s="6" t="n">
        <v>0.06</v>
      </c>
      <c r="W260" s="6" t="n">
        <v>0.07000000000000001</v>
      </c>
      <c r="X260" s="6" t="n">
        <v>0.95</v>
      </c>
      <c r="Y260" s="6" t="n">
        <v>3.06</v>
      </c>
      <c r="Z260" s="6" t="n">
        <v>3.96</v>
      </c>
      <c r="AA260" s="6" t="n">
        <v>4.38</v>
      </c>
      <c r="AB260" s="6" t="n">
        <v>4.41</v>
      </c>
      <c r="AC260" s="6" t="n">
        <v>4.37</v>
      </c>
      <c r="AD260" s="6" t="n">
        <v>4.02</v>
      </c>
      <c r="AE260" s="6" t="n">
        <v>3.7</v>
      </c>
      <c r="AF260" s="6" t="n">
        <v>3.62</v>
      </c>
      <c r="AG260" s="6" t="n">
        <v>3.58</v>
      </c>
    </row>
    <row r="261">
      <c r="D261" t="inlineStr">
        <is>
          <t>ABBR from 2027</t>
        </is>
      </c>
      <c r="E261" t="inlineStr">
        <is>
          <t>%pa</t>
        </is>
      </c>
      <c r="F261" s="6" t="n">
        <v>3.5</v>
      </c>
    </row>
    <row r="262">
      <c r="D262" t="inlineStr">
        <is>
          <t>Actual traffic code</t>
        </is>
      </c>
      <c r="E262" t="inlineStr">
        <is>
          <t>code</t>
        </is>
      </c>
      <c r="J262" s="4" t="n">
        <v>20191</v>
      </c>
      <c r="K262" s="4" t="n">
        <v>20192</v>
      </c>
      <c r="L262" s="4" t="n">
        <v>20201</v>
      </c>
      <c r="M262" s="4" t="n">
        <v>20202</v>
      </c>
      <c r="N262" s="4" t="n">
        <v>20211</v>
      </c>
      <c r="O262" s="4" t="n">
        <v>20212</v>
      </c>
      <c r="P262" s="4" t="n">
        <v>20221</v>
      </c>
      <c r="Q262" s="4" t="n">
        <v>20222</v>
      </c>
      <c r="R262" s="4" t="n">
        <v>20231</v>
      </c>
      <c r="S262" s="4" t="n">
        <v>20232</v>
      </c>
      <c r="T262" s="4" t="n">
        <v>20241</v>
      </c>
      <c r="U262" s="4" t="n">
        <v>20242</v>
      </c>
      <c r="V262" s="4" t="n">
        <v>20251</v>
      </c>
      <c r="W262" s="4" t="n">
        <v>20252</v>
      </c>
      <c r="X262" s="4" t="n">
        <v>20261</v>
      </c>
    </row>
    <row r="263">
      <c r="D263" t="inlineStr">
        <is>
          <t>Actual traffic (k trips/day)</t>
        </is>
      </c>
      <c r="E263" t="inlineStr">
        <is>
          <t>k/day</t>
        </is>
      </c>
      <c r="J263" s="9" t="n">
        <v>28.1</v>
      </c>
      <c r="K263" s="9" t="n">
        <v>31.1</v>
      </c>
      <c r="L263" s="9" t="n">
        <v>21.4</v>
      </c>
      <c r="M263" s="9" t="n">
        <v>30</v>
      </c>
      <c r="N263" s="9" t="n">
        <v>31.8</v>
      </c>
      <c r="O263" s="9" t="n">
        <v>36</v>
      </c>
      <c r="P263" s="9" t="n">
        <v>39.1</v>
      </c>
      <c r="Q263" s="9" t="n">
        <v>41.3</v>
      </c>
      <c r="R263" s="9" t="n">
        <v>41.9</v>
      </c>
      <c r="S263" s="9" t="n">
        <v>43.3</v>
      </c>
      <c r="T263" s="9" t="n">
        <v>43.9</v>
      </c>
      <c r="U263" s="9" t="n">
        <v>45.5</v>
      </c>
      <c r="V263" s="9" t="n">
        <v>45.8</v>
      </c>
      <c r="W263" s="9" t="n">
        <v>46.8</v>
      </c>
      <c r="X263" s="9" t="n">
        <v>47.1</v>
      </c>
    </row>
    <row r="264">
      <c r="D264" t="inlineStr">
        <is>
          <t>Performance payment code</t>
        </is>
      </c>
      <c r="E264" t="inlineStr">
        <is>
          <t>code</t>
        </is>
      </c>
      <c r="J264" s="4" t="n">
        <v>20191</v>
      </c>
      <c r="K264" s="4" t="n">
        <v>20192</v>
      </c>
      <c r="L264" s="4" t="n">
        <v>20201</v>
      </c>
      <c r="M264" s="4" t="n">
        <v>20202</v>
      </c>
      <c r="N264" s="4" t="n">
        <v>20211</v>
      </c>
      <c r="O264" s="4" t="n">
        <v>20212</v>
      </c>
      <c r="P264" s="4" t="n">
        <v>20221</v>
      </c>
      <c r="Q264" s="4" t="n">
        <v>20222</v>
      </c>
      <c r="R264" s="4" t="n">
        <v>20231</v>
      </c>
      <c r="S264" s="4" t="n">
        <v>20232</v>
      </c>
      <c r="T264" s="4" t="n">
        <v>20241</v>
      </c>
      <c r="U264" s="4" t="n">
        <v>20242</v>
      </c>
      <c r="V264" s="4" t="n">
        <v>20251</v>
      </c>
      <c r="W264" s="4" t="n">
        <v>20252</v>
      </c>
    </row>
    <row r="265">
      <c r="D265" t="inlineStr">
        <is>
          <t>Performance payments to BRTA (actual, nominal)</t>
        </is>
      </c>
      <c r="E265" t="inlineStr">
        <is>
          <t>ARD m</t>
        </is>
      </c>
      <c r="J265" s="10" t="n">
        <v>0.14</v>
      </c>
      <c r="K265" s="10" t="n">
        <v>0.24</v>
      </c>
      <c r="L265" s="10" t="n">
        <v>0.03</v>
      </c>
      <c r="M265" s="10" t="n">
        <v>0</v>
      </c>
      <c r="N265" s="10" t="n">
        <v>0</v>
      </c>
      <c r="O265" s="10" t="n">
        <v>0.02</v>
      </c>
      <c r="P265" s="10" t="n">
        <v>0.05</v>
      </c>
      <c r="Q265" s="10" t="n">
        <v>0.06</v>
      </c>
      <c r="R265" s="10" t="n">
        <v>0.04</v>
      </c>
      <c r="S265" s="10" t="n">
        <v>0.05</v>
      </c>
      <c r="T265" s="10" t="n">
        <v>0.08</v>
      </c>
      <c r="U265" s="10" t="n">
        <v>0.09</v>
      </c>
      <c r="V265" s="10" t="n">
        <v>0.03</v>
      </c>
      <c r="W265" s="10" t="n">
        <v>0.04</v>
      </c>
    </row>
    <row r="266">
      <c r="D266" t="inlineStr">
        <is>
          <t>Sponsor support code</t>
        </is>
      </c>
      <c r="E266" t="inlineStr">
        <is>
          <t>code</t>
        </is>
      </c>
      <c r="J266" s="4" t="n">
        <v>20211</v>
      </c>
      <c r="K266" s="4" t="n">
        <v>20212</v>
      </c>
    </row>
    <row r="267">
      <c r="D267" t="inlineStr">
        <is>
          <t>Sponsor support (subordinated shareholder loans)</t>
        </is>
      </c>
      <c r="E267" t="inlineStr">
        <is>
          <t>ARD m</t>
        </is>
      </c>
      <c r="J267" s="10" t="n">
        <v>22.5</v>
      </c>
      <c r="K267" s="10" t="n">
        <v>22.5</v>
      </c>
    </row>
    <row r="269">
      <c r="D269" s="3" t="inlineStr">
        <is>
          <t>Time-based inputs (aligned with the model timeline, column J = first period)</t>
        </is>
      </c>
    </row>
    <row r="270">
      <c r="D270" t="inlineStr">
        <is>
          <t>D&amp;C payment profile (excludes 5% retention)</t>
        </is>
      </c>
      <c r="E270" t="inlineStr">
        <is>
          <t>%</t>
        </is>
      </c>
      <c r="G270" s="21">
        <f>SUM(J270:DB270)</f>
        <v/>
      </c>
      <c r="J270" s="22" t="n">
        <v>0.001632</v>
      </c>
      <c r="K270" s="22" t="n">
        <v>0.012858</v>
      </c>
      <c r="L270" s="22" t="n">
        <v>0.030959</v>
      </c>
      <c r="M270" s="22" t="n">
        <v>0.052023</v>
      </c>
      <c r="N270" s="22" t="n">
        <v>0.07278800000000001</v>
      </c>
      <c r="O270" s="22" t="n">
        <v>0.090645</v>
      </c>
      <c r="P270" s="22" t="n">
        <v>0.103637</v>
      </c>
      <c r="Q270" s="22" t="n">
        <v>0.110459</v>
      </c>
      <c r="R270" s="22" t="n">
        <v>0.110457</v>
      </c>
      <c r="S270" s="22" t="n">
        <v>0.103637</v>
      </c>
      <c r="T270" s="22" t="n">
        <v>0.090645</v>
      </c>
      <c r="U270" s="22" t="n">
        <v>0.07278800000000001</v>
      </c>
      <c r="V270" s="22" t="n">
        <v>0.052023</v>
      </c>
      <c r="W270" s="22" t="n">
        <v>0.030959</v>
      </c>
      <c r="X270" s="22" t="n">
        <v>0.012858</v>
      </c>
      <c r="Y270" s="22" t="n">
        <v>0.001632</v>
      </c>
      <c r="Z270" s="22" t="n">
        <v>0</v>
      </c>
      <c r="AA270" s="22" t="n">
        <v>0</v>
      </c>
      <c r="AB270" s="22" t="n">
        <v>0</v>
      </c>
      <c r="AC270" s="22" t="n">
        <v>0</v>
      </c>
      <c r="AD270" s="22" t="n">
        <v>0</v>
      </c>
      <c r="AE270" s="22" t="n">
        <v>0</v>
      </c>
      <c r="AF270" s="22" t="n">
        <v>0</v>
      </c>
      <c r="AG270" s="22" t="n">
        <v>0</v>
      </c>
      <c r="AH270" s="22" t="n">
        <v>0</v>
      </c>
      <c r="AI270" s="22" t="n">
        <v>0</v>
      </c>
      <c r="AJ270" s="22" t="n">
        <v>0</v>
      </c>
      <c r="AK270" s="22" t="n">
        <v>0</v>
      </c>
      <c r="AL270" s="22" t="n">
        <v>0</v>
      </c>
      <c r="AM270" s="22" t="n">
        <v>0</v>
      </c>
      <c r="AN270" s="22" t="n">
        <v>0</v>
      </c>
      <c r="AO270" s="22" t="n">
        <v>0</v>
      </c>
      <c r="AP270" s="22" t="n">
        <v>0</v>
      </c>
      <c r="AQ270" s="22" t="n">
        <v>0</v>
      </c>
      <c r="AR270" s="22" t="n">
        <v>0</v>
      </c>
      <c r="AS270" s="22" t="n">
        <v>0</v>
      </c>
      <c r="AT270" s="22" t="n">
        <v>0</v>
      </c>
      <c r="AU270" s="22" t="n">
        <v>0</v>
      </c>
      <c r="AV270" s="22" t="n">
        <v>0</v>
      </c>
      <c r="AW270" s="22" t="n">
        <v>0</v>
      </c>
      <c r="AX270" s="22" t="n">
        <v>0</v>
      </c>
      <c r="AY270" s="22" t="n">
        <v>0</v>
      </c>
      <c r="AZ270" s="22" t="n">
        <v>0</v>
      </c>
      <c r="BA270" s="22" t="n">
        <v>0</v>
      </c>
      <c r="BB270" s="22" t="n">
        <v>0</v>
      </c>
      <c r="BC270" s="22" t="n">
        <v>0</v>
      </c>
      <c r="BD270" s="22" t="n">
        <v>0</v>
      </c>
      <c r="BE270" s="22" t="n">
        <v>0</v>
      </c>
      <c r="BF270" s="22" t="n">
        <v>0</v>
      </c>
      <c r="BG270" s="22" t="n">
        <v>0</v>
      </c>
      <c r="BH270" s="22" t="n">
        <v>0</v>
      </c>
      <c r="BI270" s="22" t="n">
        <v>0</v>
      </c>
      <c r="BJ270" s="22" t="n">
        <v>0</v>
      </c>
      <c r="BK270" s="22" t="n">
        <v>0</v>
      </c>
      <c r="BL270" s="22" t="n">
        <v>0</v>
      </c>
      <c r="BM270" s="22" t="n">
        <v>0</v>
      </c>
      <c r="BN270" s="22" t="n">
        <v>0</v>
      </c>
      <c r="BO270" s="22" t="n">
        <v>0</v>
      </c>
      <c r="BP270" s="22" t="n">
        <v>0</v>
      </c>
      <c r="BQ270" s="22" t="n">
        <v>0</v>
      </c>
      <c r="BR270" s="22" t="n">
        <v>0</v>
      </c>
      <c r="BS270" s="22" t="n">
        <v>0</v>
      </c>
      <c r="BT270" s="22" t="n">
        <v>0</v>
      </c>
      <c r="BU270" s="22" t="n">
        <v>0</v>
      </c>
      <c r="BV270" s="22" t="n">
        <v>0</v>
      </c>
      <c r="BW270" s="22" t="n">
        <v>0</v>
      </c>
      <c r="BX270" s="22" t="n">
        <v>0</v>
      </c>
      <c r="BY270" s="22" t="n">
        <v>0</v>
      </c>
      <c r="BZ270" s="22" t="n">
        <v>0</v>
      </c>
      <c r="CA270" s="22" t="n">
        <v>0</v>
      </c>
      <c r="CB270" s="22" t="n">
        <v>0</v>
      </c>
      <c r="CC270" s="22" t="n">
        <v>0</v>
      </c>
      <c r="CD270" s="22" t="n">
        <v>0</v>
      </c>
      <c r="CE270" s="22" t="n">
        <v>0</v>
      </c>
      <c r="CF270" s="22" t="n">
        <v>0</v>
      </c>
      <c r="CG270" s="22" t="n">
        <v>0</v>
      </c>
      <c r="CH270" s="22" t="n">
        <v>0</v>
      </c>
      <c r="CI270" s="22" t="n">
        <v>0</v>
      </c>
      <c r="CJ270" s="22" t="n">
        <v>0</v>
      </c>
      <c r="CK270" s="22" t="n">
        <v>0</v>
      </c>
      <c r="CL270" s="22" t="n">
        <v>0</v>
      </c>
      <c r="CM270" s="22" t="n">
        <v>0</v>
      </c>
      <c r="CN270" s="22" t="n">
        <v>0</v>
      </c>
      <c r="CO270" s="22" t="n">
        <v>0</v>
      </c>
      <c r="CP270" s="22" t="n">
        <v>0</v>
      </c>
      <c r="CQ270" s="22" t="n">
        <v>0</v>
      </c>
      <c r="CR270" s="22" t="n">
        <v>0</v>
      </c>
      <c r="CS270" s="22" t="n">
        <v>0</v>
      </c>
      <c r="CT270" s="22" t="n">
        <v>0</v>
      </c>
      <c r="CU270" s="22" t="n">
        <v>0</v>
      </c>
      <c r="CV270" s="22" t="n">
        <v>0</v>
      </c>
      <c r="CW270" s="22" t="n">
        <v>0</v>
      </c>
      <c r="CX270" s="22" t="n">
        <v>0</v>
      </c>
      <c r="CY270" s="22" t="n">
        <v>0</v>
      </c>
      <c r="CZ270" s="22" t="n">
        <v>0</v>
      </c>
      <c r="DA270" s="22" t="n">
        <v>0</v>
      </c>
      <c r="DB270" s="22" t="n">
        <v>0</v>
      </c>
    </row>
    <row r="271">
      <c r="D271" s="3" t="inlineStr">
        <is>
          <t>Locked financing from the banking run (Scenario 2); Checks confirms live = locked</t>
        </is>
      </c>
    </row>
    <row r="272">
      <c r="D272" t="inlineStr">
        <is>
          <t>Senior debt (bank plus bonds)</t>
        </is>
      </c>
      <c r="E272" t="inlineStr">
        <is>
          <t>ARD m</t>
        </is>
      </c>
      <c r="F272" s="23" t="n">
        <v>882.130169013</v>
      </c>
    </row>
    <row r="273">
      <c r="D273" t="inlineStr">
        <is>
          <t>NILO loan</t>
        </is>
      </c>
      <c r="E273" t="inlineStr">
        <is>
          <t>ARD m</t>
        </is>
      </c>
      <c r="F273" s="23" t="n">
        <v>464.1343161162318</v>
      </c>
    </row>
    <row r="274">
      <c r="D274" t="inlineStr">
        <is>
          <t>Equity</t>
        </is>
      </c>
      <c r="E274" t="inlineStr">
        <is>
          <t>ARD m</t>
        </is>
      </c>
      <c r="F274" s="23" t="n">
        <v>379.7156240108091</v>
      </c>
    </row>
    <row r="275">
      <c r="D275" t="inlineStr">
        <is>
          <t>Scheduled senior principal</t>
        </is>
      </c>
      <c r="E275" t="inlineStr">
        <is>
          <t>ARD m</t>
        </is>
      </c>
      <c r="G275" s="24">
        <f>SUM(J275:DB275)</f>
        <v/>
      </c>
      <c r="J275" s="25" t="n">
        <v>0</v>
      </c>
      <c r="K275" s="25" t="n">
        <v>0</v>
      </c>
      <c r="L275" s="25" t="n">
        <v>0</v>
      </c>
      <c r="M275" s="25" t="n">
        <v>0</v>
      </c>
      <c r="N275" s="25" t="n">
        <v>0</v>
      </c>
      <c r="O275" s="25" t="n">
        <v>0</v>
      </c>
      <c r="P275" s="25" t="n">
        <v>0</v>
      </c>
      <c r="Q275" s="25" t="n">
        <v>0</v>
      </c>
      <c r="R275" s="25" t="n">
        <v>0</v>
      </c>
      <c r="S275" s="25" t="n">
        <v>0</v>
      </c>
      <c r="T275" s="25" t="n">
        <v>0</v>
      </c>
      <c r="U275" s="25" t="n">
        <v>0</v>
      </c>
      <c r="V275" s="25" t="n">
        <v>0</v>
      </c>
      <c r="W275" s="25" t="n">
        <v>0</v>
      </c>
      <c r="X275" s="25" t="n">
        <v>0</v>
      </c>
      <c r="Y275" s="25" t="n">
        <v>0</v>
      </c>
      <c r="Z275" s="25" t="n">
        <v>0</v>
      </c>
      <c r="AA275" s="25" t="n">
        <v>0</v>
      </c>
      <c r="AB275" s="25" t="n">
        <v>0</v>
      </c>
      <c r="AC275" s="25" t="n">
        <v>0</v>
      </c>
      <c r="AD275" s="25" t="n">
        <v>0</v>
      </c>
      <c r="AE275" s="25" t="n">
        <v>0</v>
      </c>
      <c r="AF275" s="25" t="n">
        <v>0</v>
      </c>
      <c r="AG275" s="25" t="n">
        <v>0</v>
      </c>
      <c r="AH275" s="25" t="n">
        <v>0</v>
      </c>
      <c r="AI275" s="25" t="n">
        <v>0</v>
      </c>
      <c r="AJ275" s="25" t="n">
        <v>0</v>
      </c>
      <c r="AK275" s="25" t="n">
        <v>0</v>
      </c>
      <c r="AL275" s="25" t="n">
        <v>0</v>
      </c>
      <c r="AM275" s="25" t="n">
        <v>0</v>
      </c>
      <c r="AN275" s="25" t="n">
        <v>0</v>
      </c>
      <c r="AO275" s="25" t="n">
        <v>0</v>
      </c>
      <c r="AP275" s="25" t="n">
        <v>0</v>
      </c>
      <c r="AQ275" s="25" t="n">
        <v>0</v>
      </c>
      <c r="AR275" s="25" t="n">
        <v>0</v>
      </c>
      <c r="AS275" s="25" t="n">
        <v>0</v>
      </c>
      <c r="AT275" s="25" t="n">
        <v>0</v>
      </c>
      <c r="AU275" s="25" t="n">
        <v>0</v>
      </c>
      <c r="AV275" s="25" t="n">
        <v>0.008541436697647953</v>
      </c>
      <c r="AW275" s="25" t="n">
        <v>1.818865460665904</v>
      </c>
      <c r="AX275" s="25" t="n">
        <v>2.153802785695824</v>
      </c>
      <c r="AY275" s="25" t="n">
        <v>1.8477732657243</v>
      </c>
      <c r="AZ275" s="25" t="n">
        <v>2.290334047536096</v>
      </c>
      <c r="BA275" s="25" t="n">
        <v>3.411688407602263</v>
      </c>
      <c r="BB275" s="25" t="n">
        <v>3.796856150909903</v>
      </c>
      <c r="BC275" s="25" t="n">
        <v>8.24500633497842</v>
      </c>
      <c r="BD275" s="25" t="n">
        <v>8.760918634852271</v>
      </c>
      <c r="BE275" s="25" t="n">
        <v>11.77182021382851</v>
      </c>
      <c r="BF275" s="25" t="n">
        <v>12.38252368938956</v>
      </c>
      <c r="BG275" s="25" t="n">
        <v>14.04611965721159</v>
      </c>
      <c r="BH275" s="25" t="n">
        <v>14.85907992864396</v>
      </c>
      <c r="BI275" s="25" t="n">
        <v>16.56760335978757</v>
      </c>
      <c r="BJ275" s="25" t="n">
        <v>17.30583782021035</v>
      </c>
      <c r="BK275" s="25" t="n">
        <v>19.30782900844986</v>
      </c>
      <c r="BL275" s="25" t="n">
        <v>20.11759101925758</v>
      </c>
      <c r="BM275" s="25" t="n">
        <v>22.27055337680367</v>
      </c>
      <c r="BN275" s="25" t="n">
        <v>23.15560183101515</v>
      </c>
      <c r="BO275" s="25" t="n">
        <v>18.49907031846649</v>
      </c>
      <c r="BP275" s="25" t="n">
        <v>19.47728610067129</v>
      </c>
      <c r="BQ275" s="25" t="n">
        <v>21.61411901793193</v>
      </c>
      <c r="BR275" s="25" t="n">
        <v>21.99911155704273</v>
      </c>
      <c r="BS275" s="25" t="n">
        <v>24.44091975044421</v>
      </c>
      <c r="BT275" s="25" t="n">
        <v>24.87986334541261</v>
      </c>
      <c r="BU275" s="25" t="n">
        <v>34.46552006935775</v>
      </c>
      <c r="BV275" s="25" t="n">
        <v>35.14512087285227</v>
      </c>
      <c r="BW275" s="25" t="n">
        <v>38.10317985454289</v>
      </c>
      <c r="BX275" s="25" t="n">
        <v>39.09862103141393</v>
      </c>
      <c r="BY275" s="25" t="n">
        <v>42.00569480523482</v>
      </c>
      <c r="BZ275" s="25" t="n">
        <v>42.82766913565764</v>
      </c>
      <c r="CA275" s="25" t="n">
        <v>41.66560987449017</v>
      </c>
      <c r="CB275" s="25" t="n">
        <v>42.44808593854329</v>
      </c>
      <c r="CC275" s="25" t="n">
        <v>45.88393854765065</v>
      </c>
      <c r="CD275" s="25" t="n">
        <v>46.74587782908081</v>
      </c>
      <c r="CE275" s="25" t="n">
        <v>48.21240096650588</v>
      </c>
      <c r="CF275" s="25" t="n">
        <v>43.19471194072194</v>
      </c>
      <c r="CG275" s="25" t="n">
        <v>47.30502162771631</v>
      </c>
      <c r="CH275" s="25" t="n">
        <v>0</v>
      </c>
      <c r="CI275" s="25" t="n">
        <v>0</v>
      </c>
      <c r="CJ275" s="25" t="n">
        <v>0</v>
      </c>
      <c r="CK275" s="25" t="n">
        <v>0</v>
      </c>
      <c r="CL275" s="25" t="n">
        <v>0</v>
      </c>
      <c r="CM275" s="25" t="n">
        <v>0</v>
      </c>
      <c r="CN275" s="25" t="n">
        <v>0</v>
      </c>
      <c r="CO275" s="25" t="n">
        <v>0</v>
      </c>
      <c r="CP275" s="25" t="n">
        <v>0</v>
      </c>
      <c r="CQ275" s="25" t="n">
        <v>0</v>
      </c>
      <c r="CR275" s="25" t="n">
        <v>0</v>
      </c>
      <c r="CS275" s="25" t="n">
        <v>0</v>
      </c>
      <c r="CT275" s="25" t="n">
        <v>0</v>
      </c>
      <c r="CU275" s="25" t="n">
        <v>0</v>
      </c>
      <c r="CV275" s="25" t="n">
        <v>0</v>
      </c>
      <c r="CW275" s="25" t="n">
        <v>0</v>
      </c>
      <c r="CX275" s="25" t="n">
        <v>0</v>
      </c>
      <c r="CY275" s="25" t="n">
        <v>0</v>
      </c>
      <c r="CZ275" s="25" t="n">
        <v>0</v>
      </c>
      <c r="DA275" s="25" t="n">
        <v>0</v>
      </c>
      <c r="DB275" s="25" t="n">
        <v>0</v>
      </c>
    </row>
    <row r="276">
      <c r="D276" t="inlineStr">
        <is>
          <t>Ramp-up interest account releases</t>
        </is>
      </c>
      <c r="E276" t="inlineStr">
        <is>
          <t>ARD m</t>
        </is>
      </c>
      <c r="G276" s="24">
        <f>SUM(J276:DB276)</f>
        <v/>
      </c>
      <c r="J276" s="25" t="n">
        <v>0</v>
      </c>
      <c r="K276" s="25" t="n">
        <v>0</v>
      </c>
      <c r="L276" s="25" t="n">
        <v>0</v>
      </c>
      <c r="M276" s="25" t="n">
        <v>0</v>
      </c>
      <c r="N276" s="25" t="n">
        <v>0</v>
      </c>
      <c r="O276" s="25" t="n">
        <v>0</v>
      </c>
      <c r="P276" s="25" t="n">
        <v>0</v>
      </c>
      <c r="Q276" s="25" t="n">
        <v>0</v>
      </c>
      <c r="R276" s="25" t="n">
        <v>0</v>
      </c>
      <c r="S276" s="25" t="n">
        <v>0</v>
      </c>
      <c r="T276" s="25" t="n">
        <v>0</v>
      </c>
      <c r="U276" s="25" t="n">
        <v>0</v>
      </c>
      <c r="V276" s="25" t="n">
        <v>0</v>
      </c>
      <c r="W276" s="25" t="n">
        <v>0</v>
      </c>
      <c r="X276" s="25" t="n">
        <v>0</v>
      </c>
      <c r="Y276" s="25" t="n">
        <v>0</v>
      </c>
      <c r="Z276" s="25" t="n">
        <v>4.708704582877287</v>
      </c>
      <c r="AA276" s="25" t="n">
        <v>8.065220777567914</v>
      </c>
      <c r="AB276" s="25" t="n">
        <v>4.094457213889875</v>
      </c>
      <c r="AC276" s="25" t="n">
        <v>3.357543871525515</v>
      </c>
      <c r="AD276" s="25" t="n">
        <v>0</v>
      </c>
      <c r="AE276" s="25" t="n">
        <v>0</v>
      </c>
      <c r="AF276" s="25" t="n">
        <v>0</v>
      </c>
      <c r="AG276" s="25" t="n">
        <v>0</v>
      </c>
      <c r="AH276" s="25" t="n">
        <v>0</v>
      </c>
      <c r="AI276" s="25" t="n">
        <v>0</v>
      </c>
      <c r="AJ276" s="25" t="n">
        <v>0</v>
      </c>
      <c r="AK276" s="25" t="n">
        <v>0</v>
      </c>
      <c r="AL276" s="25" t="n">
        <v>0</v>
      </c>
      <c r="AM276" s="25" t="n">
        <v>0</v>
      </c>
      <c r="AN276" s="25" t="n">
        <v>0</v>
      </c>
      <c r="AO276" s="25" t="n">
        <v>0</v>
      </c>
      <c r="AP276" s="25" t="n">
        <v>0</v>
      </c>
      <c r="AQ276" s="25" t="n">
        <v>0</v>
      </c>
      <c r="AR276" s="25" t="n">
        <v>0</v>
      </c>
      <c r="AS276" s="25" t="n">
        <v>0</v>
      </c>
      <c r="AT276" s="25" t="n">
        <v>0</v>
      </c>
      <c r="AU276" s="25" t="n">
        <v>0</v>
      </c>
      <c r="AV276" s="25" t="n">
        <v>0</v>
      </c>
      <c r="AW276" s="25" t="n">
        <v>0</v>
      </c>
      <c r="AX276" s="25" t="n">
        <v>0</v>
      </c>
      <c r="AY276" s="25" t="n">
        <v>0</v>
      </c>
      <c r="AZ276" s="25" t="n">
        <v>0</v>
      </c>
      <c r="BA276" s="25" t="n">
        <v>0</v>
      </c>
      <c r="BB276" s="25" t="n">
        <v>0</v>
      </c>
      <c r="BC276" s="25" t="n">
        <v>0</v>
      </c>
      <c r="BD276" s="25" t="n">
        <v>0</v>
      </c>
      <c r="BE276" s="25" t="n">
        <v>0</v>
      </c>
      <c r="BF276" s="25" t="n">
        <v>0</v>
      </c>
      <c r="BG276" s="25" t="n">
        <v>0</v>
      </c>
      <c r="BH276" s="25" t="n">
        <v>0</v>
      </c>
      <c r="BI276" s="25" t="n">
        <v>0</v>
      </c>
      <c r="BJ276" s="25" t="n">
        <v>0</v>
      </c>
      <c r="BK276" s="25" t="n">
        <v>0</v>
      </c>
      <c r="BL276" s="25" t="n">
        <v>0</v>
      </c>
      <c r="BM276" s="25" t="n">
        <v>0</v>
      </c>
      <c r="BN276" s="25" t="n">
        <v>0</v>
      </c>
      <c r="BO276" s="25" t="n">
        <v>0</v>
      </c>
      <c r="BP276" s="25" t="n">
        <v>0</v>
      </c>
      <c r="BQ276" s="25" t="n">
        <v>0</v>
      </c>
      <c r="BR276" s="25" t="n">
        <v>0</v>
      </c>
      <c r="BS276" s="25" t="n">
        <v>0</v>
      </c>
      <c r="BT276" s="25" t="n">
        <v>0</v>
      </c>
      <c r="BU276" s="25" t="n">
        <v>0</v>
      </c>
      <c r="BV276" s="25" t="n">
        <v>0</v>
      </c>
      <c r="BW276" s="25" t="n">
        <v>0</v>
      </c>
      <c r="BX276" s="25" t="n">
        <v>0</v>
      </c>
      <c r="BY276" s="25" t="n">
        <v>0</v>
      </c>
      <c r="BZ276" s="25" t="n">
        <v>0</v>
      </c>
      <c r="CA276" s="25" t="n">
        <v>0</v>
      </c>
      <c r="CB276" s="25" t="n">
        <v>0</v>
      </c>
      <c r="CC276" s="25" t="n">
        <v>0</v>
      </c>
      <c r="CD276" s="25" t="n">
        <v>0</v>
      </c>
      <c r="CE276" s="25" t="n">
        <v>0</v>
      </c>
      <c r="CF276" s="25" t="n">
        <v>0</v>
      </c>
      <c r="CG276" s="25" t="n">
        <v>0</v>
      </c>
      <c r="CH276" s="25" t="n">
        <v>0</v>
      </c>
      <c r="CI276" s="25" t="n">
        <v>0</v>
      </c>
      <c r="CJ276" s="25" t="n">
        <v>0</v>
      </c>
      <c r="CK276" s="25" t="n">
        <v>0</v>
      </c>
      <c r="CL276" s="25" t="n">
        <v>0</v>
      </c>
      <c r="CM276" s="25" t="n">
        <v>0</v>
      </c>
      <c r="CN276" s="25" t="n">
        <v>0</v>
      </c>
      <c r="CO276" s="25" t="n">
        <v>0</v>
      </c>
      <c r="CP276" s="25" t="n">
        <v>0</v>
      </c>
      <c r="CQ276" s="25" t="n">
        <v>0</v>
      </c>
      <c r="CR276" s="25" t="n">
        <v>0</v>
      </c>
      <c r="CS276" s="25" t="n">
        <v>0</v>
      </c>
      <c r="CT276" s="25" t="n">
        <v>0</v>
      </c>
      <c r="CU276" s="25" t="n">
        <v>0</v>
      </c>
      <c r="CV276" s="25" t="n">
        <v>0</v>
      </c>
      <c r="CW276" s="25" t="n">
        <v>0</v>
      </c>
      <c r="CX276" s="25" t="n">
        <v>0</v>
      </c>
      <c r="CY276" s="25" t="n">
        <v>0</v>
      </c>
      <c r="CZ276" s="25" t="n">
        <v>0</v>
      </c>
      <c r="DA276" s="25" t="n">
        <v>0</v>
      </c>
      <c r="DB276" s="25" t="n">
        <v>0</v>
      </c>
    </row>
    <row r="277">
      <c r="D277" t="inlineStr">
        <is>
          <t>Scheduled NILO principal (original)</t>
        </is>
      </c>
      <c r="E277" t="inlineStr">
        <is>
          <t>ARD m</t>
        </is>
      </c>
      <c r="G277" s="24">
        <f>SUM(J277:DB277)</f>
        <v/>
      </c>
      <c r="J277" s="25" t="n">
        <v>0</v>
      </c>
      <c r="K277" s="25" t="n">
        <v>0</v>
      </c>
      <c r="L277" s="25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25" t="n">
        <v>0</v>
      </c>
      <c r="R277" s="25" t="n">
        <v>0</v>
      </c>
      <c r="S277" s="25" t="n">
        <v>0</v>
      </c>
      <c r="T277" s="25" t="n">
        <v>0</v>
      </c>
      <c r="U277" s="25" t="n">
        <v>0</v>
      </c>
      <c r="V277" s="25" t="n">
        <v>0</v>
      </c>
      <c r="W277" s="25" t="n">
        <v>0</v>
      </c>
      <c r="X277" s="25" t="n">
        <v>0</v>
      </c>
      <c r="Y277" s="25" t="n">
        <v>0</v>
      </c>
      <c r="Z277" s="25" t="n">
        <v>0</v>
      </c>
      <c r="AA277" s="25" t="n">
        <v>0</v>
      </c>
      <c r="AB277" s="25" t="n">
        <v>0</v>
      </c>
      <c r="AC277" s="25" t="n">
        <v>0</v>
      </c>
      <c r="AD277" s="25" t="n">
        <v>0</v>
      </c>
      <c r="AE277" s="25" t="n">
        <v>0</v>
      </c>
      <c r="AF277" s="25" t="n">
        <v>0</v>
      </c>
      <c r="AG277" s="25" t="n">
        <v>0</v>
      </c>
      <c r="AH277" s="25" t="n">
        <v>0</v>
      </c>
      <c r="AI277" s="25" t="n">
        <v>0</v>
      </c>
      <c r="AJ277" s="25" t="n">
        <v>1.162950039855886</v>
      </c>
      <c r="AK277" s="25" t="n">
        <v>0</v>
      </c>
      <c r="AL277" s="25" t="n">
        <v>0</v>
      </c>
      <c r="AM277" s="25" t="n">
        <v>0</v>
      </c>
      <c r="AN277" s="25" t="n">
        <v>0</v>
      </c>
      <c r="AO277" s="25" t="n">
        <v>0</v>
      </c>
      <c r="AP277" s="25" t="n">
        <v>0.2077215600348445</v>
      </c>
      <c r="AQ277" s="25" t="n">
        <v>0</v>
      </c>
      <c r="AR277" s="25" t="n">
        <v>0</v>
      </c>
      <c r="AS277" s="25" t="n">
        <v>0</v>
      </c>
      <c r="AT277" s="25" t="n">
        <v>0</v>
      </c>
      <c r="AU277" s="25" t="n">
        <v>0.3801779943392365</v>
      </c>
      <c r="AV277" s="25" t="n">
        <v>0.8129836221388569</v>
      </c>
      <c r="AW277" s="25" t="n">
        <v>1.498052919439134</v>
      </c>
      <c r="AX277" s="25" t="n">
        <v>1.704040461160879</v>
      </c>
      <c r="AY277" s="25" t="n">
        <v>1.516548187998826</v>
      </c>
      <c r="AZ277" s="25" t="n">
        <v>1.744207997560224</v>
      </c>
      <c r="BA277" s="25" t="n">
        <v>2.160599355140768</v>
      </c>
      <c r="BB277" s="25" t="n">
        <v>2.379234134083868</v>
      </c>
      <c r="BC277" s="25" t="n">
        <v>4.125608905676335</v>
      </c>
      <c r="BD277" s="25" t="n">
        <v>4.375370652944371</v>
      </c>
      <c r="BE277" s="25" t="n">
        <v>5.513246023515819</v>
      </c>
      <c r="BF277" s="25" t="n">
        <v>5.78448100914656</v>
      </c>
      <c r="BG277" s="25" t="n">
        <v>6.371338752343032</v>
      </c>
      <c r="BH277" s="25" t="n">
        <v>6.691808706495483</v>
      </c>
      <c r="BI277" s="25" t="n">
        <v>7.290656786703043</v>
      </c>
      <c r="BJ277" s="25" t="n">
        <v>7.587698963599831</v>
      </c>
      <c r="BK277" s="25" t="n">
        <v>8.273754742369107</v>
      </c>
      <c r="BL277" s="25" t="n">
        <v>8.584838901867917</v>
      </c>
      <c r="BM277" s="25" t="n">
        <v>9.318426875583825</v>
      </c>
      <c r="BN277" s="25" t="n">
        <v>9.643629027152347</v>
      </c>
      <c r="BO277" s="25" t="n">
        <v>7.582744619530628</v>
      </c>
      <c r="BP277" s="25" t="n">
        <v>7.93930584936783</v>
      </c>
      <c r="BQ277" s="25" t="n">
        <v>8.684563144777353</v>
      </c>
      <c r="BR277" s="25" t="n">
        <v>8.801652283875262</v>
      </c>
      <c r="BS277" s="25" t="n">
        <v>9.638360673512526</v>
      </c>
      <c r="BT277" s="25" t="n">
        <v>9.761139162113396</v>
      </c>
      <c r="BU277" s="25" t="n">
        <v>13.49761110815725</v>
      </c>
      <c r="BV277" s="25" t="n">
        <v>13.66950753812706</v>
      </c>
      <c r="BW277" s="25" t="n">
        <v>14.65176091688058</v>
      </c>
      <c r="BX277" s="25" t="n">
        <v>14.91154570522758</v>
      </c>
      <c r="BY277" s="25" t="n">
        <v>15.86923268901713</v>
      </c>
      <c r="BZ277" s="25" t="n">
        <v>16.05316858536234</v>
      </c>
      <c r="CA277" s="25" t="n">
        <v>15.30954870240169</v>
      </c>
      <c r="CB277" s="25" t="n">
        <v>15.47183862915189</v>
      </c>
      <c r="CC277" s="25" t="n">
        <v>16.6002782175154</v>
      </c>
      <c r="CD277" s="25" t="n">
        <v>16.76909223345035</v>
      </c>
      <c r="CE277" s="25" t="n">
        <v>17.06799870440556</v>
      </c>
      <c r="CF277" s="25" t="n">
        <v>14.80100559169048</v>
      </c>
      <c r="CG277" s="25" t="n">
        <v>16.2052073255819</v>
      </c>
      <c r="CH277" s="25" t="n">
        <v>22.63875287734236</v>
      </c>
      <c r="CI277" s="25" t="n">
        <v>24.13192037209712</v>
      </c>
      <c r="CJ277" s="25" t="n">
        <v>24.24858933018819</v>
      </c>
      <c r="CK277" s="25" t="n">
        <v>29.81089643658422</v>
      </c>
      <c r="CL277" s="25" t="n">
        <v>27.41981731887804</v>
      </c>
      <c r="CM277" s="25" t="n">
        <v>29.0933152817809</v>
      </c>
      <c r="CN277" s="25" t="n">
        <v>29.41589437374166</v>
      </c>
      <c r="CO277" s="25" t="n">
        <v>30.99714235743384</v>
      </c>
      <c r="CP277" s="25" t="n">
        <v>0</v>
      </c>
      <c r="CQ277" s="25" t="n">
        <v>0</v>
      </c>
      <c r="CR277" s="25" t="n">
        <v>0</v>
      </c>
      <c r="CS277" s="25" t="n">
        <v>0</v>
      </c>
      <c r="CT277" s="25" t="n">
        <v>0</v>
      </c>
      <c r="CU277" s="25" t="n">
        <v>0</v>
      </c>
      <c r="CV277" s="25" t="n">
        <v>0</v>
      </c>
      <c r="CW277" s="25" t="n">
        <v>0</v>
      </c>
      <c r="CX277" s="25" t="n">
        <v>0</v>
      </c>
      <c r="CY277" s="25" t="n">
        <v>0</v>
      </c>
      <c r="CZ277" s="25" t="n">
        <v>0</v>
      </c>
      <c r="DA277" s="25" t="n">
        <v>0</v>
      </c>
      <c r="DB277" s="25" t="n">
        <v>0</v>
      </c>
    </row>
    <row r="278">
      <c r="D278" t="inlineStr">
        <is>
          <t>Downside CFADS (from the downside run)</t>
        </is>
      </c>
      <c r="E278" t="inlineStr">
        <is>
          <t>ARD m</t>
        </is>
      </c>
      <c r="G278" s="24">
        <f>SUM(J278:DB278)</f>
        <v/>
      </c>
      <c r="J278" s="25" t="n">
        <v>0</v>
      </c>
      <c r="K278" s="25" t="n">
        <v>0</v>
      </c>
      <c r="L278" s="25" t="n">
        <v>0</v>
      </c>
      <c r="M278" s="25" t="n">
        <v>0</v>
      </c>
      <c r="N278" s="25" t="n">
        <v>0</v>
      </c>
      <c r="O278" s="25" t="n">
        <v>0</v>
      </c>
      <c r="P278" s="25" t="n">
        <v>0</v>
      </c>
      <c r="Q278" s="25" t="n">
        <v>0</v>
      </c>
      <c r="R278" s="25" t="n">
        <v>0</v>
      </c>
      <c r="S278" s="25" t="n">
        <v>0</v>
      </c>
      <c r="T278" s="25" t="n">
        <v>0</v>
      </c>
      <c r="U278" s="25" t="n">
        <v>0</v>
      </c>
      <c r="V278" s="25" t="n">
        <v>0</v>
      </c>
      <c r="W278" s="25" t="n">
        <v>0</v>
      </c>
      <c r="X278" s="25" t="n">
        <v>0</v>
      </c>
      <c r="Y278" s="25" t="n">
        <v>0</v>
      </c>
      <c r="Z278" s="25" t="n">
        <v>7.613875302125437</v>
      </c>
      <c r="AA278" s="25" t="n">
        <v>16.25937284993464</v>
      </c>
      <c r="AB278" s="25" t="n">
        <v>21.62422010842186</v>
      </c>
      <c r="AC278" s="25" t="n">
        <v>23.19688281263262</v>
      </c>
      <c r="AD278" s="25" t="n">
        <v>27.5049983209575</v>
      </c>
      <c r="AE278" s="25" t="n">
        <v>29.41637585920992</v>
      </c>
      <c r="AF278" s="25" t="n">
        <v>32.6694929376555</v>
      </c>
      <c r="AG278" s="25" t="n">
        <v>34.72855554113205</v>
      </c>
      <c r="AH278" s="25" t="n">
        <v>37.25232346595262</v>
      </c>
      <c r="AI278" s="25" t="n">
        <v>36.26495613904289</v>
      </c>
      <c r="AJ278" s="25" t="n">
        <v>36.73579511731621</v>
      </c>
      <c r="AK278" s="25" t="n">
        <v>38.69145644036217</v>
      </c>
      <c r="AL278" s="25" t="n">
        <v>38.95779865207405</v>
      </c>
      <c r="AM278" s="25" t="n">
        <v>41.25996481137654</v>
      </c>
      <c r="AN278" s="25" t="n">
        <v>41.54223549706168</v>
      </c>
      <c r="AO278" s="25" t="n">
        <v>47.165490778131</v>
      </c>
      <c r="AP278" s="25" t="n">
        <v>47.46240934781336</v>
      </c>
      <c r="AQ278" s="25" t="n">
        <v>39.72512857625638</v>
      </c>
      <c r="AR278" s="25" t="n">
        <v>40.31768118011811</v>
      </c>
      <c r="AS278" s="25" t="n">
        <v>42.72794339764275</v>
      </c>
      <c r="AT278" s="25" t="n">
        <v>43.06044524364192</v>
      </c>
      <c r="AU278" s="25" t="n">
        <v>45.89796989322593</v>
      </c>
      <c r="AV278" s="25" t="n">
        <v>46.24955743323937</v>
      </c>
      <c r="AW278" s="25" t="n">
        <v>50.8944466963001</v>
      </c>
      <c r="AX278" s="25" t="n">
        <v>50.83371864700458</v>
      </c>
      <c r="AY278" s="25" t="n">
        <v>49.67021739935898</v>
      </c>
      <c r="AZ278" s="25" t="n">
        <v>49.95079752915989</v>
      </c>
      <c r="BA278" s="25" t="n">
        <v>52.46604615869477</v>
      </c>
      <c r="BB278" s="25" t="n">
        <v>52.40232229016648</v>
      </c>
      <c r="BC278" s="25" t="n">
        <v>63.68791296585721</v>
      </c>
      <c r="BD278" s="25" t="n">
        <v>63.62362034046491</v>
      </c>
      <c r="BE278" s="25" t="n">
        <v>70.67493551657105</v>
      </c>
      <c r="BF278" s="25" t="n">
        <v>70.60995761015346</v>
      </c>
      <c r="BG278" s="25" t="n">
        <v>73.86011173482305</v>
      </c>
      <c r="BH278" s="25" t="n">
        <v>74.19995126299924</v>
      </c>
      <c r="BI278" s="25" t="n">
        <v>77.19225107751704</v>
      </c>
      <c r="BJ278" s="25" t="n">
        <v>77.1232949837578</v>
      </c>
      <c r="BK278" s="25" t="n">
        <v>80.67862577560889</v>
      </c>
      <c r="BL278" s="25" t="n">
        <v>80.60862291563738</v>
      </c>
      <c r="BM278" s="25" t="n">
        <v>84.29232369324822</v>
      </c>
      <c r="BN278" s="25" t="n">
        <v>84.21876944830842</v>
      </c>
      <c r="BO278" s="25" t="n">
        <v>69.46568848551115</v>
      </c>
      <c r="BP278" s="25" t="n">
        <v>69.87722220806255</v>
      </c>
      <c r="BQ278" s="25" t="n">
        <v>73.40948140098936</v>
      </c>
      <c r="BR278" s="25" t="n">
        <v>72.52247333620841</v>
      </c>
      <c r="BS278" s="25" t="n">
        <v>76.6195195102172</v>
      </c>
      <c r="BT278" s="25" t="n">
        <v>75.7039464507355</v>
      </c>
      <c r="BU278" s="25" t="n">
        <v>98.54341161419188</v>
      </c>
      <c r="BV278" s="25" t="n">
        <v>97.59819985813809</v>
      </c>
      <c r="BW278" s="25" t="n">
        <v>101.9802127689589</v>
      </c>
      <c r="BX278" s="25" t="n">
        <v>101.5622279217219</v>
      </c>
      <c r="BY278" s="25" t="n">
        <v>105.5334751715598</v>
      </c>
      <c r="BZ278" s="25" t="n">
        <v>104.5256800856564</v>
      </c>
      <c r="CA278" s="25" t="n">
        <v>97.19573063014511</v>
      </c>
      <c r="CB278" s="25" t="n">
        <v>96.15494767785557</v>
      </c>
      <c r="CC278" s="25" t="n">
        <v>100.9882093023627</v>
      </c>
      <c r="CD278" s="25" t="n">
        <v>99.91327830645335</v>
      </c>
      <c r="CE278" s="25" t="n">
        <v>99.08914476546323</v>
      </c>
      <c r="CF278" s="25" t="n">
        <v>98.61860916464288</v>
      </c>
      <c r="CG278" s="25" t="n">
        <v>105.5515237072673</v>
      </c>
      <c r="CH278" s="25" t="n">
        <v>104.166484734213</v>
      </c>
      <c r="CI278" s="25" t="n">
        <v>109.5169150493298</v>
      </c>
      <c r="CJ278" s="25" t="n">
        <v>108.0877718483465</v>
      </c>
      <c r="CK278" s="25" t="n">
        <v>119.4206650727683</v>
      </c>
      <c r="CL278" s="25" t="n">
        <v>117.9460098562805</v>
      </c>
      <c r="CM278" s="25" t="n">
        <v>123.6722915421275</v>
      </c>
      <c r="CN278" s="25" t="n">
        <v>122.8865736933126</v>
      </c>
      <c r="CO278" s="25" t="n">
        <v>128.0555053534452</v>
      </c>
      <c r="CP278" s="25" t="n">
        <v>107.3517668775581</v>
      </c>
      <c r="CQ278" s="25" t="n">
        <v>0</v>
      </c>
      <c r="CR278" s="25" t="n">
        <v>0</v>
      </c>
      <c r="CS278" s="25" t="n">
        <v>0</v>
      </c>
      <c r="CT278" s="25" t="n">
        <v>0</v>
      </c>
      <c r="CU278" s="25" t="n">
        <v>0</v>
      </c>
      <c r="CV278" s="25" t="n">
        <v>0</v>
      </c>
      <c r="CW278" s="25" t="n">
        <v>0</v>
      </c>
      <c r="CX278" s="25" t="n">
        <v>0</v>
      </c>
      <c r="CY278" s="25" t="n">
        <v>0</v>
      </c>
      <c r="CZ278" s="25" t="n">
        <v>0</v>
      </c>
      <c r="DA278" s="25" t="n">
        <v>0</v>
      </c>
      <c r="DB278" s="25" t="n">
        <v>0</v>
      </c>
    </row>
    <row r="279">
      <c r="D279" s="3" t="inlineStr">
        <is>
          <t>Locked restructured profiles from Scenario 5</t>
        </is>
      </c>
    </row>
    <row r="280">
      <c r="D280" t="inlineStr">
        <is>
          <t>Scheduled restructured notes principal</t>
        </is>
      </c>
      <c r="E280" t="inlineStr">
        <is>
          <t>ARD m</t>
        </is>
      </c>
      <c r="G280" s="24">
        <f>SUM(J280:DB280)</f>
        <v/>
      </c>
      <c r="J280" s="25" t="n">
        <v>0</v>
      </c>
      <c r="K280" s="25" t="n">
        <v>0</v>
      </c>
      <c r="L280" s="25" t="n">
        <v>0</v>
      </c>
      <c r="M280" s="25" t="n">
        <v>0</v>
      </c>
      <c r="N280" s="25" t="n">
        <v>0</v>
      </c>
      <c r="O280" s="25" t="n">
        <v>0</v>
      </c>
      <c r="P280" s="25" t="n">
        <v>0</v>
      </c>
      <c r="Q280" s="25" t="n">
        <v>0</v>
      </c>
      <c r="R280" s="25" t="n">
        <v>0</v>
      </c>
      <c r="S280" s="25" t="n">
        <v>0</v>
      </c>
      <c r="T280" s="25" t="n">
        <v>0</v>
      </c>
      <c r="U280" s="25" t="n">
        <v>0</v>
      </c>
      <c r="V280" s="25" t="n">
        <v>0</v>
      </c>
      <c r="W280" s="25" t="n">
        <v>0</v>
      </c>
      <c r="X280" s="25" t="n">
        <v>0</v>
      </c>
      <c r="Y280" s="25" t="n">
        <v>0</v>
      </c>
      <c r="Z280" s="25" t="n">
        <v>0</v>
      </c>
      <c r="AA280" s="25" t="n">
        <v>0</v>
      </c>
      <c r="AB280" s="25" t="n">
        <v>0</v>
      </c>
      <c r="AC280" s="25" t="n">
        <v>0</v>
      </c>
      <c r="AD280" s="25" t="n">
        <v>0</v>
      </c>
      <c r="AE280" s="25" t="n">
        <v>0</v>
      </c>
      <c r="AF280" s="25" t="n">
        <v>0</v>
      </c>
      <c r="AG280" s="25" t="n">
        <v>0</v>
      </c>
      <c r="AH280" s="25" t="n">
        <v>0</v>
      </c>
      <c r="AI280" s="25" t="n">
        <v>0</v>
      </c>
      <c r="AJ280" s="25" t="n">
        <v>0</v>
      </c>
      <c r="AK280" s="25" t="n">
        <v>0</v>
      </c>
      <c r="AL280" s="25" t="n">
        <v>0</v>
      </c>
      <c r="AM280" s="25" t="n">
        <v>0</v>
      </c>
      <c r="AN280" s="25" t="n">
        <v>0</v>
      </c>
      <c r="AO280" s="25" t="n">
        <v>0</v>
      </c>
      <c r="AP280" s="25" t="n">
        <v>0.09631216640885754</v>
      </c>
      <c r="AQ280" s="25" t="n">
        <v>0</v>
      </c>
      <c r="AR280" s="25" t="n">
        <v>0</v>
      </c>
      <c r="AS280" s="25" t="n">
        <v>0</v>
      </c>
      <c r="AT280" s="25" t="n">
        <v>0</v>
      </c>
      <c r="AU280" s="25" t="n">
        <v>0</v>
      </c>
      <c r="AV280" s="25" t="n">
        <v>0</v>
      </c>
      <c r="AW280" s="25" t="n">
        <v>0.7426557670555471</v>
      </c>
      <c r="AX280" s="25" t="n">
        <v>0.7849594403663129</v>
      </c>
      <c r="AY280" s="25" t="n">
        <v>0.1974215102695958</v>
      </c>
      <c r="AZ280" s="25" t="n">
        <v>0.3419123547195024</v>
      </c>
      <c r="BA280" s="25" t="n">
        <v>0.1095484003523008</v>
      </c>
      <c r="BB280" s="25" t="n">
        <v>0</v>
      </c>
      <c r="BC280" s="25" t="n">
        <v>5.522838419587689</v>
      </c>
      <c r="BD280" s="25" t="n">
        <v>5.691757152832148</v>
      </c>
      <c r="BE280" s="25" t="n">
        <v>8.44899976329207</v>
      </c>
      <c r="BF280" s="25" t="n">
        <v>7.679292418814239</v>
      </c>
      <c r="BG280" s="25" t="n">
        <v>7.040735933732822</v>
      </c>
      <c r="BH280" s="25" t="n">
        <v>7.289295328723384</v>
      </c>
      <c r="BI280" s="25" t="n">
        <v>8.190241735210313</v>
      </c>
      <c r="BJ280" s="25" t="n">
        <v>8.350444403268952</v>
      </c>
      <c r="BK280" s="25" t="n">
        <v>9.427017821014424</v>
      </c>
      <c r="BL280" s="25" t="n">
        <v>9.616322625855505</v>
      </c>
      <c r="BM280" s="25" t="n">
        <v>10.75972487817846</v>
      </c>
      <c r="BN280" s="25" t="n">
        <v>10.98032275816077</v>
      </c>
      <c r="BO280" s="25" t="n">
        <v>4.868436374291971</v>
      </c>
      <c r="BP280" s="25" t="n">
        <v>5.09832416524694</v>
      </c>
      <c r="BQ280" s="25" t="n">
        <v>6.093007346871797</v>
      </c>
      <c r="BR280" s="25" t="n">
        <v>6.002507670132871</v>
      </c>
      <c r="BS280" s="25" t="n">
        <v>7.161043635119691</v>
      </c>
      <c r="BT280" s="25" t="n">
        <v>7.088200569367448</v>
      </c>
      <c r="BU280" s="25" t="n">
        <v>21.66780519725768</v>
      </c>
      <c r="BV280" s="25" t="n">
        <v>21.92622958365016</v>
      </c>
      <c r="BW280" s="25" t="n">
        <v>18.52531385400639</v>
      </c>
      <c r="BX280" s="25" t="n">
        <v>17.75183940574258</v>
      </c>
      <c r="BY280" s="25" t="n">
        <v>19.11725241516897</v>
      </c>
      <c r="BZ280" s="25" t="n">
        <v>19.28695726402916</v>
      </c>
      <c r="CA280" s="25" t="n">
        <v>16.14414268664088</v>
      </c>
      <c r="CB280" s="25" t="n">
        <v>16.24370167723218</v>
      </c>
      <c r="CC280" s="25" t="n">
        <v>17.80981206534551</v>
      </c>
      <c r="CD280" s="25" t="n">
        <v>17.94006821889296</v>
      </c>
      <c r="CE280" s="25" t="n">
        <v>17.29147901793347</v>
      </c>
      <c r="CF280" s="25" t="n">
        <v>17.57593522936755</v>
      </c>
      <c r="CG280" s="25" t="n">
        <v>32.3197784677935</v>
      </c>
      <c r="CH280" s="25" t="n">
        <v>24.2377841990232</v>
      </c>
      <c r="CI280" s="25" t="n">
        <v>26.10279271086353</v>
      </c>
      <c r="CJ280" s="25" t="n">
        <v>26.39390531168416</v>
      </c>
      <c r="CK280" s="25" t="n">
        <v>34.8148799376137</v>
      </c>
      <c r="CL280" s="25" t="n">
        <v>31.26645158964273</v>
      </c>
      <c r="CM280" s="25" t="n">
        <v>26.14070339881773</v>
      </c>
      <c r="CN280" s="25" t="n">
        <v>26.68976968372809</v>
      </c>
      <c r="CO280" s="25" t="n">
        <v>28.62534976780645</v>
      </c>
      <c r="CP280" s="25" t="n">
        <v>0</v>
      </c>
      <c r="CQ280" s="25" t="n">
        <v>0</v>
      </c>
      <c r="CR280" s="25" t="n">
        <v>0</v>
      </c>
      <c r="CS280" s="25" t="n">
        <v>0</v>
      </c>
      <c r="CT280" s="25" t="n">
        <v>0</v>
      </c>
      <c r="CU280" s="25" t="n">
        <v>0</v>
      </c>
      <c r="CV280" s="25" t="n">
        <v>0</v>
      </c>
      <c r="CW280" s="25" t="n">
        <v>0</v>
      </c>
      <c r="CX280" s="25" t="n">
        <v>0</v>
      </c>
      <c r="CY280" s="25" t="n">
        <v>0</v>
      </c>
      <c r="CZ280" s="25" t="n">
        <v>0</v>
      </c>
      <c r="DA280" s="25" t="n">
        <v>0</v>
      </c>
      <c r="DB280" s="25" t="n">
        <v>0</v>
      </c>
    </row>
    <row r="281">
      <c r="D281" t="inlineStr">
        <is>
          <t>Scheduled NILO principal (restructured)</t>
        </is>
      </c>
      <c r="E281" t="inlineStr">
        <is>
          <t>ARD m</t>
        </is>
      </c>
      <c r="G281" s="24">
        <f>SUM(J281:DB281)</f>
        <v/>
      </c>
      <c r="J281" s="25" t="n">
        <v>0</v>
      </c>
      <c r="K281" s="25" t="n">
        <v>0</v>
      </c>
      <c r="L281" s="25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25" t="n">
        <v>0</v>
      </c>
      <c r="R281" s="25" t="n">
        <v>0</v>
      </c>
      <c r="S281" s="25" t="n">
        <v>0</v>
      </c>
      <c r="T281" s="25" t="n">
        <v>0</v>
      </c>
      <c r="U281" s="25" t="n">
        <v>0</v>
      </c>
      <c r="V281" s="25" t="n">
        <v>0</v>
      </c>
      <c r="W281" s="25" t="n">
        <v>0</v>
      </c>
      <c r="X281" s="25" t="n">
        <v>0</v>
      </c>
      <c r="Y281" s="25" t="n">
        <v>0</v>
      </c>
      <c r="Z281" s="25" t="n">
        <v>0</v>
      </c>
      <c r="AA281" s="25" t="n">
        <v>0</v>
      </c>
      <c r="AB281" s="25" t="n">
        <v>0</v>
      </c>
      <c r="AC281" s="25" t="n">
        <v>0</v>
      </c>
      <c r="AD281" s="25" t="n">
        <v>0</v>
      </c>
      <c r="AE281" s="25" t="n">
        <v>0</v>
      </c>
      <c r="AF281" s="25" t="n">
        <v>0</v>
      </c>
      <c r="AG281" s="25" t="n">
        <v>0</v>
      </c>
      <c r="AH281" s="25" t="n">
        <v>0</v>
      </c>
      <c r="AI281" s="25" t="n">
        <v>0</v>
      </c>
      <c r="AJ281" s="25" t="n">
        <v>0</v>
      </c>
      <c r="AK281" s="25" t="n">
        <v>0</v>
      </c>
      <c r="AL281" s="25" t="n">
        <v>0</v>
      </c>
      <c r="AM281" s="25" t="n">
        <v>0</v>
      </c>
      <c r="AN281" s="25" t="n">
        <v>0</v>
      </c>
      <c r="AO281" s="25" t="n">
        <v>0</v>
      </c>
      <c r="AP281" s="25" t="n">
        <v>0</v>
      </c>
      <c r="AQ281" s="25" t="n">
        <v>0</v>
      </c>
      <c r="AR281" s="25" t="n">
        <v>0</v>
      </c>
      <c r="AS281" s="25" t="n">
        <v>0</v>
      </c>
      <c r="AT281" s="25" t="n">
        <v>0</v>
      </c>
      <c r="AU281" s="25" t="n">
        <v>0</v>
      </c>
      <c r="AV281" s="25" t="n">
        <v>0</v>
      </c>
      <c r="AW281" s="25" t="n">
        <v>0</v>
      </c>
      <c r="AX281" s="25" t="n">
        <v>0.06447393511690258</v>
      </c>
      <c r="AY281" s="25" t="n">
        <v>0</v>
      </c>
      <c r="AZ281" s="25" t="n">
        <v>0</v>
      </c>
      <c r="BA281" s="25" t="n">
        <v>0</v>
      </c>
      <c r="BB281" s="25" t="n">
        <v>0</v>
      </c>
      <c r="BC281" s="25" t="n">
        <v>2.5529138245198</v>
      </c>
      <c r="BD281" s="25" t="n">
        <v>2.759486232523161</v>
      </c>
      <c r="BE281" s="25" t="n">
        <v>4.117180420042674</v>
      </c>
      <c r="BF281" s="25" t="n">
        <v>3.777273802354586</v>
      </c>
      <c r="BG281" s="25" t="n">
        <v>3.217390840522842</v>
      </c>
      <c r="BH281" s="25" t="n">
        <v>3.404395504484564</v>
      </c>
      <c r="BI281" s="25" t="n">
        <v>3.759759649277614</v>
      </c>
      <c r="BJ281" s="25" t="n">
        <v>3.936575660092945</v>
      </c>
      <c r="BK281" s="25" t="n">
        <v>4.336052015948152</v>
      </c>
      <c r="BL281" s="25" t="n">
        <v>4.518309664773698</v>
      </c>
      <c r="BM281" s="25" t="n">
        <v>4.948237629516846</v>
      </c>
      <c r="BN281" s="25" t="n">
        <v>5.136046980277396</v>
      </c>
      <c r="BO281" s="25" t="n">
        <v>1.484917216095926</v>
      </c>
      <c r="BP281" s="25" t="n">
        <v>1.660528824301531</v>
      </c>
      <c r="BQ281" s="25" t="n">
        <v>2.078273949250068</v>
      </c>
      <c r="BR281" s="25" t="n">
        <v>2.111355069611013</v>
      </c>
      <c r="BS281" s="25" t="n">
        <v>2.569375496479388</v>
      </c>
      <c r="BT281" s="25" t="n">
        <v>2.603477303614044</v>
      </c>
      <c r="BU281" s="25" t="n">
        <v>10.58990346506672</v>
      </c>
      <c r="BV281" s="25" t="n">
        <v>10.7227071269178</v>
      </c>
      <c r="BW281" s="25" t="n">
        <v>8.530204851649007</v>
      </c>
      <c r="BX281" s="25" t="n">
        <v>8.048788277134427</v>
      </c>
      <c r="BY281" s="25" t="n">
        <v>8.598915061123551</v>
      </c>
      <c r="BZ281" s="25" t="n">
        <v>8.678681730152173</v>
      </c>
      <c r="CA281" s="25" t="n">
        <v>6.646373465958413</v>
      </c>
      <c r="CB281" s="25" t="n">
        <v>6.695348865950979</v>
      </c>
      <c r="CC281" s="25" t="n">
        <v>7.323668807577402</v>
      </c>
      <c r="CD281" s="25" t="n">
        <v>7.372953763435076</v>
      </c>
      <c r="CE281" s="25" t="n">
        <v>6.747535381662093</v>
      </c>
      <c r="CF281" s="25" t="n">
        <v>6.840174295196355</v>
      </c>
      <c r="CG281" s="25" t="n">
        <v>14.89549650416141</v>
      </c>
      <c r="CH281" s="25" t="n">
        <v>10.23410770537139</v>
      </c>
      <c r="CI281" s="25" t="n">
        <v>10.98292433533322</v>
      </c>
      <c r="CJ281" s="25" t="n">
        <v>11.0458845165712</v>
      </c>
      <c r="CK281" s="25" t="n">
        <v>15.46249981700247</v>
      </c>
      <c r="CL281" s="25" t="n">
        <v>13.30747644463559</v>
      </c>
      <c r="CM281" s="25" t="n">
        <v>10.09015753318003</v>
      </c>
      <c r="CN281" s="25" t="n">
        <v>10.24066015015662</v>
      </c>
      <c r="CO281" s="25" t="n">
        <v>11.04240122912121</v>
      </c>
      <c r="CP281" s="25" t="n">
        <v>20.97389861004652</v>
      </c>
      <c r="CQ281" s="25" t="n">
        <v>22.54750809695476</v>
      </c>
      <c r="CR281" s="25" t="n">
        <v>22.65568730930587</v>
      </c>
      <c r="CS281" s="25" t="n">
        <v>38.49090333458023</v>
      </c>
      <c r="CT281" s="25" t="n">
        <v>27.49678502573263</v>
      </c>
      <c r="CU281" s="25" t="n">
        <v>26.43139259516561</v>
      </c>
      <c r="CV281" s="25" t="n">
        <v>26.63297192222069</v>
      </c>
      <c r="CW281" s="25" t="n">
        <v>28.27923391806416</v>
      </c>
      <c r="CX281" s="25" t="n">
        <v>28.29919354596917</v>
      </c>
      <c r="CY281" s="25" t="n">
        <v>30.21583591061463</v>
      </c>
      <c r="CZ281" s="25" t="n">
        <v>30.23802827755529</v>
      </c>
      <c r="DA281" s="25" t="n">
        <v>39.28566834178856</v>
      </c>
      <c r="DB281" s="2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D1:DB60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Time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J8</f>
        <v/>
      </c>
      <c r="K3" s="2">
        <f>K8</f>
        <v/>
      </c>
      <c r="L3" s="2">
        <f>L8</f>
        <v/>
      </c>
      <c r="M3" s="2">
        <f>M8</f>
        <v/>
      </c>
      <c r="N3" s="2">
        <f>N8</f>
        <v/>
      </c>
      <c r="O3" s="2">
        <f>O8</f>
        <v/>
      </c>
      <c r="P3" s="2">
        <f>P8</f>
        <v/>
      </c>
      <c r="Q3" s="2">
        <f>Q8</f>
        <v/>
      </c>
      <c r="R3" s="2">
        <f>R8</f>
        <v/>
      </c>
      <c r="S3" s="2">
        <f>S8</f>
        <v/>
      </c>
      <c r="T3" s="2">
        <f>T8</f>
        <v/>
      </c>
      <c r="U3" s="2">
        <f>U8</f>
        <v/>
      </c>
      <c r="V3" s="2">
        <f>V8</f>
        <v/>
      </c>
      <c r="W3" s="2">
        <f>W8</f>
        <v/>
      </c>
      <c r="X3" s="2">
        <f>X8</f>
        <v/>
      </c>
      <c r="Y3" s="2">
        <f>Y8</f>
        <v/>
      </c>
      <c r="Z3" s="2">
        <f>Z8</f>
        <v/>
      </c>
      <c r="AA3" s="2">
        <f>AA8</f>
        <v/>
      </c>
      <c r="AB3" s="2">
        <f>AB8</f>
        <v/>
      </c>
      <c r="AC3" s="2">
        <f>AC8</f>
        <v/>
      </c>
      <c r="AD3" s="2">
        <f>AD8</f>
        <v/>
      </c>
      <c r="AE3" s="2">
        <f>AE8</f>
        <v/>
      </c>
      <c r="AF3" s="2">
        <f>AF8</f>
        <v/>
      </c>
      <c r="AG3" s="2">
        <f>AG8</f>
        <v/>
      </c>
      <c r="AH3" s="2">
        <f>AH8</f>
        <v/>
      </c>
      <c r="AI3" s="2">
        <f>AI8</f>
        <v/>
      </c>
      <c r="AJ3" s="2">
        <f>AJ8</f>
        <v/>
      </c>
      <c r="AK3" s="2">
        <f>AK8</f>
        <v/>
      </c>
      <c r="AL3" s="2">
        <f>AL8</f>
        <v/>
      </c>
      <c r="AM3" s="2">
        <f>AM8</f>
        <v/>
      </c>
      <c r="AN3" s="2">
        <f>AN8</f>
        <v/>
      </c>
      <c r="AO3" s="2">
        <f>AO8</f>
        <v/>
      </c>
      <c r="AP3" s="2">
        <f>AP8</f>
        <v/>
      </c>
      <c r="AQ3" s="2">
        <f>AQ8</f>
        <v/>
      </c>
      <c r="AR3" s="2">
        <f>AR8</f>
        <v/>
      </c>
      <c r="AS3" s="2">
        <f>AS8</f>
        <v/>
      </c>
      <c r="AT3" s="2">
        <f>AT8</f>
        <v/>
      </c>
      <c r="AU3" s="2">
        <f>AU8</f>
        <v/>
      </c>
      <c r="AV3" s="2">
        <f>AV8</f>
        <v/>
      </c>
      <c r="AW3" s="2">
        <f>AW8</f>
        <v/>
      </c>
      <c r="AX3" s="2">
        <f>AX8</f>
        <v/>
      </c>
      <c r="AY3" s="2">
        <f>AY8</f>
        <v/>
      </c>
      <c r="AZ3" s="2">
        <f>AZ8</f>
        <v/>
      </c>
      <c r="BA3" s="2">
        <f>BA8</f>
        <v/>
      </c>
      <c r="BB3" s="2">
        <f>BB8</f>
        <v/>
      </c>
      <c r="BC3" s="2">
        <f>BC8</f>
        <v/>
      </c>
      <c r="BD3" s="2">
        <f>BD8</f>
        <v/>
      </c>
      <c r="BE3" s="2">
        <f>BE8</f>
        <v/>
      </c>
      <c r="BF3" s="2">
        <f>BF8</f>
        <v/>
      </c>
      <c r="BG3" s="2">
        <f>BG8</f>
        <v/>
      </c>
      <c r="BH3" s="2">
        <f>BH8</f>
        <v/>
      </c>
      <c r="BI3" s="2">
        <f>BI8</f>
        <v/>
      </c>
      <c r="BJ3" s="2">
        <f>BJ8</f>
        <v/>
      </c>
      <c r="BK3" s="2">
        <f>BK8</f>
        <v/>
      </c>
      <c r="BL3" s="2">
        <f>BL8</f>
        <v/>
      </c>
      <c r="BM3" s="2">
        <f>BM8</f>
        <v/>
      </c>
      <c r="BN3" s="2">
        <f>BN8</f>
        <v/>
      </c>
      <c r="BO3" s="2">
        <f>BO8</f>
        <v/>
      </c>
      <c r="BP3" s="2">
        <f>BP8</f>
        <v/>
      </c>
      <c r="BQ3" s="2">
        <f>BQ8</f>
        <v/>
      </c>
      <c r="BR3" s="2">
        <f>BR8</f>
        <v/>
      </c>
      <c r="BS3" s="2">
        <f>BS8</f>
        <v/>
      </c>
      <c r="BT3" s="2">
        <f>BT8</f>
        <v/>
      </c>
      <c r="BU3" s="2">
        <f>BU8</f>
        <v/>
      </c>
      <c r="BV3" s="2">
        <f>BV8</f>
        <v/>
      </c>
      <c r="BW3" s="2">
        <f>BW8</f>
        <v/>
      </c>
      <c r="BX3" s="2">
        <f>BX8</f>
        <v/>
      </c>
      <c r="BY3" s="2">
        <f>BY8</f>
        <v/>
      </c>
      <c r="BZ3" s="2">
        <f>BZ8</f>
        <v/>
      </c>
      <c r="CA3" s="2">
        <f>CA8</f>
        <v/>
      </c>
      <c r="CB3" s="2">
        <f>CB8</f>
        <v/>
      </c>
      <c r="CC3" s="2">
        <f>CC8</f>
        <v/>
      </c>
      <c r="CD3" s="2">
        <f>CD8</f>
        <v/>
      </c>
      <c r="CE3" s="2">
        <f>CE8</f>
        <v/>
      </c>
      <c r="CF3" s="2">
        <f>CF8</f>
        <v/>
      </c>
      <c r="CG3" s="2">
        <f>CG8</f>
        <v/>
      </c>
      <c r="CH3" s="2">
        <f>CH8</f>
        <v/>
      </c>
      <c r="CI3" s="2">
        <f>CI8</f>
        <v/>
      </c>
      <c r="CJ3" s="2">
        <f>CJ8</f>
        <v/>
      </c>
      <c r="CK3" s="2">
        <f>CK8</f>
        <v/>
      </c>
      <c r="CL3" s="2">
        <f>CL8</f>
        <v/>
      </c>
      <c r="CM3" s="2">
        <f>CM8</f>
        <v/>
      </c>
      <c r="CN3" s="2">
        <f>CN8</f>
        <v/>
      </c>
      <c r="CO3" s="2">
        <f>CO8</f>
        <v/>
      </c>
      <c r="CP3" s="2">
        <f>CP8</f>
        <v/>
      </c>
      <c r="CQ3" s="2">
        <f>CQ8</f>
        <v/>
      </c>
      <c r="CR3" s="2">
        <f>CR8</f>
        <v/>
      </c>
      <c r="CS3" s="2">
        <f>CS8</f>
        <v/>
      </c>
      <c r="CT3" s="2">
        <f>CT8</f>
        <v/>
      </c>
      <c r="CU3" s="2">
        <f>CU8</f>
        <v/>
      </c>
      <c r="CV3" s="2">
        <f>CV8</f>
        <v/>
      </c>
      <c r="CW3" s="2">
        <f>CW8</f>
        <v/>
      </c>
      <c r="CX3" s="2">
        <f>CX8</f>
        <v/>
      </c>
      <c r="CY3" s="2">
        <f>CY8</f>
        <v/>
      </c>
      <c r="CZ3" s="2">
        <f>CZ8</f>
        <v/>
      </c>
      <c r="DA3" s="2">
        <f>DA8</f>
        <v/>
      </c>
      <c r="DB3" s="2">
        <f>DB8</f>
        <v/>
      </c>
    </row>
    <row r="5">
      <c r="D5" s="3" t="inlineStr">
        <is>
          <t>Timeline</t>
        </is>
      </c>
    </row>
    <row r="6">
      <c r="D6" t="inlineStr">
        <is>
          <t>Period number</t>
        </is>
      </c>
      <c r="E6" t="inlineStr">
        <is>
          <t>#</t>
        </is>
      </c>
      <c r="J6" s="14">
        <f>I6+1</f>
        <v/>
      </c>
      <c r="K6" s="14">
        <f>J6+1</f>
        <v/>
      </c>
      <c r="L6" s="14">
        <f>K6+1</f>
        <v/>
      </c>
      <c r="M6" s="14">
        <f>L6+1</f>
        <v/>
      </c>
      <c r="N6" s="14">
        <f>M6+1</f>
        <v/>
      </c>
      <c r="O6" s="14">
        <f>N6+1</f>
        <v/>
      </c>
      <c r="P6" s="14">
        <f>O6+1</f>
        <v/>
      </c>
      <c r="Q6" s="14">
        <f>P6+1</f>
        <v/>
      </c>
      <c r="R6" s="14">
        <f>Q6+1</f>
        <v/>
      </c>
      <c r="S6" s="14">
        <f>R6+1</f>
        <v/>
      </c>
      <c r="T6" s="14">
        <f>S6+1</f>
        <v/>
      </c>
      <c r="U6" s="14">
        <f>T6+1</f>
        <v/>
      </c>
      <c r="V6" s="14">
        <f>U6+1</f>
        <v/>
      </c>
      <c r="W6" s="14">
        <f>V6+1</f>
        <v/>
      </c>
      <c r="X6" s="14">
        <f>W6+1</f>
        <v/>
      </c>
      <c r="Y6" s="14">
        <f>X6+1</f>
        <v/>
      </c>
      <c r="Z6" s="14">
        <f>Y6+1</f>
        <v/>
      </c>
      <c r="AA6" s="14">
        <f>Z6+1</f>
        <v/>
      </c>
      <c r="AB6" s="14">
        <f>AA6+1</f>
        <v/>
      </c>
      <c r="AC6" s="14">
        <f>AB6+1</f>
        <v/>
      </c>
      <c r="AD6" s="14">
        <f>AC6+1</f>
        <v/>
      </c>
      <c r="AE6" s="14">
        <f>AD6+1</f>
        <v/>
      </c>
      <c r="AF6" s="14">
        <f>AE6+1</f>
        <v/>
      </c>
      <c r="AG6" s="14">
        <f>AF6+1</f>
        <v/>
      </c>
      <c r="AH6" s="14">
        <f>AG6+1</f>
        <v/>
      </c>
      <c r="AI6" s="14">
        <f>AH6+1</f>
        <v/>
      </c>
      <c r="AJ6" s="14">
        <f>AI6+1</f>
        <v/>
      </c>
      <c r="AK6" s="14">
        <f>AJ6+1</f>
        <v/>
      </c>
      <c r="AL6" s="14">
        <f>AK6+1</f>
        <v/>
      </c>
      <c r="AM6" s="14">
        <f>AL6+1</f>
        <v/>
      </c>
      <c r="AN6" s="14">
        <f>AM6+1</f>
        <v/>
      </c>
      <c r="AO6" s="14">
        <f>AN6+1</f>
        <v/>
      </c>
      <c r="AP6" s="14">
        <f>AO6+1</f>
        <v/>
      </c>
      <c r="AQ6" s="14">
        <f>AP6+1</f>
        <v/>
      </c>
      <c r="AR6" s="14">
        <f>AQ6+1</f>
        <v/>
      </c>
      <c r="AS6" s="14">
        <f>AR6+1</f>
        <v/>
      </c>
      <c r="AT6" s="14">
        <f>AS6+1</f>
        <v/>
      </c>
      <c r="AU6" s="14">
        <f>AT6+1</f>
        <v/>
      </c>
      <c r="AV6" s="14">
        <f>AU6+1</f>
        <v/>
      </c>
      <c r="AW6" s="14">
        <f>AV6+1</f>
        <v/>
      </c>
      <c r="AX6" s="14">
        <f>AW6+1</f>
        <v/>
      </c>
      <c r="AY6" s="14">
        <f>AX6+1</f>
        <v/>
      </c>
      <c r="AZ6" s="14">
        <f>AY6+1</f>
        <v/>
      </c>
      <c r="BA6" s="14">
        <f>AZ6+1</f>
        <v/>
      </c>
      <c r="BB6" s="14">
        <f>BA6+1</f>
        <v/>
      </c>
      <c r="BC6" s="14">
        <f>BB6+1</f>
        <v/>
      </c>
      <c r="BD6" s="14">
        <f>BC6+1</f>
        <v/>
      </c>
      <c r="BE6" s="14">
        <f>BD6+1</f>
        <v/>
      </c>
      <c r="BF6" s="14">
        <f>BE6+1</f>
        <v/>
      </c>
      <c r="BG6" s="14">
        <f>BF6+1</f>
        <v/>
      </c>
      <c r="BH6" s="14">
        <f>BG6+1</f>
        <v/>
      </c>
      <c r="BI6" s="14">
        <f>BH6+1</f>
        <v/>
      </c>
      <c r="BJ6" s="14">
        <f>BI6+1</f>
        <v/>
      </c>
      <c r="BK6" s="14">
        <f>BJ6+1</f>
        <v/>
      </c>
      <c r="BL6" s="14">
        <f>BK6+1</f>
        <v/>
      </c>
      <c r="BM6" s="14">
        <f>BL6+1</f>
        <v/>
      </c>
      <c r="BN6" s="14">
        <f>BM6+1</f>
        <v/>
      </c>
      <c r="BO6" s="14">
        <f>BN6+1</f>
        <v/>
      </c>
      <c r="BP6" s="14">
        <f>BO6+1</f>
        <v/>
      </c>
      <c r="BQ6" s="14">
        <f>BP6+1</f>
        <v/>
      </c>
      <c r="BR6" s="14">
        <f>BQ6+1</f>
        <v/>
      </c>
      <c r="BS6" s="14">
        <f>BR6+1</f>
        <v/>
      </c>
      <c r="BT6" s="14">
        <f>BS6+1</f>
        <v/>
      </c>
      <c r="BU6" s="14">
        <f>BT6+1</f>
        <v/>
      </c>
      <c r="BV6" s="14">
        <f>BU6+1</f>
        <v/>
      </c>
      <c r="BW6" s="14">
        <f>BV6+1</f>
        <v/>
      </c>
      <c r="BX6" s="14">
        <f>BW6+1</f>
        <v/>
      </c>
      <c r="BY6" s="14">
        <f>BX6+1</f>
        <v/>
      </c>
      <c r="BZ6" s="14">
        <f>BY6+1</f>
        <v/>
      </c>
      <c r="CA6" s="14">
        <f>BZ6+1</f>
        <v/>
      </c>
      <c r="CB6" s="14">
        <f>CA6+1</f>
        <v/>
      </c>
      <c r="CC6" s="14">
        <f>CB6+1</f>
        <v/>
      </c>
      <c r="CD6" s="14">
        <f>CC6+1</f>
        <v/>
      </c>
      <c r="CE6" s="14">
        <f>CD6+1</f>
        <v/>
      </c>
      <c r="CF6" s="14">
        <f>CE6+1</f>
        <v/>
      </c>
      <c r="CG6" s="14">
        <f>CF6+1</f>
        <v/>
      </c>
      <c r="CH6" s="14">
        <f>CG6+1</f>
        <v/>
      </c>
      <c r="CI6" s="14">
        <f>CH6+1</f>
        <v/>
      </c>
      <c r="CJ6" s="14">
        <f>CI6+1</f>
        <v/>
      </c>
      <c r="CK6" s="14">
        <f>CJ6+1</f>
        <v/>
      </c>
      <c r="CL6" s="14">
        <f>CK6+1</f>
        <v/>
      </c>
      <c r="CM6" s="14">
        <f>CL6+1</f>
        <v/>
      </c>
      <c r="CN6" s="14">
        <f>CM6+1</f>
        <v/>
      </c>
      <c r="CO6" s="14">
        <f>CN6+1</f>
        <v/>
      </c>
      <c r="CP6" s="14">
        <f>CO6+1</f>
        <v/>
      </c>
      <c r="CQ6" s="14">
        <f>CP6+1</f>
        <v/>
      </c>
      <c r="CR6" s="14">
        <f>CQ6+1</f>
        <v/>
      </c>
      <c r="CS6" s="14">
        <f>CR6+1</f>
        <v/>
      </c>
      <c r="CT6" s="14">
        <f>CS6+1</f>
        <v/>
      </c>
      <c r="CU6" s="14">
        <f>CT6+1</f>
        <v/>
      </c>
      <c r="CV6" s="14">
        <f>CU6+1</f>
        <v/>
      </c>
      <c r="CW6" s="14">
        <f>CV6+1</f>
        <v/>
      </c>
      <c r="CX6" s="14">
        <f>CW6+1</f>
        <v/>
      </c>
      <c r="CY6" s="14">
        <f>CX6+1</f>
        <v/>
      </c>
      <c r="CZ6" s="14">
        <f>CY6+1</f>
        <v/>
      </c>
      <c r="DA6" s="14">
        <f>CZ6+1</f>
        <v/>
      </c>
      <c r="DB6" s="14">
        <f>DA6+1</f>
        <v/>
      </c>
    </row>
    <row r="7">
      <c r="D7" t="inlineStr">
        <is>
          <t>Period start</t>
        </is>
      </c>
      <c r="E7" t="inlineStr">
        <is>
          <t>date</t>
        </is>
      </c>
      <c r="J7" s="15">
        <f>IF(J6=1,Inputs!$F$14,I8)</f>
        <v/>
      </c>
      <c r="K7" s="15">
        <f>IF(K6=1,Inputs!$F$14,J8)</f>
        <v/>
      </c>
      <c r="L7" s="15">
        <f>IF(L6=1,Inputs!$F$14,K8)</f>
        <v/>
      </c>
      <c r="M7" s="15">
        <f>IF(M6=1,Inputs!$F$14,L8)</f>
        <v/>
      </c>
      <c r="N7" s="15">
        <f>IF(N6=1,Inputs!$F$14,M8)</f>
        <v/>
      </c>
      <c r="O7" s="15">
        <f>IF(O6=1,Inputs!$F$14,N8)</f>
        <v/>
      </c>
      <c r="P7" s="15">
        <f>IF(P6=1,Inputs!$F$14,O8)</f>
        <v/>
      </c>
      <c r="Q7" s="15">
        <f>IF(Q6=1,Inputs!$F$14,P8)</f>
        <v/>
      </c>
      <c r="R7" s="15">
        <f>IF(R6=1,Inputs!$F$14,Q8)</f>
        <v/>
      </c>
      <c r="S7" s="15">
        <f>IF(S6=1,Inputs!$F$14,R8)</f>
        <v/>
      </c>
      <c r="T7" s="15">
        <f>IF(T6=1,Inputs!$F$14,S8)</f>
        <v/>
      </c>
      <c r="U7" s="15">
        <f>IF(U6=1,Inputs!$F$14,T8)</f>
        <v/>
      </c>
      <c r="V7" s="15">
        <f>IF(V6=1,Inputs!$F$14,U8)</f>
        <v/>
      </c>
      <c r="W7" s="15">
        <f>IF(W6=1,Inputs!$F$14,V8)</f>
        <v/>
      </c>
      <c r="X7" s="15">
        <f>IF(X6=1,Inputs!$F$14,W8)</f>
        <v/>
      </c>
      <c r="Y7" s="15">
        <f>IF(Y6=1,Inputs!$F$14,X8)</f>
        <v/>
      </c>
      <c r="Z7" s="15">
        <f>IF(Z6=1,Inputs!$F$14,Y8)</f>
        <v/>
      </c>
      <c r="AA7" s="15">
        <f>IF(AA6=1,Inputs!$F$14,Z8)</f>
        <v/>
      </c>
      <c r="AB7" s="15">
        <f>IF(AB6=1,Inputs!$F$14,AA8)</f>
        <v/>
      </c>
      <c r="AC7" s="15">
        <f>IF(AC6=1,Inputs!$F$14,AB8)</f>
        <v/>
      </c>
      <c r="AD7" s="15">
        <f>IF(AD6=1,Inputs!$F$14,AC8)</f>
        <v/>
      </c>
      <c r="AE7" s="15">
        <f>IF(AE6=1,Inputs!$F$14,AD8)</f>
        <v/>
      </c>
      <c r="AF7" s="15">
        <f>IF(AF6=1,Inputs!$F$14,AE8)</f>
        <v/>
      </c>
      <c r="AG7" s="15">
        <f>IF(AG6=1,Inputs!$F$14,AF8)</f>
        <v/>
      </c>
      <c r="AH7" s="15">
        <f>IF(AH6=1,Inputs!$F$14,AG8)</f>
        <v/>
      </c>
      <c r="AI7" s="15">
        <f>IF(AI6=1,Inputs!$F$14,AH8)</f>
        <v/>
      </c>
      <c r="AJ7" s="15">
        <f>IF(AJ6=1,Inputs!$F$14,AI8)</f>
        <v/>
      </c>
      <c r="AK7" s="15">
        <f>IF(AK6=1,Inputs!$F$14,AJ8)</f>
        <v/>
      </c>
      <c r="AL7" s="15">
        <f>IF(AL6=1,Inputs!$F$14,AK8)</f>
        <v/>
      </c>
      <c r="AM7" s="15">
        <f>IF(AM6=1,Inputs!$F$14,AL8)</f>
        <v/>
      </c>
      <c r="AN7" s="15">
        <f>IF(AN6=1,Inputs!$F$14,AM8)</f>
        <v/>
      </c>
      <c r="AO7" s="15">
        <f>IF(AO6=1,Inputs!$F$14,AN8)</f>
        <v/>
      </c>
      <c r="AP7" s="15">
        <f>IF(AP6=1,Inputs!$F$14,AO8)</f>
        <v/>
      </c>
      <c r="AQ7" s="15">
        <f>IF(AQ6=1,Inputs!$F$14,AP8)</f>
        <v/>
      </c>
      <c r="AR7" s="15">
        <f>IF(AR6=1,Inputs!$F$14,AQ8)</f>
        <v/>
      </c>
      <c r="AS7" s="15">
        <f>IF(AS6=1,Inputs!$F$14,AR8)</f>
        <v/>
      </c>
      <c r="AT7" s="15">
        <f>IF(AT6=1,Inputs!$F$14,AS8)</f>
        <v/>
      </c>
      <c r="AU7" s="15">
        <f>IF(AU6=1,Inputs!$F$14,AT8)</f>
        <v/>
      </c>
      <c r="AV7" s="15">
        <f>IF(AV6=1,Inputs!$F$14,AU8)</f>
        <v/>
      </c>
      <c r="AW7" s="15">
        <f>IF(AW6=1,Inputs!$F$14,AV8)</f>
        <v/>
      </c>
      <c r="AX7" s="15">
        <f>IF(AX6=1,Inputs!$F$14,AW8)</f>
        <v/>
      </c>
      <c r="AY7" s="15">
        <f>IF(AY6=1,Inputs!$F$14,AX8)</f>
        <v/>
      </c>
      <c r="AZ7" s="15">
        <f>IF(AZ6=1,Inputs!$F$14,AY8)</f>
        <v/>
      </c>
      <c r="BA7" s="15">
        <f>IF(BA6=1,Inputs!$F$14,AZ8)</f>
        <v/>
      </c>
      <c r="BB7" s="15">
        <f>IF(BB6=1,Inputs!$F$14,BA8)</f>
        <v/>
      </c>
      <c r="BC7" s="15">
        <f>IF(BC6=1,Inputs!$F$14,BB8)</f>
        <v/>
      </c>
      <c r="BD7" s="15">
        <f>IF(BD6=1,Inputs!$F$14,BC8)</f>
        <v/>
      </c>
      <c r="BE7" s="15">
        <f>IF(BE6=1,Inputs!$F$14,BD8)</f>
        <v/>
      </c>
      <c r="BF7" s="15">
        <f>IF(BF6=1,Inputs!$F$14,BE8)</f>
        <v/>
      </c>
      <c r="BG7" s="15">
        <f>IF(BG6=1,Inputs!$F$14,BF8)</f>
        <v/>
      </c>
      <c r="BH7" s="15">
        <f>IF(BH6=1,Inputs!$F$14,BG8)</f>
        <v/>
      </c>
      <c r="BI7" s="15">
        <f>IF(BI6=1,Inputs!$F$14,BH8)</f>
        <v/>
      </c>
      <c r="BJ7" s="15">
        <f>IF(BJ6=1,Inputs!$F$14,BI8)</f>
        <v/>
      </c>
      <c r="BK7" s="15">
        <f>IF(BK6=1,Inputs!$F$14,BJ8)</f>
        <v/>
      </c>
      <c r="BL7" s="15">
        <f>IF(BL6=1,Inputs!$F$14,BK8)</f>
        <v/>
      </c>
      <c r="BM7" s="15">
        <f>IF(BM6=1,Inputs!$F$14,BL8)</f>
        <v/>
      </c>
      <c r="BN7" s="15">
        <f>IF(BN6=1,Inputs!$F$14,BM8)</f>
        <v/>
      </c>
      <c r="BO7" s="15">
        <f>IF(BO6=1,Inputs!$F$14,BN8)</f>
        <v/>
      </c>
      <c r="BP7" s="15">
        <f>IF(BP6=1,Inputs!$F$14,BO8)</f>
        <v/>
      </c>
      <c r="BQ7" s="15">
        <f>IF(BQ6=1,Inputs!$F$14,BP8)</f>
        <v/>
      </c>
      <c r="BR7" s="15">
        <f>IF(BR6=1,Inputs!$F$14,BQ8)</f>
        <v/>
      </c>
      <c r="BS7" s="15">
        <f>IF(BS6=1,Inputs!$F$14,BR8)</f>
        <v/>
      </c>
      <c r="BT7" s="15">
        <f>IF(BT6=1,Inputs!$F$14,BS8)</f>
        <v/>
      </c>
      <c r="BU7" s="15">
        <f>IF(BU6=1,Inputs!$F$14,BT8)</f>
        <v/>
      </c>
      <c r="BV7" s="15">
        <f>IF(BV6=1,Inputs!$F$14,BU8)</f>
        <v/>
      </c>
      <c r="BW7" s="15">
        <f>IF(BW6=1,Inputs!$F$14,BV8)</f>
        <v/>
      </c>
      <c r="BX7" s="15">
        <f>IF(BX6=1,Inputs!$F$14,BW8)</f>
        <v/>
      </c>
      <c r="BY7" s="15">
        <f>IF(BY6=1,Inputs!$F$14,BX8)</f>
        <v/>
      </c>
      <c r="BZ7" s="15">
        <f>IF(BZ6=1,Inputs!$F$14,BY8)</f>
        <v/>
      </c>
      <c r="CA7" s="15">
        <f>IF(CA6=1,Inputs!$F$14,BZ8)</f>
        <v/>
      </c>
      <c r="CB7" s="15">
        <f>IF(CB6=1,Inputs!$F$14,CA8)</f>
        <v/>
      </c>
      <c r="CC7" s="15">
        <f>IF(CC6=1,Inputs!$F$14,CB8)</f>
        <v/>
      </c>
      <c r="CD7" s="15">
        <f>IF(CD6=1,Inputs!$F$14,CC8)</f>
        <v/>
      </c>
      <c r="CE7" s="15">
        <f>IF(CE6=1,Inputs!$F$14,CD8)</f>
        <v/>
      </c>
      <c r="CF7" s="15">
        <f>IF(CF6=1,Inputs!$F$14,CE8)</f>
        <v/>
      </c>
      <c r="CG7" s="15">
        <f>IF(CG6=1,Inputs!$F$14,CF8)</f>
        <v/>
      </c>
      <c r="CH7" s="15">
        <f>IF(CH6=1,Inputs!$F$14,CG8)</f>
        <v/>
      </c>
      <c r="CI7" s="15">
        <f>IF(CI6=1,Inputs!$F$14,CH8)</f>
        <v/>
      </c>
      <c r="CJ7" s="15">
        <f>IF(CJ6=1,Inputs!$F$14,CI8)</f>
        <v/>
      </c>
      <c r="CK7" s="15">
        <f>IF(CK6=1,Inputs!$F$14,CJ8)</f>
        <v/>
      </c>
      <c r="CL7" s="15">
        <f>IF(CL6=1,Inputs!$F$14,CK8)</f>
        <v/>
      </c>
      <c r="CM7" s="15">
        <f>IF(CM6=1,Inputs!$F$14,CL8)</f>
        <v/>
      </c>
      <c r="CN7" s="15">
        <f>IF(CN6=1,Inputs!$F$14,CM8)</f>
        <v/>
      </c>
      <c r="CO7" s="15">
        <f>IF(CO6=1,Inputs!$F$14,CN8)</f>
        <v/>
      </c>
      <c r="CP7" s="15">
        <f>IF(CP6=1,Inputs!$F$14,CO8)</f>
        <v/>
      </c>
      <c r="CQ7" s="15">
        <f>IF(CQ6=1,Inputs!$F$14,CP8)</f>
        <v/>
      </c>
      <c r="CR7" s="15">
        <f>IF(CR6=1,Inputs!$F$14,CQ8)</f>
        <v/>
      </c>
      <c r="CS7" s="15">
        <f>IF(CS6=1,Inputs!$F$14,CR8)</f>
        <v/>
      </c>
      <c r="CT7" s="15">
        <f>IF(CT6=1,Inputs!$F$14,CS8)</f>
        <v/>
      </c>
      <c r="CU7" s="15">
        <f>IF(CU6=1,Inputs!$F$14,CT8)</f>
        <v/>
      </c>
      <c r="CV7" s="15">
        <f>IF(CV6=1,Inputs!$F$14,CU8)</f>
        <v/>
      </c>
      <c r="CW7" s="15">
        <f>IF(CW6=1,Inputs!$F$14,CV8)</f>
        <v/>
      </c>
      <c r="CX7" s="15">
        <f>IF(CX6=1,Inputs!$F$14,CW8)</f>
        <v/>
      </c>
      <c r="CY7" s="15">
        <f>IF(CY6=1,Inputs!$F$14,CX8)</f>
        <v/>
      </c>
      <c r="CZ7" s="15">
        <f>IF(CZ6=1,Inputs!$F$14,CY8)</f>
        <v/>
      </c>
      <c r="DA7" s="15">
        <f>IF(DA6=1,Inputs!$F$14,CZ8)</f>
        <v/>
      </c>
      <c r="DB7" s="15">
        <f>IF(DB6=1,Inputs!$F$14,DA8)</f>
        <v/>
      </c>
    </row>
    <row r="8">
      <c r="D8" t="inlineStr">
        <is>
          <t>Period end</t>
        </is>
      </c>
      <c r="E8" t="inlineStr">
        <is>
          <t>date</t>
        </is>
      </c>
      <c r="J8" s="15">
        <f>IF(J6=1,Inputs!$F$15,EOMONTH(I8,IF(I8&lt;=Inputs!$F$16,3,6)))</f>
        <v/>
      </c>
      <c r="K8" s="15">
        <f>IF(K6=1,Inputs!$F$15,EOMONTH(J8,IF(J8&lt;=Inputs!$F$16,3,6)))</f>
        <v/>
      </c>
      <c r="L8" s="15">
        <f>IF(L6=1,Inputs!$F$15,EOMONTH(K8,IF(K8&lt;=Inputs!$F$16,3,6)))</f>
        <v/>
      </c>
      <c r="M8" s="15">
        <f>IF(M6=1,Inputs!$F$15,EOMONTH(L8,IF(L8&lt;=Inputs!$F$16,3,6)))</f>
        <v/>
      </c>
      <c r="N8" s="15">
        <f>IF(N6=1,Inputs!$F$15,EOMONTH(M8,IF(M8&lt;=Inputs!$F$16,3,6)))</f>
        <v/>
      </c>
      <c r="O8" s="15">
        <f>IF(O6=1,Inputs!$F$15,EOMONTH(N8,IF(N8&lt;=Inputs!$F$16,3,6)))</f>
        <v/>
      </c>
      <c r="P8" s="15">
        <f>IF(P6=1,Inputs!$F$15,EOMONTH(O8,IF(O8&lt;=Inputs!$F$16,3,6)))</f>
        <v/>
      </c>
      <c r="Q8" s="15">
        <f>IF(Q6=1,Inputs!$F$15,EOMONTH(P8,IF(P8&lt;=Inputs!$F$16,3,6)))</f>
        <v/>
      </c>
      <c r="R8" s="15">
        <f>IF(R6=1,Inputs!$F$15,EOMONTH(Q8,IF(Q8&lt;=Inputs!$F$16,3,6)))</f>
        <v/>
      </c>
      <c r="S8" s="15">
        <f>IF(S6=1,Inputs!$F$15,EOMONTH(R8,IF(R8&lt;=Inputs!$F$16,3,6)))</f>
        <v/>
      </c>
      <c r="T8" s="15">
        <f>IF(T6=1,Inputs!$F$15,EOMONTH(S8,IF(S8&lt;=Inputs!$F$16,3,6)))</f>
        <v/>
      </c>
      <c r="U8" s="15">
        <f>IF(U6=1,Inputs!$F$15,EOMONTH(T8,IF(T8&lt;=Inputs!$F$16,3,6)))</f>
        <v/>
      </c>
      <c r="V8" s="15">
        <f>IF(V6=1,Inputs!$F$15,EOMONTH(U8,IF(U8&lt;=Inputs!$F$16,3,6)))</f>
        <v/>
      </c>
      <c r="W8" s="15">
        <f>IF(W6=1,Inputs!$F$15,EOMONTH(V8,IF(V8&lt;=Inputs!$F$16,3,6)))</f>
        <v/>
      </c>
      <c r="X8" s="15">
        <f>IF(X6=1,Inputs!$F$15,EOMONTH(W8,IF(W8&lt;=Inputs!$F$16,3,6)))</f>
        <v/>
      </c>
      <c r="Y8" s="15">
        <f>IF(Y6=1,Inputs!$F$15,EOMONTH(X8,IF(X8&lt;=Inputs!$F$16,3,6)))</f>
        <v/>
      </c>
      <c r="Z8" s="15">
        <f>IF(Z6=1,Inputs!$F$15,EOMONTH(Y8,IF(Y8&lt;=Inputs!$F$16,3,6)))</f>
        <v/>
      </c>
      <c r="AA8" s="15">
        <f>IF(AA6=1,Inputs!$F$15,EOMONTH(Z8,IF(Z8&lt;=Inputs!$F$16,3,6)))</f>
        <v/>
      </c>
      <c r="AB8" s="15">
        <f>IF(AB6=1,Inputs!$F$15,EOMONTH(AA8,IF(AA8&lt;=Inputs!$F$16,3,6)))</f>
        <v/>
      </c>
      <c r="AC8" s="15">
        <f>IF(AC6=1,Inputs!$F$15,EOMONTH(AB8,IF(AB8&lt;=Inputs!$F$16,3,6)))</f>
        <v/>
      </c>
      <c r="AD8" s="15">
        <f>IF(AD6=1,Inputs!$F$15,EOMONTH(AC8,IF(AC8&lt;=Inputs!$F$16,3,6)))</f>
        <v/>
      </c>
      <c r="AE8" s="15">
        <f>IF(AE6=1,Inputs!$F$15,EOMONTH(AD8,IF(AD8&lt;=Inputs!$F$16,3,6)))</f>
        <v/>
      </c>
      <c r="AF8" s="15">
        <f>IF(AF6=1,Inputs!$F$15,EOMONTH(AE8,IF(AE8&lt;=Inputs!$F$16,3,6)))</f>
        <v/>
      </c>
      <c r="AG8" s="15">
        <f>IF(AG6=1,Inputs!$F$15,EOMONTH(AF8,IF(AF8&lt;=Inputs!$F$16,3,6)))</f>
        <v/>
      </c>
      <c r="AH8" s="15">
        <f>IF(AH6=1,Inputs!$F$15,EOMONTH(AG8,IF(AG8&lt;=Inputs!$F$16,3,6)))</f>
        <v/>
      </c>
      <c r="AI8" s="15">
        <f>IF(AI6=1,Inputs!$F$15,EOMONTH(AH8,IF(AH8&lt;=Inputs!$F$16,3,6)))</f>
        <v/>
      </c>
      <c r="AJ8" s="15">
        <f>IF(AJ6=1,Inputs!$F$15,EOMONTH(AI8,IF(AI8&lt;=Inputs!$F$16,3,6)))</f>
        <v/>
      </c>
      <c r="AK8" s="15">
        <f>IF(AK6=1,Inputs!$F$15,EOMONTH(AJ8,IF(AJ8&lt;=Inputs!$F$16,3,6)))</f>
        <v/>
      </c>
      <c r="AL8" s="15">
        <f>IF(AL6=1,Inputs!$F$15,EOMONTH(AK8,IF(AK8&lt;=Inputs!$F$16,3,6)))</f>
        <v/>
      </c>
      <c r="AM8" s="15">
        <f>IF(AM6=1,Inputs!$F$15,EOMONTH(AL8,IF(AL8&lt;=Inputs!$F$16,3,6)))</f>
        <v/>
      </c>
      <c r="AN8" s="15">
        <f>IF(AN6=1,Inputs!$F$15,EOMONTH(AM8,IF(AM8&lt;=Inputs!$F$16,3,6)))</f>
        <v/>
      </c>
      <c r="AO8" s="15">
        <f>IF(AO6=1,Inputs!$F$15,EOMONTH(AN8,IF(AN8&lt;=Inputs!$F$16,3,6)))</f>
        <v/>
      </c>
      <c r="AP8" s="15">
        <f>IF(AP6=1,Inputs!$F$15,EOMONTH(AO8,IF(AO8&lt;=Inputs!$F$16,3,6)))</f>
        <v/>
      </c>
      <c r="AQ8" s="15">
        <f>IF(AQ6=1,Inputs!$F$15,EOMONTH(AP8,IF(AP8&lt;=Inputs!$F$16,3,6)))</f>
        <v/>
      </c>
      <c r="AR8" s="15">
        <f>IF(AR6=1,Inputs!$F$15,EOMONTH(AQ8,IF(AQ8&lt;=Inputs!$F$16,3,6)))</f>
        <v/>
      </c>
      <c r="AS8" s="15">
        <f>IF(AS6=1,Inputs!$F$15,EOMONTH(AR8,IF(AR8&lt;=Inputs!$F$16,3,6)))</f>
        <v/>
      </c>
      <c r="AT8" s="15">
        <f>IF(AT6=1,Inputs!$F$15,EOMONTH(AS8,IF(AS8&lt;=Inputs!$F$16,3,6)))</f>
        <v/>
      </c>
      <c r="AU8" s="15">
        <f>IF(AU6=1,Inputs!$F$15,EOMONTH(AT8,IF(AT8&lt;=Inputs!$F$16,3,6)))</f>
        <v/>
      </c>
      <c r="AV8" s="15">
        <f>IF(AV6=1,Inputs!$F$15,EOMONTH(AU8,IF(AU8&lt;=Inputs!$F$16,3,6)))</f>
        <v/>
      </c>
      <c r="AW8" s="15">
        <f>IF(AW6=1,Inputs!$F$15,EOMONTH(AV8,IF(AV8&lt;=Inputs!$F$16,3,6)))</f>
        <v/>
      </c>
      <c r="AX8" s="15">
        <f>IF(AX6=1,Inputs!$F$15,EOMONTH(AW8,IF(AW8&lt;=Inputs!$F$16,3,6)))</f>
        <v/>
      </c>
      <c r="AY8" s="15">
        <f>IF(AY6=1,Inputs!$F$15,EOMONTH(AX8,IF(AX8&lt;=Inputs!$F$16,3,6)))</f>
        <v/>
      </c>
      <c r="AZ8" s="15">
        <f>IF(AZ6=1,Inputs!$F$15,EOMONTH(AY8,IF(AY8&lt;=Inputs!$F$16,3,6)))</f>
        <v/>
      </c>
      <c r="BA8" s="15">
        <f>IF(BA6=1,Inputs!$F$15,EOMONTH(AZ8,IF(AZ8&lt;=Inputs!$F$16,3,6)))</f>
        <v/>
      </c>
      <c r="BB8" s="15">
        <f>IF(BB6=1,Inputs!$F$15,EOMONTH(BA8,IF(BA8&lt;=Inputs!$F$16,3,6)))</f>
        <v/>
      </c>
      <c r="BC8" s="15">
        <f>IF(BC6=1,Inputs!$F$15,EOMONTH(BB8,IF(BB8&lt;=Inputs!$F$16,3,6)))</f>
        <v/>
      </c>
      <c r="BD8" s="15">
        <f>IF(BD6=1,Inputs!$F$15,EOMONTH(BC8,IF(BC8&lt;=Inputs!$F$16,3,6)))</f>
        <v/>
      </c>
      <c r="BE8" s="15">
        <f>IF(BE6=1,Inputs!$F$15,EOMONTH(BD8,IF(BD8&lt;=Inputs!$F$16,3,6)))</f>
        <v/>
      </c>
      <c r="BF8" s="15">
        <f>IF(BF6=1,Inputs!$F$15,EOMONTH(BE8,IF(BE8&lt;=Inputs!$F$16,3,6)))</f>
        <v/>
      </c>
      <c r="BG8" s="15">
        <f>IF(BG6=1,Inputs!$F$15,EOMONTH(BF8,IF(BF8&lt;=Inputs!$F$16,3,6)))</f>
        <v/>
      </c>
      <c r="BH8" s="15">
        <f>IF(BH6=1,Inputs!$F$15,EOMONTH(BG8,IF(BG8&lt;=Inputs!$F$16,3,6)))</f>
        <v/>
      </c>
      <c r="BI8" s="15">
        <f>IF(BI6=1,Inputs!$F$15,EOMONTH(BH8,IF(BH8&lt;=Inputs!$F$16,3,6)))</f>
        <v/>
      </c>
      <c r="BJ8" s="15">
        <f>IF(BJ6=1,Inputs!$F$15,EOMONTH(BI8,IF(BI8&lt;=Inputs!$F$16,3,6)))</f>
        <v/>
      </c>
      <c r="BK8" s="15">
        <f>IF(BK6=1,Inputs!$F$15,EOMONTH(BJ8,IF(BJ8&lt;=Inputs!$F$16,3,6)))</f>
        <v/>
      </c>
      <c r="BL8" s="15">
        <f>IF(BL6=1,Inputs!$F$15,EOMONTH(BK8,IF(BK8&lt;=Inputs!$F$16,3,6)))</f>
        <v/>
      </c>
      <c r="BM8" s="15">
        <f>IF(BM6=1,Inputs!$F$15,EOMONTH(BL8,IF(BL8&lt;=Inputs!$F$16,3,6)))</f>
        <v/>
      </c>
      <c r="BN8" s="15">
        <f>IF(BN6=1,Inputs!$F$15,EOMONTH(BM8,IF(BM8&lt;=Inputs!$F$16,3,6)))</f>
        <v/>
      </c>
      <c r="BO8" s="15">
        <f>IF(BO6=1,Inputs!$F$15,EOMONTH(BN8,IF(BN8&lt;=Inputs!$F$16,3,6)))</f>
        <v/>
      </c>
      <c r="BP8" s="15">
        <f>IF(BP6=1,Inputs!$F$15,EOMONTH(BO8,IF(BO8&lt;=Inputs!$F$16,3,6)))</f>
        <v/>
      </c>
      <c r="BQ8" s="15">
        <f>IF(BQ6=1,Inputs!$F$15,EOMONTH(BP8,IF(BP8&lt;=Inputs!$F$16,3,6)))</f>
        <v/>
      </c>
      <c r="BR8" s="15">
        <f>IF(BR6=1,Inputs!$F$15,EOMONTH(BQ8,IF(BQ8&lt;=Inputs!$F$16,3,6)))</f>
        <v/>
      </c>
      <c r="BS8" s="15">
        <f>IF(BS6=1,Inputs!$F$15,EOMONTH(BR8,IF(BR8&lt;=Inputs!$F$16,3,6)))</f>
        <v/>
      </c>
      <c r="BT8" s="15">
        <f>IF(BT6=1,Inputs!$F$15,EOMONTH(BS8,IF(BS8&lt;=Inputs!$F$16,3,6)))</f>
        <v/>
      </c>
      <c r="BU8" s="15">
        <f>IF(BU6=1,Inputs!$F$15,EOMONTH(BT8,IF(BT8&lt;=Inputs!$F$16,3,6)))</f>
        <v/>
      </c>
      <c r="BV8" s="15">
        <f>IF(BV6=1,Inputs!$F$15,EOMONTH(BU8,IF(BU8&lt;=Inputs!$F$16,3,6)))</f>
        <v/>
      </c>
      <c r="BW8" s="15">
        <f>IF(BW6=1,Inputs!$F$15,EOMONTH(BV8,IF(BV8&lt;=Inputs!$F$16,3,6)))</f>
        <v/>
      </c>
      <c r="BX8" s="15">
        <f>IF(BX6=1,Inputs!$F$15,EOMONTH(BW8,IF(BW8&lt;=Inputs!$F$16,3,6)))</f>
        <v/>
      </c>
      <c r="BY8" s="15">
        <f>IF(BY6=1,Inputs!$F$15,EOMONTH(BX8,IF(BX8&lt;=Inputs!$F$16,3,6)))</f>
        <v/>
      </c>
      <c r="BZ8" s="15">
        <f>IF(BZ6=1,Inputs!$F$15,EOMONTH(BY8,IF(BY8&lt;=Inputs!$F$16,3,6)))</f>
        <v/>
      </c>
      <c r="CA8" s="15">
        <f>IF(CA6=1,Inputs!$F$15,EOMONTH(BZ8,IF(BZ8&lt;=Inputs!$F$16,3,6)))</f>
        <v/>
      </c>
      <c r="CB8" s="15">
        <f>IF(CB6=1,Inputs!$F$15,EOMONTH(CA8,IF(CA8&lt;=Inputs!$F$16,3,6)))</f>
        <v/>
      </c>
      <c r="CC8" s="15">
        <f>IF(CC6=1,Inputs!$F$15,EOMONTH(CB8,IF(CB8&lt;=Inputs!$F$16,3,6)))</f>
        <v/>
      </c>
      <c r="CD8" s="15">
        <f>IF(CD6=1,Inputs!$F$15,EOMONTH(CC8,IF(CC8&lt;=Inputs!$F$16,3,6)))</f>
        <v/>
      </c>
      <c r="CE8" s="15">
        <f>IF(CE6=1,Inputs!$F$15,EOMONTH(CD8,IF(CD8&lt;=Inputs!$F$16,3,6)))</f>
        <v/>
      </c>
      <c r="CF8" s="15">
        <f>IF(CF6=1,Inputs!$F$15,EOMONTH(CE8,IF(CE8&lt;=Inputs!$F$16,3,6)))</f>
        <v/>
      </c>
      <c r="CG8" s="15">
        <f>IF(CG6=1,Inputs!$F$15,EOMONTH(CF8,IF(CF8&lt;=Inputs!$F$16,3,6)))</f>
        <v/>
      </c>
      <c r="CH8" s="15">
        <f>IF(CH6=1,Inputs!$F$15,EOMONTH(CG8,IF(CG8&lt;=Inputs!$F$16,3,6)))</f>
        <v/>
      </c>
      <c r="CI8" s="15">
        <f>IF(CI6=1,Inputs!$F$15,EOMONTH(CH8,IF(CH8&lt;=Inputs!$F$16,3,6)))</f>
        <v/>
      </c>
      <c r="CJ8" s="15">
        <f>IF(CJ6=1,Inputs!$F$15,EOMONTH(CI8,IF(CI8&lt;=Inputs!$F$16,3,6)))</f>
        <v/>
      </c>
      <c r="CK8" s="15">
        <f>IF(CK6=1,Inputs!$F$15,EOMONTH(CJ8,IF(CJ8&lt;=Inputs!$F$16,3,6)))</f>
        <v/>
      </c>
      <c r="CL8" s="15">
        <f>IF(CL6=1,Inputs!$F$15,EOMONTH(CK8,IF(CK8&lt;=Inputs!$F$16,3,6)))</f>
        <v/>
      </c>
      <c r="CM8" s="15">
        <f>IF(CM6=1,Inputs!$F$15,EOMONTH(CL8,IF(CL8&lt;=Inputs!$F$16,3,6)))</f>
        <v/>
      </c>
      <c r="CN8" s="15">
        <f>IF(CN6=1,Inputs!$F$15,EOMONTH(CM8,IF(CM8&lt;=Inputs!$F$16,3,6)))</f>
        <v/>
      </c>
      <c r="CO8" s="15">
        <f>IF(CO6=1,Inputs!$F$15,EOMONTH(CN8,IF(CN8&lt;=Inputs!$F$16,3,6)))</f>
        <v/>
      </c>
      <c r="CP8" s="15">
        <f>IF(CP6=1,Inputs!$F$15,EOMONTH(CO8,IF(CO8&lt;=Inputs!$F$16,3,6)))</f>
        <v/>
      </c>
      <c r="CQ8" s="15">
        <f>IF(CQ6=1,Inputs!$F$15,EOMONTH(CP8,IF(CP8&lt;=Inputs!$F$16,3,6)))</f>
        <v/>
      </c>
      <c r="CR8" s="15">
        <f>IF(CR6=1,Inputs!$F$15,EOMONTH(CQ8,IF(CQ8&lt;=Inputs!$F$16,3,6)))</f>
        <v/>
      </c>
      <c r="CS8" s="15">
        <f>IF(CS6=1,Inputs!$F$15,EOMONTH(CR8,IF(CR8&lt;=Inputs!$F$16,3,6)))</f>
        <v/>
      </c>
      <c r="CT8" s="15">
        <f>IF(CT6=1,Inputs!$F$15,EOMONTH(CS8,IF(CS8&lt;=Inputs!$F$16,3,6)))</f>
        <v/>
      </c>
      <c r="CU8" s="15">
        <f>IF(CU6=1,Inputs!$F$15,EOMONTH(CT8,IF(CT8&lt;=Inputs!$F$16,3,6)))</f>
        <v/>
      </c>
      <c r="CV8" s="15">
        <f>IF(CV6=1,Inputs!$F$15,EOMONTH(CU8,IF(CU8&lt;=Inputs!$F$16,3,6)))</f>
        <v/>
      </c>
      <c r="CW8" s="15">
        <f>IF(CW6=1,Inputs!$F$15,EOMONTH(CV8,IF(CV8&lt;=Inputs!$F$16,3,6)))</f>
        <v/>
      </c>
      <c r="CX8" s="15">
        <f>IF(CX6=1,Inputs!$F$15,EOMONTH(CW8,IF(CW8&lt;=Inputs!$F$16,3,6)))</f>
        <v/>
      </c>
      <c r="CY8" s="15">
        <f>IF(CY6=1,Inputs!$F$15,EOMONTH(CX8,IF(CX8&lt;=Inputs!$F$16,3,6)))</f>
        <v/>
      </c>
      <c r="CZ8" s="15">
        <f>IF(CZ6=1,Inputs!$F$15,EOMONTH(CY8,IF(CY8&lt;=Inputs!$F$16,3,6)))</f>
        <v/>
      </c>
      <c r="DA8" s="15">
        <f>IF(DA6=1,Inputs!$F$15,EOMONTH(CZ8,IF(CZ8&lt;=Inputs!$F$16,3,6)))</f>
        <v/>
      </c>
      <c r="DB8" s="15">
        <f>IF(DB6=1,Inputs!$F$15,EOMONTH(DA8,IF(DA8&lt;=Inputs!$F$16,3,6)))</f>
        <v/>
      </c>
    </row>
    <row r="9">
      <c r="D9" t="inlineStr">
        <is>
          <t>Days in period</t>
        </is>
      </c>
      <c r="E9" t="inlineStr">
        <is>
          <t>days</t>
        </is>
      </c>
      <c r="J9" s="14">
        <f>J8-J7</f>
        <v/>
      </c>
      <c r="K9" s="14">
        <f>K8-K7</f>
        <v/>
      </c>
      <c r="L9" s="14">
        <f>L8-L7</f>
        <v/>
      </c>
      <c r="M9" s="14">
        <f>M8-M7</f>
        <v/>
      </c>
      <c r="N9" s="14">
        <f>N8-N7</f>
        <v/>
      </c>
      <c r="O9" s="14">
        <f>O8-O7</f>
        <v/>
      </c>
      <c r="P9" s="14">
        <f>P8-P7</f>
        <v/>
      </c>
      <c r="Q9" s="14">
        <f>Q8-Q7</f>
        <v/>
      </c>
      <c r="R9" s="14">
        <f>R8-R7</f>
        <v/>
      </c>
      <c r="S9" s="14">
        <f>S8-S7</f>
        <v/>
      </c>
      <c r="T9" s="14">
        <f>T8-T7</f>
        <v/>
      </c>
      <c r="U9" s="14">
        <f>U8-U7</f>
        <v/>
      </c>
      <c r="V9" s="14">
        <f>V8-V7</f>
        <v/>
      </c>
      <c r="W9" s="14">
        <f>W8-W7</f>
        <v/>
      </c>
      <c r="X9" s="14">
        <f>X8-X7</f>
        <v/>
      </c>
      <c r="Y9" s="14">
        <f>Y8-Y7</f>
        <v/>
      </c>
      <c r="Z9" s="14">
        <f>Z8-Z7</f>
        <v/>
      </c>
      <c r="AA9" s="14">
        <f>AA8-AA7</f>
        <v/>
      </c>
      <c r="AB9" s="14">
        <f>AB8-AB7</f>
        <v/>
      </c>
      <c r="AC9" s="14">
        <f>AC8-AC7</f>
        <v/>
      </c>
      <c r="AD9" s="14">
        <f>AD8-AD7</f>
        <v/>
      </c>
      <c r="AE9" s="14">
        <f>AE8-AE7</f>
        <v/>
      </c>
      <c r="AF9" s="14">
        <f>AF8-AF7</f>
        <v/>
      </c>
      <c r="AG9" s="14">
        <f>AG8-AG7</f>
        <v/>
      </c>
      <c r="AH9" s="14">
        <f>AH8-AH7</f>
        <v/>
      </c>
      <c r="AI9" s="14">
        <f>AI8-AI7</f>
        <v/>
      </c>
      <c r="AJ9" s="14">
        <f>AJ8-AJ7</f>
        <v/>
      </c>
      <c r="AK9" s="14">
        <f>AK8-AK7</f>
        <v/>
      </c>
      <c r="AL9" s="14">
        <f>AL8-AL7</f>
        <v/>
      </c>
      <c r="AM9" s="14">
        <f>AM8-AM7</f>
        <v/>
      </c>
      <c r="AN9" s="14">
        <f>AN8-AN7</f>
        <v/>
      </c>
      <c r="AO9" s="14">
        <f>AO8-AO7</f>
        <v/>
      </c>
      <c r="AP9" s="14">
        <f>AP8-AP7</f>
        <v/>
      </c>
      <c r="AQ9" s="14">
        <f>AQ8-AQ7</f>
        <v/>
      </c>
      <c r="AR9" s="14">
        <f>AR8-AR7</f>
        <v/>
      </c>
      <c r="AS9" s="14">
        <f>AS8-AS7</f>
        <v/>
      </c>
      <c r="AT9" s="14">
        <f>AT8-AT7</f>
        <v/>
      </c>
      <c r="AU9" s="14">
        <f>AU8-AU7</f>
        <v/>
      </c>
      <c r="AV9" s="14">
        <f>AV8-AV7</f>
        <v/>
      </c>
      <c r="AW9" s="14">
        <f>AW8-AW7</f>
        <v/>
      </c>
      <c r="AX9" s="14">
        <f>AX8-AX7</f>
        <v/>
      </c>
      <c r="AY9" s="14">
        <f>AY8-AY7</f>
        <v/>
      </c>
      <c r="AZ9" s="14">
        <f>AZ8-AZ7</f>
        <v/>
      </c>
      <c r="BA9" s="14">
        <f>BA8-BA7</f>
        <v/>
      </c>
      <c r="BB9" s="14">
        <f>BB8-BB7</f>
        <v/>
      </c>
      <c r="BC9" s="14">
        <f>BC8-BC7</f>
        <v/>
      </c>
      <c r="BD9" s="14">
        <f>BD8-BD7</f>
        <v/>
      </c>
      <c r="BE9" s="14">
        <f>BE8-BE7</f>
        <v/>
      </c>
      <c r="BF9" s="14">
        <f>BF8-BF7</f>
        <v/>
      </c>
      <c r="BG9" s="14">
        <f>BG8-BG7</f>
        <v/>
      </c>
      <c r="BH9" s="14">
        <f>BH8-BH7</f>
        <v/>
      </c>
      <c r="BI9" s="14">
        <f>BI8-BI7</f>
        <v/>
      </c>
      <c r="BJ9" s="14">
        <f>BJ8-BJ7</f>
        <v/>
      </c>
      <c r="BK9" s="14">
        <f>BK8-BK7</f>
        <v/>
      </c>
      <c r="BL9" s="14">
        <f>BL8-BL7</f>
        <v/>
      </c>
      <c r="BM9" s="14">
        <f>BM8-BM7</f>
        <v/>
      </c>
      <c r="BN9" s="14">
        <f>BN8-BN7</f>
        <v/>
      </c>
      <c r="BO9" s="14">
        <f>BO8-BO7</f>
        <v/>
      </c>
      <c r="BP9" s="14">
        <f>BP8-BP7</f>
        <v/>
      </c>
      <c r="BQ9" s="14">
        <f>BQ8-BQ7</f>
        <v/>
      </c>
      <c r="BR9" s="14">
        <f>BR8-BR7</f>
        <v/>
      </c>
      <c r="BS9" s="14">
        <f>BS8-BS7</f>
        <v/>
      </c>
      <c r="BT9" s="14">
        <f>BT8-BT7</f>
        <v/>
      </c>
      <c r="BU9" s="14">
        <f>BU8-BU7</f>
        <v/>
      </c>
      <c r="BV9" s="14">
        <f>BV8-BV7</f>
        <v/>
      </c>
      <c r="BW9" s="14">
        <f>BW8-BW7</f>
        <v/>
      </c>
      <c r="BX9" s="14">
        <f>BX8-BX7</f>
        <v/>
      </c>
      <c r="BY9" s="14">
        <f>BY8-BY7</f>
        <v/>
      </c>
      <c r="BZ9" s="14">
        <f>BZ8-BZ7</f>
        <v/>
      </c>
      <c r="CA9" s="14">
        <f>CA8-CA7</f>
        <v/>
      </c>
      <c r="CB9" s="14">
        <f>CB8-CB7</f>
        <v/>
      </c>
      <c r="CC9" s="14">
        <f>CC8-CC7</f>
        <v/>
      </c>
      <c r="CD9" s="14">
        <f>CD8-CD7</f>
        <v/>
      </c>
      <c r="CE9" s="14">
        <f>CE8-CE7</f>
        <v/>
      </c>
      <c r="CF9" s="14">
        <f>CF8-CF7</f>
        <v/>
      </c>
      <c r="CG9" s="14">
        <f>CG8-CG7</f>
        <v/>
      </c>
      <c r="CH9" s="14">
        <f>CH8-CH7</f>
        <v/>
      </c>
      <c r="CI9" s="14">
        <f>CI8-CI7</f>
        <v/>
      </c>
      <c r="CJ9" s="14">
        <f>CJ8-CJ7</f>
        <v/>
      </c>
      <c r="CK9" s="14">
        <f>CK8-CK7</f>
        <v/>
      </c>
      <c r="CL9" s="14">
        <f>CL8-CL7</f>
        <v/>
      </c>
      <c r="CM9" s="14">
        <f>CM8-CM7</f>
        <v/>
      </c>
      <c r="CN9" s="14">
        <f>CN8-CN7</f>
        <v/>
      </c>
      <c r="CO9" s="14">
        <f>CO8-CO7</f>
        <v/>
      </c>
      <c r="CP9" s="14">
        <f>CP8-CP7</f>
        <v/>
      </c>
      <c r="CQ9" s="14">
        <f>CQ8-CQ7</f>
        <v/>
      </c>
      <c r="CR9" s="14">
        <f>CR8-CR7</f>
        <v/>
      </c>
      <c r="CS9" s="14">
        <f>CS8-CS7</f>
        <v/>
      </c>
      <c r="CT9" s="14">
        <f>CT8-CT7</f>
        <v/>
      </c>
      <c r="CU9" s="14">
        <f>CU8-CU7</f>
        <v/>
      </c>
      <c r="CV9" s="14">
        <f>CV8-CV7</f>
        <v/>
      </c>
      <c r="CW9" s="14">
        <f>CW8-CW7</f>
        <v/>
      </c>
      <c r="CX9" s="14">
        <f>CX8-CX7</f>
        <v/>
      </c>
      <c r="CY9" s="14">
        <f>CY8-CY7</f>
        <v/>
      </c>
      <c r="CZ9" s="14">
        <f>CZ8-CZ7</f>
        <v/>
      </c>
      <c r="DA9" s="14">
        <f>DA8-DA7</f>
        <v/>
      </c>
      <c r="DB9" s="14">
        <f>DB8-DB7</f>
        <v/>
      </c>
    </row>
    <row r="10">
      <c r="D10" t="inlineStr">
        <is>
          <t>Days in period (30/360)</t>
        </is>
      </c>
      <c r="E10" t="inlineStr">
        <is>
          <t>days</t>
        </is>
      </c>
      <c r="J10" s="14">
        <f>Inputs!$F$47*(YEAR(J8)-YEAR(J7))+30*(MONTH(J8)-MONTH(J7))+MIN(DAY(J8),30)-MIN(DAY(J7),30)</f>
        <v/>
      </c>
      <c r="K10" s="14">
        <f>Inputs!$F$47*(YEAR(K8)-YEAR(K7))+30*(MONTH(K8)-MONTH(K7))+MIN(DAY(K8),30)-MIN(DAY(K7),30)</f>
        <v/>
      </c>
      <c r="L10" s="14">
        <f>Inputs!$F$47*(YEAR(L8)-YEAR(L7))+30*(MONTH(L8)-MONTH(L7))+MIN(DAY(L8),30)-MIN(DAY(L7),30)</f>
        <v/>
      </c>
      <c r="M10" s="14">
        <f>Inputs!$F$47*(YEAR(M8)-YEAR(M7))+30*(MONTH(M8)-MONTH(M7))+MIN(DAY(M8),30)-MIN(DAY(M7),30)</f>
        <v/>
      </c>
      <c r="N10" s="14">
        <f>Inputs!$F$47*(YEAR(N8)-YEAR(N7))+30*(MONTH(N8)-MONTH(N7))+MIN(DAY(N8),30)-MIN(DAY(N7),30)</f>
        <v/>
      </c>
      <c r="O10" s="14">
        <f>Inputs!$F$47*(YEAR(O8)-YEAR(O7))+30*(MONTH(O8)-MONTH(O7))+MIN(DAY(O8),30)-MIN(DAY(O7),30)</f>
        <v/>
      </c>
      <c r="P10" s="14">
        <f>Inputs!$F$47*(YEAR(P8)-YEAR(P7))+30*(MONTH(P8)-MONTH(P7))+MIN(DAY(P8),30)-MIN(DAY(P7),30)</f>
        <v/>
      </c>
      <c r="Q10" s="14">
        <f>Inputs!$F$47*(YEAR(Q8)-YEAR(Q7))+30*(MONTH(Q8)-MONTH(Q7))+MIN(DAY(Q8),30)-MIN(DAY(Q7),30)</f>
        <v/>
      </c>
      <c r="R10" s="14">
        <f>Inputs!$F$47*(YEAR(R8)-YEAR(R7))+30*(MONTH(R8)-MONTH(R7))+MIN(DAY(R8),30)-MIN(DAY(R7),30)</f>
        <v/>
      </c>
      <c r="S10" s="14">
        <f>Inputs!$F$47*(YEAR(S8)-YEAR(S7))+30*(MONTH(S8)-MONTH(S7))+MIN(DAY(S8),30)-MIN(DAY(S7),30)</f>
        <v/>
      </c>
      <c r="T10" s="14">
        <f>Inputs!$F$47*(YEAR(T8)-YEAR(T7))+30*(MONTH(T8)-MONTH(T7))+MIN(DAY(T8),30)-MIN(DAY(T7),30)</f>
        <v/>
      </c>
      <c r="U10" s="14">
        <f>Inputs!$F$47*(YEAR(U8)-YEAR(U7))+30*(MONTH(U8)-MONTH(U7))+MIN(DAY(U8),30)-MIN(DAY(U7),30)</f>
        <v/>
      </c>
      <c r="V10" s="14">
        <f>Inputs!$F$47*(YEAR(V8)-YEAR(V7))+30*(MONTH(V8)-MONTH(V7))+MIN(DAY(V8),30)-MIN(DAY(V7),30)</f>
        <v/>
      </c>
      <c r="W10" s="14">
        <f>Inputs!$F$47*(YEAR(W8)-YEAR(W7))+30*(MONTH(W8)-MONTH(W7))+MIN(DAY(W8),30)-MIN(DAY(W7),30)</f>
        <v/>
      </c>
      <c r="X10" s="14">
        <f>Inputs!$F$47*(YEAR(X8)-YEAR(X7))+30*(MONTH(X8)-MONTH(X7))+MIN(DAY(X8),30)-MIN(DAY(X7),30)</f>
        <v/>
      </c>
      <c r="Y10" s="14">
        <f>Inputs!$F$47*(YEAR(Y8)-YEAR(Y7))+30*(MONTH(Y8)-MONTH(Y7))+MIN(DAY(Y8),30)-MIN(DAY(Y7),30)</f>
        <v/>
      </c>
      <c r="Z10" s="14">
        <f>Inputs!$F$47*(YEAR(Z8)-YEAR(Z7))+30*(MONTH(Z8)-MONTH(Z7))+MIN(DAY(Z8),30)-MIN(DAY(Z7),30)</f>
        <v/>
      </c>
      <c r="AA10" s="14">
        <f>Inputs!$F$47*(YEAR(AA8)-YEAR(AA7))+30*(MONTH(AA8)-MONTH(AA7))+MIN(DAY(AA8),30)-MIN(DAY(AA7),30)</f>
        <v/>
      </c>
      <c r="AB10" s="14">
        <f>Inputs!$F$47*(YEAR(AB8)-YEAR(AB7))+30*(MONTH(AB8)-MONTH(AB7))+MIN(DAY(AB8),30)-MIN(DAY(AB7),30)</f>
        <v/>
      </c>
      <c r="AC10" s="14">
        <f>Inputs!$F$47*(YEAR(AC8)-YEAR(AC7))+30*(MONTH(AC8)-MONTH(AC7))+MIN(DAY(AC8),30)-MIN(DAY(AC7),30)</f>
        <v/>
      </c>
      <c r="AD10" s="14">
        <f>Inputs!$F$47*(YEAR(AD8)-YEAR(AD7))+30*(MONTH(AD8)-MONTH(AD7))+MIN(DAY(AD8),30)-MIN(DAY(AD7),30)</f>
        <v/>
      </c>
      <c r="AE10" s="14">
        <f>Inputs!$F$47*(YEAR(AE8)-YEAR(AE7))+30*(MONTH(AE8)-MONTH(AE7))+MIN(DAY(AE8),30)-MIN(DAY(AE7),30)</f>
        <v/>
      </c>
      <c r="AF10" s="14">
        <f>Inputs!$F$47*(YEAR(AF8)-YEAR(AF7))+30*(MONTH(AF8)-MONTH(AF7))+MIN(DAY(AF8),30)-MIN(DAY(AF7),30)</f>
        <v/>
      </c>
      <c r="AG10" s="14">
        <f>Inputs!$F$47*(YEAR(AG8)-YEAR(AG7))+30*(MONTH(AG8)-MONTH(AG7))+MIN(DAY(AG8),30)-MIN(DAY(AG7),30)</f>
        <v/>
      </c>
      <c r="AH10" s="14">
        <f>Inputs!$F$47*(YEAR(AH8)-YEAR(AH7))+30*(MONTH(AH8)-MONTH(AH7))+MIN(DAY(AH8),30)-MIN(DAY(AH7),30)</f>
        <v/>
      </c>
      <c r="AI10" s="14">
        <f>Inputs!$F$47*(YEAR(AI8)-YEAR(AI7))+30*(MONTH(AI8)-MONTH(AI7))+MIN(DAY(AI8),30)-MIN(DAY(AI7),30)</f>
        <v/>
      </c>
      <c r="AJ10" s="14">
        <f>Inputs!$F$47*(YEAR(AJ8)-YEAR(AJ7))+30*(MONTH(AJ8)-MONTH(AJ7))+MIN(DAY(AJ8),30)-MIN(DAY(AJ7),30)</f>
        <v/>
      </c>
      <c r="AK10" s="14">
        <f>Inputs!$F$47*(YEAR(AK8)-YEAR(AK7))+30*(MONTH(AK8)-MONTH(AK7))+MIN(DAY(AK8),30)-MIN(DAY(AK7),30)</f>
        <v/>
      </c>
      <c r="AL10" s="14">
        <f>Inputs!$F$47*(YEAR(AL8)-YEAR(AL7))+30*(MONTH(AL8)-MONTH(AL7))+MIN(DAY(AL8),30)-MIN(DAY(AL7),30)</f>
        <v/>
      </c>
      <c r="AM10" s="14">
        <f>Inputs!$F$47*(YEAR(AM8)-YEAR(AM7))+30*(MONTH(AM8)-MONTH(AM7))+MIN(DAY(AM8),30)-MIN(DAY(AM7),30)</f>
        <v/>
      </c>
      <c r="AN10" s="14">
        <f>Inputs!$F$47*(YEAR(AN8)-YEAR(AN7))+30*(MONTH(AN8)-MONTH(AN7))+MIN(DAY(AN8),30)-MIN(DAY(AN7),30)</f>
        <v/>
      </c>
      <c r="AO10" s="14">
        <f>Inputs!$F$47*(YEAR(AO8)-YEAR(AO7))+30*(MONTH(AO8)-MONTH(AO7))+MIN(DAY(AO8),30)-MIN(DAY(AO7),30)</f>
        <v/>
      </c>
      <c r="AP10" s="14">
        <f>Inputs!$F$47*(YEAR(AP8)-YEAR(AP7))+30*(MONTH(AP8)-MONTH(AP7))+MIN(DAY(AP8),30)-MIN(DAY(AP7),30)</f>
        <v/>
      </c>
      <c r="AQ10" s="14">
        <f>Inputs!$F$47*(YEAR(AQ8)-YEAR(AQ7))+30*(MONTH(AQ8)-MONTH(AQ7))+MIN(DAY(AQ8),30)-MIN(DAY(AQ7),30)</f>
        <v/>
      </c>
      <c r="AR10" s="14">
        <f>Inputs!$F$47*(YEAR(AR8)-YEAR(AR7))+30*(MONTH(AR8)-MONTH(AR7))+MIN(DAY(AR8),30)-MIN(DAY(AR7),30)</f>
        <v/>
      </c>
      <c r="AS10" s="14">
        <f>Inputs!$F$47*(YEAR(AS8)-YEAR(AS7))+30*(MONTH(AS8)-MONTH(AS7))+MIN(DAY(AS8),30)-MIN(DAY(AS7),30)</f>
        <v/>
      </c>
      <c r="AT10" s="14">
        <f>Inputs!$F$47*(YEAR(AT8)-YEAR(AT7))+30*(MONTH(AT8)-MONTH(AT7))+MIN(DAY(AT8),30)-MIN(DAY(AT7),30)</f>
        <v/>
      </c>
      <c r="AU10" s="14">
        <f>Inputs!$F$47*(YEAR(AU8)-YEAR(AU7))+30*(MONTH(AU8)-MONTH(AU7))+MIN(DAY(AU8),30)-MIN(DAY(AU7),30)</f>
        <v/>
      </c>
      <c r="AV10" s="14">
        <f>Inputs!$F$47*(YEAR(AV8)-YEAR(AV7))+30*(MONTH(AV8)-MONTH(AV7))+MIN(DAY(AV8),30)-MIN(DAY(AV7),30)</f>
        <v/>
      </c>
      <c r="AW10" s="14">
        <f>Inputs!$F$47*(YEAR(AW8)-YEAR(AW7))+30*(MONTH(AW8)-MONTH(AW7))+MIN(DAY(AW8),30)-MIN(DAY(AW7),30)</f>
        <v/>
      </c>
      <c r="AX10" s="14">
        <f>Inputs!$F$47*(YEAR(AX8)-YEAR(AX7))+30*(MONTH(AX8)-MONTH(AX7))+MIN(DAY(AX8),30)-MIN(DAY(AX7),30)</f>
        <v/>
      </c>
      <c r="AY10" s="14">
        <f>Inputs!$F$47*(YEAR(AY8)-YEAR(AY7))+30*(MONTH(AY8)-MONTH(AY7))+MIN(DAY(AY8),30)-MIN(DAY(AY7),30)</f>
        <v/>
      </c>
      <c r="AZ10" s="14">
        <f>Inputs!$F$47*(YEAR(AZ8)-YEAR(AZ7))+30*(MONTH(AZ8)-MONTH(AZ7))+MIN(DAY(AZ8),30)-MIN(DAY(AZ7),30)</f>
        <v/>
      </c>
      <c r="BA10" s="14">
        <f>Inputs!$F$47*(YEAR(BA8)-YEAR(BA7))+30*(MONTH(BA8)-MONTH(BA7))+MIN(DAY(BA8),30)-MIN(DAY(BA7),30)</f>
        <v/>
      </c>
      <c r="BB10" s="14">
        <f>Inputs!$F$47*(YEAR(BB8)-YEAR(BB7))+30*(MONTH(BB8)-MONTH(BB7))+MIN(DAY(BB8),30)-MIN(DAY(BB7),30)</f>
        <v/>
      </c>
      <c r="BC10" s="14">
        <f>Inputs!$F$47*(YEAR(BC8)-YEAR(BC7))+30*(MONTH(BC8)-MONTH(BC7))+MIN(DAY(BC8),30)-MIN(DAY(BC7),30)</f>
        <v/>
      </c>
      <c r="BD10" s="14">
        <f>Inputs!$F$47*(YEAR(BD8)-YEAR(BD7))+30*(MONTH(BD8)-MONTH(BD7))+MIN(DAY(BD8),30)-MIN(DAY(BD7),30)</f>
        <v/>
      </c>
      <c r="BE10" s="14">
        <f>Inputs!$F$47*(YEAR(BE8)-YEAR(BE7))+30*(MONTH(BE8)-MONTH(BE7))+MIN(DAY(BE8),30)-MIN(DAY(BE7),30)</f>
        <v/>
      </c>
      <c r="BF10" s="14">
        <f>Inputs!$F$47*(YEAR(BF8)-YEAR(BF7))+30*(MONTH(BF8)-MONTH(BF7))+MIN(DAY(BF8),30)-MIN(DAY(BF7),30)</f>
        <v/>
      </c>
      <c r="BG10" s="14">
        <f>Inputs!$F$47*(YEAR(BG8)-YEAR(BG7))+30*(MONTH(BG8)-MONTH(BG7))+MIN(DAY(BG8),30)-MIN(DAY(BG7),30)</f>
        <v/>
      </c>
      <c r="BH10" s="14">
        <f>Inputs!$F$47*(YEAR(BH8)-YEAR(BH7))+30*(MONTH(BH8)-MONTH(BH7))+MIN(DAY(BH8),30)-MIN(DAY(BH7),30)</f>
        <v/>
      </c>
      <c r="BI10" s="14">
        <f>Inputs!$F$47*(YEAR(BI8)-YEAR(BI7))+30*(MONTH(BI8)-MONTH(BI7))+MIN(DAY(BI8),30)-MIN(DAY(BI7),30)</f>
        <v/>
      </c>
      <c r="BJ10" s="14">
        <f>Inputs!$F$47*(YEAR(BJ8)-YEAR(BJ7))+30*(MONTH(BJ8)-MONTH(BJ7))+MIN(DAY(BJ8),30)-MIN(DAY(BJ7),30)</f>
        <v/>
      </c>
      <c r="BK10" s="14">
        <f>Inputs!$F$47*(YEAR(BK8)-YEAR(BK7))+30*(MONTH(BK8)-MONTH(BK7))+MIN(DAY(BK8),30)-MIN(DAY(BK7),30)</f>
        <v/>
      </c>
      <c r="BL10" s="14">
        <f>Inputs!$F$47*(YEAR(BL8)-YEAR(BL7))+30*(MONTH(BL8)-MONTH(BL7))+MIN(DAY(BL8),30)-MIN(DAY(BL7),30)</f>
        <v/>
      </c>
      <c r="BM10" s="14">
        <f>Inputs!$F$47*(YEAR(BM8)-YEAR(BM7))+30*(MONTH(BM8)-MONTH(BM7))+MIN(DAY(BM8),30)-MIN(DAY(BM7),30)</f>
        <v/>
      </c>
      <c r="BN10" s="14">
        <f>Inputs!$F$47*(YEAR(BN8)-YEAR(BN7))+30*(MONTH(BN8)-MONTH(BN7))+MIN(DAY(BN8),30)-MIN(DAY(BN7),30)</f>
        <v/>
      </c>
      <c r="BO10" s="14">
        <f>Inputs!$F$47*(YEAR(BO8)-YEAR(BO7))+30*(MONTH(BO8)-MONTH(BO7))+MIN(DAY(BO8),30)-MIN(DAY(BO7),30)</f>
        <v/>
      </c>
      <c r="BP10" s="14">
        <f>Inputs!$F$47*(YEAR(BP8)-YEAR(BP7))+30*(MONTH(BP8)-MONTH(BP7))+MIN(DAY(BP8),30)-MIN(DAY(BP7),30)</f>
        <v/>
      </c>
      <c r="BQ10" s="14">
        <f>Inputs!$F$47*(YEAR(BQ8)-YEAR(BQ7))+30*(MONTH(BQ8)-MONTH(BQ7))+MIN(DAY(BQ8),30)-MIN(DAY(BQ7),30)</f>
        <v/>
      </c>
      <c r="BR10" s="14">
        <f>Inputs!$F$47*(YEAR(BR8)-YEAR(BR7))+30*(MONTH(BR8)-MONTH(BR7))+MIN(DAY(BR8),30)-MIN(DAY(BR7),30)</f>
        <v/>
      </c>
      <c r="BS10" s="14">
        <f>Inputs!$F$47*(YEAR(BS8)-YEAR(BS7))+30*(MONTH(BS8)-MONTH(BS7))+MIN(DAY(BS8),30)-MIN(DAY(BS7),30)</f>
        <v/>
      </c>
      <c r="BT10" s="14">
        <f>Inputs!$F$47*(YEAR(BT8)-YEAR(BT7))+30*(MONTH(BT8)-MONTH(BT7))+MIN(DAY(BT8),30)-MIN(DAY(BT7),30)</f>
        <v/>
      </c>
      <c r="BU10" s="14">
        <f>Inputs!$F$47*(YEAR(BU8)-YEAR(BU7))+30*(MONTH(BU8)-MONTH(BU7))+MIN(DAY(BU8),30)-MIN(DAY(BU7),30)</f>
        <v/>
      </c>
      <c r="BV10" s="14">
        <f>Inputs!$F$47*(YEAR(BV8)-YEAR(BV7))+30*(MONTH(BV8)-MONTH(BV7))+MIN(DAY(BV8),30)-MIN(DAY(BV7),30)</f>
        <v/>
      </c>
      <c r="BW10" s="14">
        <f>Inputs!$F$47*(YEAR(BW8)-YEAR(BW7))+30*(MONTH(BW8)-MONTH(BW7))+MIN(DAY(BW8),30)-MIN(DAY(BW7),30)</f>
        <v/>
      </c>
      <c r="BX10" s="14">
        <f>Inputs!$F$47*(YEAR(BX8)-YEAR(BX7))+30*(MONTH(BX8)-MONTH(BX7))+MIN(DAY(BX8),30)-MIN(DAY(BX7),30)</f>
        <v/>
      </c>
      <c r="BY10" s="14">
        <f>Inputs!$F$47*(YEAR(BY8)-YEAR(BY7))+30*(MONTH(BY8)-MONTH(BY7))+MIN(DAY(BY8),30)-MIN(DAY(BY7),30)</f>
        <v/>
      </c>
      <c r="BZ10" s="14">
        <f>Inputs!$F$47*(YEAR(BZ8)-YEAR(BZ7))+30*(MONTH(BZ8)-MONTH(BZ7))+MIN(DAY(BZ8),30)-MIN(DAY(BZ7),30)</f>
        <v/>
      </c>
      <c r="CA10" s="14">
        <f>Inputs!$F$47*(YEAR(CA8)-YEAR(CA7))+30*(MONTH(CA8)-MONTH(CA7))+MIN(DAY(CA8),30)-MIN(DAY(CA7),30)</f>
        <v/>
      </c>
      <c r="CB10" s="14">
        <f>Inputs!$F$47*(YEAR(CB8)-YEAR(CB7))+30*(MONTH(CB8)-MONTH(CB7))+MIN(DAY(CB8),30)-MIN(DAY(CB7),30)</f>
        <v/>
      </c>
      <c r="CC10" s="14">
        <f>Inputs!$F$47*(YEAR(CC8)-YEAR(CC7))+30*(MONTH(CC8)-MONTH(CC7))+MIN(DAY(CC8),30)-MIN(DAY(CC7),30)</f>
        <v/>
      </c>
      <c r="CD10" s="14">
        <f>Inputs!$F$47*(YEAR(CD8)-YEAR(CD7))+30*(MONTH(CD8)-MONTH(CD7))+MIN(DAY(CD8),30)-MIN(DAY(CD7),30)</f>
        <v/>
      </c>
      <c r="CE10" s="14">
        <f>Inputs!$F$47*(YEAR(CE8)-YEAR(CE7))+30*(MONTH(CE8)-MONTH(CE7))+MIN(DAY(CE8),30)-MIN(DAY(CE7),30)</f>
        <v/>
      </c>
      <c r="CF10" s="14">
        <f>Inputs!$F$47*(YEAR(CF8)-YEAR(CF7))+30*(MONTH(CF8)-MONTH(CF7))+MIN(DAY(CF8),30)-MIN(DAY(CF7),30)</f>
        <v/>
      </c>
      <c r="CG10" s="14">
        <f>Inputs!$F$47*(YEAR(CG8)-YEAR(CG7))+30*(MONTH(CG8)-MONTH(CG7))+MIN(DAY(CG8),30)-MIN(DAY(CG7),30)</f>
        <v/>
      </c>
      <c r="CH10" s="14">
        <f>Inputs!$F$47*(YEAR(CH8)-YEAR(CH7))+30*(MONTH(CH8)-MONTH(CH7))+MIN(DAY(CH8),30)-MIN(DAY(CH7),30)</f>
        <v/>
      </c>
      <c r="CI10" s="14">
        <f>Inputs!$F$47*(YEAR(CI8)-YEAR(CI7))+30*(MONTH(CI8)-MONTH(CI7))+MIN(DAY(CI8),30)-MIN(DAY(CI7),30)</f>
        <v/>
      </c>
      <c r="CJ10" s="14">
        <f>Inputs!$F$47*(YEAR(CJ8)-YEAR(CJ7))+30*(MONTH(CJ8)-MONTH(CJ7))+MIN(DAY(CJ8),30)-MIN(DAY(CJ7),30)</f>
        <v/>
      </c>
      <c r="CK10" s="14">
        <f>Inputs!$F$47*(YEAR(CK8)-YEAR(CK7))+30*(MONTH(CK8)-MONTH(CK7))+MIN(DAY(CK8),30)-MIN(DAY(CK7),30)</f>
        <v/>
      </c>
      <c r="CL10" s="14">
        <f>Inputs!$F$47*(YEAR(CL8)-YEAR(CL7))+30*(MONTH(CL8)-MONTH(CL7))+MIN(DAY(CL8),30)-MIN(DAY(CL7),30)</f>
        <v/>
      </c>
      <c r="CM10" s="14">
        <f>Inputs!$F$47*(YEAR(CM8)-YEAR(CM7))+30*(MONTH(CM8)-MONTH(CM7))+MIN(DAY(CM8),30)-MIN(DAY(CM7),30)</f>
        <v/>
      </c>
      <c r="CN10" s="14">
        <f>Inputs!$F$47*(YEAR(CN8)-YEAR(CN7))+30*(MONTH(CN8)-MONTH(CN7))+MIN(DAY(CN8),30)-MIN(DAY(CN7),30)</f>
        <v/>
      </c>
      <c r="CO10" s="14">
        <f>Inputs!$F$47*(YEAR(CO8)-YEAR(CO7))+30*(MONTH(CO8)-MONTH(CO7))+MIN(DAY(CO8),30)-MIN(DAY(CO7),30)</f>
        <v/>
      </c>
      <c r="CP10" s="14">
        <f>Inputs!$F$47*(YEAR(CP8)-YEAR(CP7))+30*(MONTH(CP8)-MONTH(CP7))+MIN(DAY(CP8),30)-MIN(DAY(CP7),30)</f>
        <v/>
      </c>
      <c r="CQ10" s="14">
        <f>Inputs!$F$47*(YEAR(CQ8)-YEAR(CQ7))+30*(MONTH(CQ8)-MONTH(CQ7))+MIN(DAY(CQ8),30)-MIN(DAY(CQ7),30)</f>
        <v/>
      </c>
      <c r="CR10" s="14">
        <f>Inputs!$F$47*(YEAR(CR8)-YEAR(CR7))+30*(MONTH(CR8)-MONTH(CR7))+MIN(DAY(CR8),30)-MIN(DAY(CR7),30)</f>
        <v/>
      </c>
      <c r="CS10" s="14">
        <f>Inputs!$F$47*(YEAR(CS8)-YEAR(CS7))+30*(MONTH(CS8)-MONTH(CS7))+MIN(DAY(CS8),30)-MIN(DAY(CS7),30)</f>
        <v/>
      </c>
      <c r="CT10" s="14">
        <f>Inputs!$F$47*(YEAR(CT8)-YEAR(CT7))+30*(MONTH(CT8)-MONTH(CT7))+MIN(DAY(CT8),30)-MIN(DAY(CT7),30)</f>
        <v/>
      </c>
      <c r="CU10" s="14">
        <f>Inputs!$F$47*(YEAR(CU8)-YEAR(CU7))+30*(MONTH(CU8)-MONTH(CU7))+MIN(DAY(CU8),30)-MIN(DAY(CU7),30)</f>
        <v/>
      </c>
      <c r="CV10" s="14">
        <f>Inputs!$F$47*(YEAR(CV8)-YEAR(CV7))+30*(MONTH(CV8)-MONTH(CV7))+MIN(DAY(CV8),30)-MIN(DAY(CV7),30)</f>
        <v/>
      </c>
      <c r="CW10" s="14">
        <f>Inputs!$F$47*(YEAR(CW8)-YEAR(CW7))+30*(MONTH(CW8)-MONTH(CW7))+MIN(DAY(CW8),30)-MIN(DAY(CW7),30)</f>
        <v/>
      </c>
      <c r="CX10" s="14">
        <f>Inputs!$F$47*(YEAR(CX8)-YEAR(CX7))+30*(MONTH(CX8)-MONTH(CX7))+MIN(DAY(CX8),30)-MIN(DAY(CX7),30)</f>
        <v/>
      </c>
      <c r="CY10" s="14">
        <f>Inputs!$F$47*(YEAR(CY8)-YEAR(CY7))+30*(MONTH(CY8)-MONTH(CY7))+MIN(DAY(CY8),30)-MIN(DAY(CY7),30)</f>
        <v/>
      </c>
      <c r="CZ10" s="14">
        <f>Inputs!$F$47*(YEAR(CZ8)-YEAR(CZ7))+30*(MONTH(CZ8)-MONTH(CZ7))+MIN(DAY(CZ8),30)-MIN(DAY(CZ7),30)</f>
        <v/>
      </c>
      <c r="DA10" s="14">
        <f>Inputs!$F$47*(YEAR(DA8)-YEAR(DA7))+30*(MONTH(DA8)-MONTH(DA7))+MIN(DAY(DA8),30)-MIN(DAY(DA7),30)</f>
        <v/>
      </c>
      <c r="DB10" s="14">
        <f>Inputs!$F$47*(YEAR(DB8)-YEAR(DB7))+30*(MONTH(DB8)-MONTH(DB7))+MIN(DAY(DB8),30)-MIN(DAY(DB7),30)</f>
        <v/>
      </c>
    </row>
    <row r="11">
      <c r="D11" t="inlineStr">
        <is>
          <t>Calendar year</t>
        </is>
      </c>
      <c r="E11" t="inlineStr">
        <is>
          <t>year</t>
        </is>
      </c>
      <c r="J11" s="14">
        <f>YEAR(J8)</f>
        <v/>
      </c>
      <c r="K11" s="14">
        <f>YEAR(K8)</f>
        <v/>
      </c>
      <c r="L11" s="14">
        <f>YEAR(L8)</f>
        <v/>
      </c>
      <c r="M11" s="14">
        <f>YEAR(M8)</f>
        <v/>
      </c>
      <c r="N11" s="14">
        <f>YEAR(N8)</f>
        <v/>
      </c>
      <c r="O11" s="14">
        <f>YEAR(O8)</f>
        <v/>
      </c>
      <c r="P11" s="14">
        <f>YEAR(P8)</f>
        <v/>
      </c>
      <c r="Q11" s="14">
        <f>YEAR(Q8)</f>
        <v/>
      </c>
      <c r="R11" s="14">
        <f>YEAR(R8)</f>
        <v/>
      </c>
      <c r="S11" s="14">
        <f>YEAR(S8)</f>
        <v/>
      </c>
      <c r="T11" s="14">
        <f>YEAR(T8)</f>
        <v/>
      </c>
      <c r="U11" s="14">
        <f>YEAR(U8)</f>
        <v/>
      </c>
      <c r="V11" s="14">
        <f>YEAR(V8)</f>
        <v/>
      </c>
      <c r="W11" s="14">
        <f>YEAR(W8)</f>
        <v/>
      </c>
      <c r="X11" s="14">
        <f>YEAR(X8)</f>
        <v/>
      </c>
      <c r="Y11" s="14">
        <f>YEAR(Y8)</f>
        <v/>
      </c>
      <c r="Z11" s="14">
        <f>YEAR(Z8)</f>
        <v/>
      </c>
      <c r="AA11" s="14">
        <f>YEAR(AA8)</f>
        <v/>
      </c>
      <c r="AB11" s="14">
        <f>YEAR(AB8)</f>
        <v/>
      </c>
      <c r="AC11" s="14">
        <f>YEAR(AC8)</f>
        <v/>
      </c>
      <c r="AD11" s="14">
        <f>YEAR(AD8)</f>
        <v/>
      </c>
      <c r="AE11" s="14">
        <f>YEAR(AE8)</f>
        <v/>
      </c>
      <c r="AF11" s="14">
        <f>YEAR(AF8)</f>
        <v/>
      </c>
      <c r="AG11" s="14">
        <f>YEAR(AG8)</f>
        <v/>
      </c>
      <c r="AH11" s="14">
        <f>YEAR(AH8)</f>
        <v/>
      </c>
      <c r="AI11" s="14">
        <f>YEAR(AI8)</f>
        <v/>
      </c>
      <c r="AJ11" s="14">
        <f>YEAR(AJ8)</f>
        <v/>
      </c>
      <c r="AK11" s="14">
        <f>YEAR(AK8)</f>
        <v/>
      </c>
      <c r="AL11" s="14">
        <f>YEAR(AL8)</f>
        <v/>
      </c>
      <c r="AM11" s="14">
        <f>YEAR(AM8)</f>
        <v/>
      </c>
      <c r="AN11" s="14">
        <f>YEAR(AN8)</f>
        <v/>
      </c>
      <c r="AO11" s="14">
        <f>YEAR(AO8)</f>
        <v/>
      </c>
      <c r="AP11" s="14">
        <f>YEAR(AP8)</f>
        <v/>
      </c>
      <c r="AQ11" s="14">
        <f>YEAR(AQ8)</f>
        <v/>
      </c>
      <c r="AR11" s="14">
        <f>YEAR(AR8)</f>
        <v/>
      </c>
      <c r="AS11" s="14">
        <f>YEAR(AS8)</f>
        <v/>
      </c>
      <c r="AT11" s="14">
        <f>YEAR(AT8)</f>
        <v/>
      </c>
      <c r="AU11" s="14">
        <f>YEAR(AU8)</f>
        <v/>
      </c>
      <c r="AV11" s="14">
        <f>YEAR(AV8)</f>
        <v/>
      </c>
      <c r="AW11" s="14">
        <f>YEAR(AW8)</f>
        <v/>
      </c>
      <c r="AX11" s="14">
        <f>YEAR(AX8)</f>
        <v/>
      </c>
      <c r="AY11" s="14">
        <f>YEAR(AY8)</f>
        <v/>
      </c>
      <c r="AZ11" s="14">
        <f>YEAR(AZ8)</f>
        <v/>
      </c>
      <c r="BA11" s="14">
        <f>YEAR(BA8)</f>
        <v/>
      </c>
      <c r="BB11" s="14">
        <f>YEAR(BB8)</f>
        <v/>
      </c>
      <c r="BC11" s="14">
        <f>YEAR(BC8)</f>
        <v/>
      </c>
      <c r="BD11" s="14">
        <f>YEAR(BD8)</f>
        <v/>
      </c>
      <c r="BE11" s="14">
        <f>YEAR(BE8)</f>
        <v/>
      </c>
      <c r="BF11" s="14">
        <f>YEAR(BF8)</f>
        <v/>
      </c>
      <c r="BG11" s="14">
        <f>YEAR(BG8)</f>
        <v/>
      </c>
      <c r="BH11" s="14">
        <f>YEAR(BH8)</f>
        <v/>
      </c>
      <c r="BI11" s="14">
        <f>YEAR(BI8)</f>
        <v/>
      </c>
      <c r="BJ11" s="14">
        <f>YEAR(BJ8)</f>
        <v/>
      </c>
      <c r="BK11" s="14">
        <f>YEAR(BK8)</f>
        <v/>
      </c>
      <c r="BL11" s="14">
        <f>YEAR(BL8)</f>
        <v/>
      </c>
      <c r="BM11" s="14">
        <f>YEAR(BM8)</f>
        <v/>
      </c>
      <c r="BN11" s="14">
        <f>YEAR(BN8)</f>
        <v/>
      </c>
      <c r="BO11" s="14">
        <f>YEAR(BO8)</f>
        <v/>
      </c>
      <c r="BP11" s="14">
        <f>YEAR(BP8)</f>
        <v/>
      </c>
      <c r="BQ11" s="14">
        <f>YEAR(BQ8)</f>
        <v/>
      </c>
      <c r="BR11" s="14">
        <f>YEAR(BR8)</f>
        <v/>
      </c>
      <c r="BS11" s="14">
        <f>YEAR(BS8)</f>
        <v/>
      </c>
      <c r="BT11" s="14">
        <f>YEAR(BT8)</f>
        <v/>
      </c>
      <c r="BU11" s="14">
        <f>YEAR(BU8)</f>
        <v/>
      </c>
      <c r="BV11" s="14">
        <f>YEAR(BV8)</f>
        <v/>
      </c>
      <c r="BW11" s="14">
        <f>YEAR(BW8)</f>
        <v/>
      </c>
      <c r="BX11" s="14">
        <f>YEAR(BX8)</f>
        <v/>
      </c>
      <c r="BY11" s="14">
        <f>YEAR(BY8)</f>
        <v/>
      </c>
      <c r="BZ11" s="14">
        <f>YEAR(BZ8)</f>
        <v/>
      </c>
      <c r="CA11" s="14">
        <f>YEAR(CA8)</f>
        <v/>
      </c>
      <c r="CB11" s="14">
        <f>YEAR(CB8)</f>
        <v/>
      </c>
      <c r="CC11" s="14">
        <f>YEAR(CC8)</f>
        <v/>
      </c>
      <c r="CD11" s="14">
        <f>YEAR(CD8)</f>
        <v/>
      </c>
      <c r="CE11" s="14">
        <f>YEAR(CE8)</f>
        <v/>
      </c>
      <c r="CF11" s="14">
        <f>YEAR(CF8)</f>
        <v/>
      </c>
      <c r="CG11" s="14">
        <f>YEAR(CG8)</f>
        <v/>
      </c>
      <c r="CH11" s="14">
        <f>YEAR(CH8)</f>
        <v/>
      </c>
      <c r="CI11" s="14">
        <f>YEAR(CI8)</f>
        <v/>
      </c>
      <c r="CJ11" s="14">
        <f>YEAR(CJ8)</f>
        <v/>
      </c>
      <c r="CK11" s="14">
        <f>YEAR(CK8)</f>
        <v/>
      </c>
      <c r="CL11" s="14">
        <f>YEAR(CL8)</f>
        <v/>
      </c>
      <c r="CM11" s="14">
        <f>YEAR(CM8)</f>
        <v/>
      </c>
      <c r="CN11" s="14">
        <f>YEAR(CN8)</f>
        <v/>
      </c>
      <c r="CO11" s="14">
        <f>YEAR(CO8)</f>
        <v/>
      </c>
      <c r="CP11" s="14">
        <f>YEAR(CP8)</f>
        <v/>
      </c>
      <c r="CQ11" s="14">
        <f>YEAR(CQ8)</f>
        <v/>
      </c>
      <c r="CR11" s="14">
        <f>YEAR(CR8)</f>
        <v/>
      </c>
      <c r="CS11" s="14">
        <f>YEAR(CS8)</f>
        <v/>
      </c>
      <c r="CT11" s="14">
        <f>YEAR(CT8)</f>
        <v/>
      </c>
      <c r="CU11" s="14">
        <f>YEAR(CU8)</f>
        <v/>
      </c>
      <c r="CV11" s="14">
        <f>YEAR(CV8)</f>
        <v/>
      </c>
      <c r="CW11" s="14">
        <f>YEAR(CW8)</f>
        <v/>
      </c>
      <c r="CX11" s="14">
        <f>YEAR(CX8)</f>
        <v/>
      </c>
      <c r="CY11" s="14">
        <f>YEAR(CY8)</f>
        <v/>
      </c>
      <c r="CZ11" s="14">
        <f>YEAR(CZ8)</f>
        <v/>
      </c>
      <c r="DA11" s="14">
        <f>YEAR(DA8)</f>
        <v/>
      </c>
      <c r="DB11" s="14">
        <f>YEAR(DB8)</f>
        <v/>
      </c>
    </row>
    <row r="12">
      <c r="D12" t="inlineStr">
        <is>
          <t>Half (1 = Jan-Jun, 2 = Jul-Dec)</t>
        </is>
      </c>
      <c r="E12" t="inlineStr">
        <is>
          <t>#</t>
        </is>
      </c>
      <c r="J12" s="14">
        <f>IF(MONTH(J8)&lt;=6,1,2)</f>
        <v/>
      </c>
      <c r="K12" s="14">
        <f>IF(MONTH(K8)&lt;=6,1,2)</f>
        <v/>
      </c>
      <c r="L12" s="14">
        <f>IF(MONTH(L8)&lt;=6,1,2)</f>
        <v/>
      </c>
      <c r="M12" s="14">
        <f>IF(MONTH(M8)&lt;=6,1,2)</f>
        <v/>
      </c>
      <c r="N12" s="14">
        <f>IF(MONTH(N8)&lt;=6,1,2)</f>
        <v/>
      </c>
      <c r="O12" s="14">
        <f>IF(MONTH(O8)&lt;=6,1,2)</f>
        <v/>
      </c>
      <c r="P12" s="14">
        <f>IF(MONTH(P8)&lt;=6,1,2)</f>
        <v/>
      </c>
      <c r="Q12" s="14">
        <f>IF(MONTH(Q8)&lt;=6,1,2)</f>
        <v/>
      </c>
      <c r="R12" s="14">
        <f>IF(MONTH(R8)&lt;=6,1,2)</f>
        <v/>
      </c>
      <c r="S12" s="14">
        <f>IF(MONTH(S8)&lt;=6,1,2)</f>
        <v/>
      </c>
      <c r="T12" s="14">
        <f>IF(MONTH(T8)&lt;=6,1,2)</f>
        <v/>
      </c>
      <c r="U12" s="14">
        <f>IF(MONTH(U8)&lt;=6,1,2)</f>
        <v/>
      </c>
      <c r="V12" s="14">
        <f>IF(MONTH(V8)&lt;=6,1,2)</f>
        <v/>
      </c>
      <c r="W12" s="14">
        <f>IF(MONTH(W8)&lt;=6,1,2)</f>
        <v/>
      </c>
      <c r="X12" s="14">
        <f>IF(MONTH(X8)&lt;=6,1,2)</f>
        <v/>
      </c>
      <c r="Y12" s="14">
        <f>IF(MONTH(Y8)&lt;=6,1,2)</f>
        <v/>
      </c>
      <c r="Z12" s="14">
        <f>IF(MONTH(Z8)&lt;=6,1,2)</f>
        <v/>
      </c>
      <c r="AA12" s="14">
        <f>IF(MONTH(AA8)&lt;=6,1,2)</f>
        <v/>
      </c>
      <c r="AB12" s="14">
        <f>IF(MONTH(AB8)&lt;=6,1,2)</f>
        <v/>
      </c>
      <c r="AC12" s="14">
        <f>IF(MONTH(AC8)&lt;=6,1,2)</f>
        <v/>
      </c>
      <c r="AD12" s="14">
        <f>IF(MONTH(AD8)&lt;=6,1,2)</f>
        <v/>
      </c>
      <c r="AE12" s="14">
        <f>IF(MONTH(AE8)&lt;=6,1,2)</f>
        <v/>
      </c>
      <c r="AF12" s="14">
        <f>IF(MONTH(AF8)&lt;=6,1,2)</f>
        <v/>
      </c>
      <c r="AG12" s="14">
        <f>IF(MONTH(AG8)&lt;=6,1,2)</f>
        <v/>
      </c>
      <c r="AH12" s="14">
        <f>IF(MONTH(AH8)&lt;=6,1,2)</f>
        <v/>
      </c>
      <c r="AI12" s="14">
        <f>IF(MONTH(AI8)&lt;=6,1,2)</f>
        <v/>
      </c>
      <c r="AJ12" s="14">
        <f>IF(MONTH(AJ8)&lt;=6,1,2)</f>
        <v/>
      </c>
      <c r="AK12" s="14">
        <f>IF(MONTH(AK8)&lt;=6,1,2)</f>
        <v/>
      </c>
      <c r="AL12" s="14">
        <f>IF(MONTH(AL8)&lt;=6,1,2)</f>
        <v/>
      </c>
      <c r="AM12" s="14">
        <f>IF(MONTH(AM8)&lt;=6,1,2)</f>
        <v/>
      </c>
      <c r="AN12" s="14">
        <f>IF(MONTH(AN8)&lt;=6,1,2)</f>
        <v/>
      </c>
      <c r="AO12" s="14">
        <f>IF(MONTH(AO8)&lt;=6,1,2)</f>
        <v/>
      </c>
      <c r="AP12" s="14">
        <f>IF(MONTH(AP8)&lt;=6,1,2)</f>
        <v/>
      </c>
      <c r="AQ12" s="14">
        <f>IF(MONTH(AQ8)&lt;=6,1,2)</f>
        <v/>
      </c>
      <c r="AR12" s="14">
        <f>IF(MONTH(AR8)&lt;=6,1,2)</f>
        <v/>
      </c>
      <c r="AS12" s="14">
        <f>IF(MONTH(AS8)&lt;=6,1,2)</f>
        <v/>
      </c>
      <c r="AT12" s="14">
        <f>IF(MONTH(AT8)&lt;=6,1,2)</f>
        <v/>
      </c>
      <c r="AU12" s="14">
        <f>IF(MONTH(AU8)&lt;=6,1,2)</f>
        <v/>
      </c>
      <c r="AV12" s="14">
        <f>IF(MONTH(AV8)&lt;=6,1,2)</f>
        <v/>
      </c>
      <c r="AW12" s="14">
        <f>IF(MONTH(AW8)&lt;=6,1,2)</f>
        <v/>
      </c>
      <c r="AX12" s="14">
        <f>IF(MONTH(AX8)&lt;=6,1,2)</f>
        <v/>
      </c>
      <c r="AY12" s="14">
        <f>IF(MONTH(AY8)&lt;=6,1,2)</f>
        <v/>
      </c>
      <c r="AZ12" s="14">
        <f>IF(MONTH(AZ8)&lt;=6,1,2)</f>
        <v/>
      </c>
      <c r="BA12" s="14">
        <f>IF(MONTH(BA8)&lt;=6,1,2)</f>
        <v/>
      </c>
      <c r="BB12" s="14">
        <f>IF(MONTH(BB8)&lt;=6,1,2)</f>
        <v/>
      </c>
      <c r="BC12" s="14">
        <f>IF(MONTH(BC8)&lt;=6,1,2)</f>
        <v/>
      </c>
      <c r="BD12" s="14">
        <f>IF(MONTH(BD8)&lt;=6,1,2)</f>
        <v/>
      </c>
      <c r="BE12" s="14">
        <f>IF(MONTH(BE8)&lt;=6,1,2)</f>
        <v/>
      </c>
      <c r="BF12" s="14">
        <f>IF(MONTH(BF8)&lt;=6,1,2)</f>
        <v/>
      </c>
      <c r="BG12" s="14">
        <f>IF(MONTH(BG8)&lt;=6,1,2)</f>
        <v/>
      </c>
      <c r="BH12" s="14">
        <f>IF(MONTH(BH8)&lt;=6,1,2)</f>
        <v/>
      </c>
      <c r="BI12" s="14">
        <f>IF(MONTH(BI8)&lt;=6,1,2)</f>
        <v/>
      </c>
      <c r="BJ12" s="14">
        <f>IF(MONTH(BJ8)&lt;=6,1,2)</f>
        <v/>
      </c>
      <c r="BK12" s="14">
        <f>IF(MONTH(BK8)&lt;=6,1,2)</f>
        <v/>
      </c>
      <c r="BL12" s="14">
        <f>IF(MONTH(BL8)&lt;=6,1,2)</f>
        <v/>
      </c>
      <c r="BM12" s="14">
        <f>IF(MONTH(BM8)&lt;=6,1,2)</f>
        <v/>
      </c>
      <c r="BN12" s="14">
        <f>IF(MONTH(BN8)&lt;=6,1,2)</f>
        <v/>
      </c>
      <c r="BO12" s="14">
        <f>IF(MONTH(BO8)&lt;=6,1,2)</f>
        <v/>
      </c>
      <c r="BP12" s="14">
        <f>IF(MONTH(BP8)&lt;=6,1,2)</f>
        <v/>
      </c>
      <c r="BQ12" s="14">
        <f>IF(MONTH(BQ8)&lt;=6,1,2)</f>
        <v/>
      </c>
      <c r="BR12" s="14">
        <f>IF(MONTH(BR8)&lt;=6,1,2)</f>
        <v/>
      </c>
      <c r="BS12" s="14">
        <f>IF(MONTH(BS8)&lt;=6,1,2)</f>
        <v/>
      </c>
      <c r="BT12" s="14">
        <f>IF(MONTH(BT8)&lt;=6,1,2)</f>
        <v/>
      </c>
      <c r="BU12" s="14">
        <f>IF(MONTH(BU8)&lt;=6,1,2)</f>
        <v/>
      </c>
      <c r="BV12" s="14">
        <f>IF(MONTH(BV8)&lt;=6,1,2)</f>
        <v/>
      </c>
      <c r="BW12" s="14">
        <f>IF(MONTH(BW8)&lt;=6,1,2)</f>
        <v/>
      </c>
      <c r="BX12" s="14">
        <f>IF(MONTH(BX8)&lt;=6,1,2)</f>
        <v/>
      </c>
      <c r="BY12" s="14">
        <f>IF(MONTH(BY8)&lt;=6,1,2)</f>
        <v/>
      </c>
      <c r="BZ12" s="14">
        <f>IF(MONTH(BZ8)&lt;=6,1,2)</f>
        <v/>
      </c>
      <c r="CA12" s="14">
        <f>IF(MONTH(CA8)&lt;=6,1,2)</f>
        <v/>
      </c>
      <c r="CB12" s="14">
        <f>IF(MONTH(CB8)&lt;=6,1,2)</f>
        <v/>
      </c>
      <c r="CC12" s="14">
        <f>IF(MONTH(CC8)&lt;=6,1,2)</f>
        <v/>
      </c>
      <c r="CD12" s="14">
        <f>IF(MONTH(CD8)&lt;=6,1,2)</f>
        <v/>
      </c>
      <c r="CE12" s="14">
        <f>IF(MONTH(CE8)&lt;=6,1,2)</f>
        <v/>
      </c>
      <c r="CF12" s="14">
        <f>IF(MONTH(CF8)&lt;=6,1,2)</f>
        <v/>
      </c>
      <c r="CG12" s="14">
        <f>IF(MONTH(CG8)&lt;=6,1,2)</f>
        <v/>
      </c>
      <c r="CH12" s="14">
        <f>IF(MONTH(CH8)&lt;=6,1,2)</f>
        <v/>
      </c>
      <c r="CI12" s="14">
        <f>IF(MONTH(CI8)&lt;=6,1,2)</f>
        <v/>
      </c>
      <c r="CJ12" s="14">
        <f>IF(MONTH(CJ8)&lt;=6,1,2)</f>
        <v/>
      </c>
      <c r="CK12" s="14">
        <f>IF(MONTH(CK8)&lt;=6,1,2)</f>
        <v/>
      </c>
      <c r="CL12" s="14">
        <f>IF(MONTH(CL8)&lt;=6,1,2)</f>
        <v/>
      </c>
      <c r="CM12" s="14">
        <f>IF(MONTH(CM8)&lt;=6,1,2)</f>
        <v/>
      </c>
      <c r="CN12" s="14">
        <f>IF(MONTH(CN8)&lt;=6,1,2)</f>
        <v/>
      </c>
      <c r="CO12" s="14">
        <f>IF(MONTH(CO8)&lt;=6,1,2)</f>
        <v/>
      </c>
      <c r="CP12" s="14">
        <f>IF(MONTH(CP8)&lt;=6,1,2)</f>
        <v/>
      </c>
      <c r="CQ12" s="14">
        <f>IF(MONTH(CQ8)&lt;=6,1,2)</f>
        <v/>
      </c>
      <c r="CR12" s="14">
        <f>IF(MONTH(CR8)&lt;=6,1,2)</f>
        <v/>
      </c>
      <c r="CS12" s="14">
        <f>IF(MONTH(CS8)&lt;=6,1,2)</f>
        <v/>
      </c>
      <c r="CT12" s="14">
        <f>IF(MONTH(CT8)&lt;=6,1,2)</f>
        <v/>
      </c>
      <c r="CU12" s="14">
        <f>IF(MONTH(CU8)&lt;=6,1,2)</f>
        <v/>
      </c>
      <c r="CV12" s="14">
        <f>IF(MONTH(CV8)&lt;=6,1,2)</f>
        <v/>
      </c>
      <c r="CW12" s="14">
        <f>IF(MONTH(CW8)&lt;=6,1,2)</f>
        <v/>
      </c>
      <c r="CX12" s="14">
        <f>IF(MONTH(CX8)&lt;=6,1,2)</f>
        <v/>
      </c>
      <c r="CY12" s="14">
        <f>IF(MONTH(CY8)&lt;=6,1,2)</f>
        <v/>
      </c>
      <c r="CZ12" s="14">
        <f>IF(MONTH(CZ8)&lt;=6,1,2)</f>
        <v/>
      </c>
      <c r="DA12" s="14">
        <f>IF(MONTH(DA8)&lt;=6,1,2)</f>
        <v/>
      </c>
      <c r="DB12" s="14">
        <f>IF(MONTH(DB8)&lt;=6,1,2)</f>
        <v/>
      </c>
    </row>
    <row r="13">
      <c r="D13" t="inlineStr">
        <is>
          <t>Half-year code</t>
        </is>
      </c>
      <c r="E13" t="inlineStr">
        <is>
          <t>code</t>
        </is>
      </c>
      <c r="J13" s="14">
        <f>J11*Inputs!$F$64+J12</f>
        <v/>
      </c>
      <c r="K13" s="14">
        <f>K11*Inputs!$F$64+K12</f>
        <v/>
      </c>
      <c r="L13" s="14">
        <f>L11*Inputs!$F$64+L12</f>
        <v/>
      </c>
      <c r="M13" s="14">
        <f>M11*Inputs!$F$64+M12</f>
        <v/>
      </c>
      <c r="N13" s="14">
        <f>N11*Inputs!$F$64+N12</f>
        <v/>
      </c>
      <c r="O13" s="14">
        <f>O11*Inputs!$F$64+O12</f>
        <v/>
      </c>
      <c r="P13" s="14">
        <f>P11*Inputs!$F$64+P12</f>
        <v/>
      </c>
      <c r="Q13" s="14">
        <f>Q11*Inputs!$F$64+Q12</f>
        <v/>
      </c>
      <c r="R13" s="14">
        <f>R11*Inputs!$F$64+R12</f>
        <v/>
      </c>
      <c r="S13" s="14">
        <f>S11*Inputs!$F$64+S12</f>
        <v/>
      </c>
      <c r="T13" s="14">
        <f>T11*Inputs!$F$64+T12</f>
        <v/>
      </c>
      <c r="U13" s="14">
        <f>U11*Inputs!$F$64+U12</f>
        <v/>
      </c>
      <c r="V13" s="14">
        <f>V11*Inputs!$F$64+V12</f>
        <v/>
      </c>
      <c r="W13" s="14">
        <f>W11*Inputs!$F$64+W12</f>
        <v/>
      </c>
      <c r="X13" s="14">
        <f>X11*Inputs!$F$64+X12</f>
        <v/>
      </c>
      <c r="Y13" s="14">
        <f>Y11*Inputs!$F$64+Y12</f>
        <v/>
      </c>
      <c r="Z13" s="14">
        <f>Z11*Inputs!$F$64+Z12</f>
        <v/>
      </c>
      <c r="AA13" s="14">
        <f>AA11*Inputs!$F$64+AA12</f>
        <v/>
      </c>
      <c r="AB13" s="14">
        <f>AB11*Inputs!$F$64+AB12</f>
        <v/>
      </c>
      <c r="AC13" s="14">
        <f>AC11*Inputs!$F$64+AC12</f>
        <v/>
      </c>
      <c r="AD13" s="14">
        <f>AD11*Inputs!$F$64+AD12</f>
        <v/>
      </c>
      <c r="AE13" s="14">
        <f>AE11*Inputs!$F$64+AE12</f>
        <v/>
      </c>
      <c r="AF13" s="14">
        <f>AF11*Inputs!$F$64+AF12</f>
        <v/>
      </c>
      <c r="AG13" s="14">
        <f>AG11*Inputs!$F$64+AG12</f>
        <v/>
      </c>
      <c r="AH13" s="14">
        <f>AH11*Inputs!$F$64+AH12</f>
        <v/>
      </c>
      <c r="AI13" s="14">
        <f>AI11*Inputs!$F$64+AI12</f>
        <v/>
      </c>
      <c r="AJ13" s="14">
        <f>AJ11*Inputs!$F$64+AJ12</f>
        <v/>
      </c>
      <c r="AK13" s="14">
        <f>AK11*Inputs!$F$64+AK12</f>
        <v/>
      </c>
      <c r="AL13" s="14">
        <f>AL11*Inputs!$F$64+AL12</f>
        <v/>
      </c>
      <c r="AM13" s="14">
        <f>AM11*Inputs!$F$64+AM12</f>
        <v/>
      </c>
      <c r="AN13" s="14">
        <f>AN11*Inputs!$F$64+AN12</f>
        <v/>
      </c>
      <c r="AO13" s="14">
        <f>AO11*Inputs!$F$64+AO12</f>
        <v/>
      </c>
      <c r="AP13" s="14">
        <f>AP11*Inputs!$F$64+AP12</f>
        <v/>
      </c>
      <c r="AQ13" s="14">
        <f>AQ11*Inputs!$F$64+AQ12</f>
        <v/>
      </c>
      <c r="AR13" s="14">
        <f>AR11*Inputs!$F$64+AR12</f>
        <v/>
      </c>
      <c r="AS13" s="14">
        <f>AS11*Inputs!$F$64+AS12</f>
        <v/>
      </c>
      <c r="AT13" s="14">
        <f>AT11*Inputs!$F$64+AT12</f>
        <v/>
      </c>
      <c r="AU13" s="14">
        <f>AU11*Inputs!$F$64+AU12</f>
        <v/>
      </c>
      <c r="AV13" s="14">
        <f>AV11*Inputs!$F$64+AV12</f>
        <v/>
      </c>
      <c r="AW13" s="14">
        <f>AW11*Inputs!$F$64+AW12</f>
        <v/>
      </c>
      <c r="AX13" s="14">
        <f>AX11*Inputs!$F$64+AX12</f>
        <v/>
      </c>
      <c r="AY13" s="14">
        <f>AY11*Inputs!$F$64+AY12</f>
        <v/>
      </c>
      <c r="AZ13" s="14">
        <f>AZ11*Inputs!$F$64+AZ12</f>
        <v/>
      </c>
      <c r="BA13" s="14">
        <f>BA11*Inputs!$F$64+BA12</f>
        <v/>
      </c>
      <c r="BB13" s="14">
        <f>BB11*Inputs!$F$64+BB12</f>
        <v/>
      </c>
      <c r="BC13" s="14">
        <f>BC11*Inputs!$F$64+BC12</f>
        <v/>
      </c>
      <c r="BD13" s="14">
        <f>BD11*Inputs!$F$64+BD12</f>
        <v/>
      </c>
      <c r="BE13" s="14">
        <f>BE11*Inputs!$F$64+BE12</f>
        <v/>
      </c>
      <c r="BF13" s="14">
        <f>BF11*Inputs!$F$64+BF12</f>
        <v/>
      </c>
      <c r="BG13" s="14">
        <f>BG11*Inputs!$F$64+BG12</f>
        <v/>
      </c>
      <c r="BH13" s="14">
        <f>BH11*Inputs!$F$64+BH12</f>
        <v/>
      </c>
      <c r="BI13" s="14">
        <f>BI11*Inputs!$F$64+BI12</f>
        <v/>
      </c>
      <c r="BJ13" s="14">
        <f>BJ11*Inputs!$F$64+BJ12</f>
        <v/>
      </c>
      <c r="BK13" s="14">
        <f>BK11*Inputs!$F$64+BK12</f>
        <v/>
      </c>
      <c r="BL13" s="14">
        <f>BL11*Inputs!$F$64+BL12</f>
        <v/>
      </c>
      <c r="BM13" s="14">
        <f>BM11*Inputs!$F$64+BM12</f>
        <v/>
      </c>
      <c r="BN13" s="14">
        <f>BN11*Inputs!$F$64+BN12</f>
        <v/>
      </c>
      <c r="BO13" s="14">
        <f>BO11*Inputs!$F$64+BO12</f>
        <v/>
      </c>
      <c r="BP13" s="14">
        <f>BP11*Inputs!$F$64+BP12</f>
        <v/>
      </c>
      <c r="BQ13" s="14">
        <f>BQ11*Inputs!$F$64+BQ12</f>
        <v/>
      </c>
      <c r="BR13" s="14">
        <f>BR11*Inputs!$F$64+BR12</f>
        <v/>
      </c>
      <c r="BS13" s="14">
        <f>BS11*Inputs!$F$64+BS12</f>
        <v/>
      </c>
      <c r="BT13" s="14">
        <f>BT11*Inputs!$F$64+BT12</f>
        <v/>
      </c>
      <c r="BU13" s="14">
        <f>BU11*Inputs!$F$64+BU12</f>
        <v/>
      </c>
      <c r="BV13" s="14">
        <f>BV11*Inputs!$F$64+BV12</f>
        <v/>
      </c>
      <c r="BW13" s="14">
        <f>BW11*Inputs!$F$64+BW12</f>
        <v/>
      </c>
      <c r="BX13" s="14">
        <f>BX11*Inputs!$F$64+BX12</f>
        <v/>
      </c>
      <c r="BY13" s="14">
        <f>BY11*Inputs!$F$64+BY12</f>
        <v/>
      </c>
      <c r="BZ13" s="14">
        <f>BZ11*Inputs!$F$64+BZ12</f>
        <v/>
      </c>
      <c r="CA13" s="14">
        <f>CA11*Inputs!$F$64+CA12</f>
        <v/>
      </c>
      <c r="CB13" s="14">
        <f>CB11*Inputs!$F$64+CB12</f>
        <v/>
      </c>
      <c r="CC13" s="14">
        <f>CC11*Inputs!$F$64+CC12</f>
        <v/>
      </c>
      <c r="CD13" s="14">
        <f>CD11*Inputs!$F$64+CD12</f>
        <v/>
      </c>
      <c r="CE13" s="14">
        <f>CE11*Inputs!$F$64+CE12</f>
        <v/>
      </c>
      <c r="CF13" s="14">
        <f>CF11*Inputs!$F$64+CF12</f>
        <v/>
      </c>
      <c r="CG13" s="14">
        <f>CG11*Inputs!$F$64+CG12</f>
        <v/>
      </c>
      <c r="CH13" s="14">
        <f>CH11*Inputs!$F$64+CH12</f>
        <v/>
      </c>
      <c r="CI13" s="14">
        <f>CI11*Inputs!$F$64+CI12</f>
        <v/>
      </c>
      <c r="CJ13" s="14">
        <f>CJ11*Inputs!$F$64+CJ12</f>
        <v/>
      </c>
      <c r="CK13" s="14">
        <f>CK11*Inputs!$F$64+CK12</f>
        <v/>
      </c>
      <c r="CL13" s="14">
        <f>CL11*Inputs!$F$64+CL12</f>
        <v/>
      </c>
      <c r="CM13" s="14">
        <f>CM11*Inputs!$F$64+CM12</f>
        <v/>
      </c>
      <c r="CN13" s="14">
        <f>CN11*Inputs!$F$64+CN12</f>
        <v/>
      </c>
      <c r="CO13" s="14">
        <f>CO11*Inputs!$F$64+CO12</f>
        <v/>
      </c>
      <c r="CP13" s="14">
        <f>CP11*Inputs!$F$64+CP12</f>
        <v/>
      </c>
      <c r="CQ13" s="14">
        <f>CQ11*Inputs!$F$64+CQ12</f>
        <v/>
      </c>
      <c r="CR13" s="14">
        <f>CR11*Inputs!$F$64+CR12</f>
        <v/>
      </c>
      <c r="CS13" s="14">
        <f>CS11*Inputs!$F$64+CS12</f>
        <v/>
      </c>
      <c r="CT13" s="14">
        <f>CT11*Inputs!$F$64+CT12</f>
        <v/>
      </c>
      <c r="CU13" s="14">
        <f>CU11*Inputs!$F$64+CU12</f>
        <v/>
      </c>
      <c r="CV13" s="14">
        <f>CV11*Inputs!$F$64+CV12</f>
        <v/>
      </c>
      <c r="CW13" s="14">
        <f>CW11*Inputs!$F$64+CW12</f>
        <v/>
      </c>
      <c r="CX13" s="14">
        <f>CX11*Inputs!$F$64+CX12</f>
        <v/>
      </c>
      <c r="CY13" s="14">
        <f>CY11*Inputs!$F$64+CY12</f>
        <v/>
      </c>
      <c r="CZ13" s="14">
        <f>CZ11*Inputs!$F$64+CZ12</f>
        <v/>
      </c>
      <c r="DA13" s="14">
        <f>DA11*Inputs!$F$64+DA12</f>
        <v/>
      </c>
      <c r="DB13" s="14">
        <f>DB11*Inputs!$F$64+DB12</f>
        <v/>
      </c>
    </row>
    <row r="14">
      <c r="D14" t="inlineStr">
        <is>
          <t>Months in period</t>
        </is>
      </c>
      <c r="E14" t="inlineStr">
        <is>
          <t>#</t>
        </is>
      </c>
      <c r="J14" s="14">
        <f>ROUND(J9/Inputs!$F$48,0)</f>
        <v/>
      </c>
      <c r="K14" s="14">
        <f>ROUND(K9/Inputs!$F$48,0)</f>
        <v/>
      </c>
      <c r="L14" s="14">
        <f>ROUND(L9/Inputs!$F$48,0)</f>
        <v/>
      </c>
      <c r="M14" s="14">
        <f>ROUND(M9/Inputs!$F$48,0)</f>
        <v/>
      </c>
      <c r="N14" s="14">
        <f>ROUND(N9/Inputs!$F$48,0)</f>
        <v/>
      </c>
      <c r="O14" s="14">
        <f>ROUND(O9/Inputs!$F$48,0)</f>
        <v/>
      </c>
      <c r="P14" s="14">
        <f>ROUND(P9/Inputs!$F$48,0)</f>
        <v/>
      </c>
      <c r="Q14" s="14">
        <f>ROUND(Q9/Inputs!$F$48,0)</f>
        <v/>
      </c>
      <c r="R14" s="14">
        <f>ROUND(R9/Inputs!$F$48,0)</f>
        <v/>
      </c>
      <c r="S14" s="14">
        <f>ROUND(S9/Inputs!$F$48,0)</f>
        <v/>
      </c>
      <c r="T14" s="14">
        <f>ROUND(T9/Inputs!$F$48,0)</f>
        <v/>
      </c>
      <c r="U14" s="14">
        <f>ROUND(U9/Inputs!$F$48,0)</f>
        <v/>
      </c>
      <c r="V14" s="14">
        <f>ROUND(V9/Inputs!$F$48,0)</f>
        <v/>
      </c>
      <c r="W14" s="14">
        <f>ROUND(W9/Inputs!$F$48,0)</f>
        <v/>
      </c>
      <c r="X14" s="14">
        <f>ROUND(X9/Inputs!$F$48,0)</f>
        <v/>
      </c>
      <c r="Y14" s="14">
        <f>ROUND(Y9/Inputs!$F$48,0)</f>
        <v/>
      </c>
      <c r="Z14" s="14">
        <f>ROUND(Z9/Inputs!$F$48,0)</f>
        <v/>
      </c>
      <c r="AA14" s="14">
        <f>ROUND(AA9/Inputs!$F$48,0)</f>
        <v/>
      </c>
      <c r="AB14" s="14">
        <f>ROUND(AB9/Inputs!$F$48,0)</f>
        <v/>
      </c>
      <c r="AC14" s="14">
        <f>ROUND(AC9/Inputs!$F$48,0)</f>
        <v/>
      </c>
      <c r="AD14" s="14">
        <f>ROUND(AD9/Inputs!$F$48,0)</f>
        <v/>
      </c>
      <c r="AE14" s="14">
        <f>ROUND(AE9/Inputs!$F$48,0)</f>
        <v/>
      </c>
      <c r="AF14" s="14">
        <f>ROUND(AF9/Inputs!$F$48,0)</f>
        <v/>
      </c>
      <c r="AG14" s="14">
        <f>ROUND(AG9/Inputs!$F$48,0)</f>
        <v/>
      </c>
      <c r="AH14" s="14">
        <f>ROUND(AH9/Inputs!$F$48,0)</f>
        <v/>
      </c>
      <c r="AI14" s="14">
        <f>ROUND(AI9/Inputs!$F$48,0)</f>
        <v/>
      </c>
      <c r="AJ14" s="14">
        <f>ROUND(AJ9/Inputs!$F$48,0)</f>
        <v/>
      </c>
      <c r="AK14" s="14">
        <f>ROUND(AK9/Inputs!$F$48,0)</f>
        <v/>
      </c>
      <c r="AL14" s="14">
        <f>ROUND(AL9/Inputs!$F$48,0)</f>
        <v/>
      </c>
      <c r="AM14" s="14">
        <f>ROUND(AM9/Inputs!$F$48,0)</f>
        <v/>
      </c>
      <c r="AN14" s="14">
        <f>ROUND(AN9/Inputs!$F$48,0)</f>
        <v/>
      </c>
      <c r="AO14" s="14">
        <f>ROUND(AO9/Inputs!$F$48,0)</f>
        <v/>
      </c>
      <c r="AP14" s="14">
        <f>ROUND(AP9/Inputs!$F$48,0)</f>
        <v/>
      </c>
      <c r="AQ14" s="14">
        <f>ROUND(AQ9/Inputs!$F$48,0)</f>
        <v/>
      </c>
      <c r="AR14" s="14">
        <f>ROUND(AR9/Inputs!$F$48,0)</f>
        <v/>
      </c>
      <c r="AS14" s="14">
        <f>ROUND(AS9/Inputs!$F$48,0)</f>
        <v/>
      </c>
      <c r="AT14" s="14">
        <f>ROUND(AT9/Inputs!$F$48,0)</f>
        <v/>
      </c>
      <c r="AU14" s="14">
        <f>ROUND(AU9/Inputs!$F$48,0)</f>
        <v/>
      </c>
      <c r="AV14" s="14">
        <f>ROUND(AV9/Inputs!$F$48,0)</f>
        <v/>
      </c>
      <c r="AW14" s="14">
        <f>ROUND(AW9/Inputs!$F$48,0)</f>
        <v/>
      </c>
      <c r="AX14" s="14">
        <f>ROUND(AX9/Inputs!$F$48,0)</f>
        <v/>
      </c>
      <c r="AY14" s="14">
        <f>ROUND(AY9/Inputs!$F$48,0)</f>
        <v/>
      </c>
      <c r="AZ14" s="14">
        <f>ROUND(AZ9/Inputs!$F$48,0)</f>
        <v/>
      </c>
      <c r="BA14" s="14">
        <f>ROUND(BA9/Inputs!$F$48,0)</f>
        <v/>
      </c>
      <c r="BB14" s="14">
        <f>ROUND(BB9/Inputs!$F$48,0)</f>
        <v/>
      </c>
      <c r="BC14" s="14">
        <f>ROUND(BC9/Inputs!$F$48,0)</f>
        <v/>
      </c>
      <c r="BD14" s="14">
        <f>ROUND(BD9/Inputs!$F$48,0)</f>
        <v/>
      </c>
      <c r="BE14" s="14">
        <f>ROUND(BE9/Inputs!$F$48,0)</f>
        <v/>
      </c>
      <c r="BF14" s="14">
        <f>ROUND(BF9/Inputs!$F$48,0)</f>
        <v/>
      </c>
      <c r="BG14" s="14">
        <f>ROUND(BG9/Inputs!$F$48,0)</f>
        <v/>
      </c>
      <c r="BH14" s="14">
        <f>ROUND(BH9/Inputs!$F$48,0)</f>
        <v/>
      </c>
      <c r="BI14" s="14">
        <f>ROUND(BI9/Inputs!$F$48,0)</f>
        <v/>
      </c>
      <c r="BJ14" s="14">
        <f>ROUND(BJ9/Inputs!$F$48,0)</f>
        <v/>
      </c>
      <c r="BK14" s="14">
        <f>ROUND(BK9/Inputs!$F$48,0)</f>
        <v/>
      </c>
      <c r="BL14" s="14">
        <f>ROUND(BL9/Inputs!$F$48,0)</f>
        <v/>
      </c>
      <c r="BM14" s="14">
        <f>ROUND(BM9/Inputs!$F$48,0)</f>
        <v/>
      </c>
      <c r="BN14" s="14">
        <f>ROUND(BN9/Inputs!$F$48,0)</f>
        <v/>
      </c>
      <c r="BO14" s="14">
        <f>ROUND(BO9/Inputs!$F$48,0)</f>
        <v/>
      </c>
      <c r="BP14" s="14">
        <f>ROUND(BP9/Inputs!$F$48,0)</f>
        <v/>
      </c>
      <c r="BQ14" s="14">
        <f>ROUND(BQ9/Inputs!$F$48,0)</f>
        <v/>
      </c>
      <c r="BR14" s="14">
        <f>ROUND(BR9/Inputs!$F$48,0)</f>
        <v/>
      </c>
      <c r="BS14" s="14">
        <f>ROUND(BS9/Inputs!$F$48,0)</f>
        <v/>
      </c>
      <c r="BT14" s="14">
        <f>ROUND(BT9/Inputs!$F$48,0)</f>
        <v/>
      </c>
      <c r="BU14" s="14">
        <f>ROUND(BU9/Inputs!$F$48,0)</f>
        <v/>
      </c>
      <c r="BV14" s="14">
        <f>ROUND(BV9/Inputs!$F$48,0)</f>
        <v/>
      </c>
      <c r="BW14" s="14">
        <f>ROUND(BW9/Inputs!$F$48,0)</f>
        <v/>
      </c>
      <c r="BX14" s="14">
        <f>ROUND(BX9/Inputs!$F$48,0)</f>
        <v/>
      </c>
      <c r="BY14" s="14">
        <f>ROUND(BY9/Inputs!$F$48,0)</f>
        <v/>
      </c>
      <c r="BZ14" s="14">
        <f>ROUND(BZ9/Inputs!$F$48,0)</f>
        <v/>
      </c>
      <c r="CA14" s="14">
        <f>ROUND(CA9/Inputs!$F$48,0)</f>
        <v/>
      </c>
      <c r="CB14" s="14">
        <f>ROUND(CB9/Inputs!$F$48,0)</f>
        <v/>
      </c>
      <c r="CC14" s="14">
        <f>ROUND(CC9/Inputs!$F$48,0)</f>
        <v/>
      </c>
      <c r="CD14" s="14">
        <f>ROUND(CD9/Inputs!$F$48,0)</f>
        <v/>
      </c>
      <c r="CE14" s="14">
        <f>ROUND(CE9/Inputs!$F$48,0)</f>
        <v/>
      </c>
      <c r="CF14" s="14">
        <f>ROUND(CF9/Inputs!$F$48,0)</f>
        <v/>
      </c>
      <c r="CG14" s="14">
        <f>ROUND(CG9/Inputs!$F$48,0)</f>
        <v/>
      </c>
      <c r="CH14" s="14">
        <f>ROUND(CH9/Inputs!$F$48,0)</f>
        <v/>
      </c>
      <c r="CI14" s="14">
        <f>ROUND(CI9/Inputs!$F$48,0)</f>
        <v/>
      </c>
      <c r="CJ14" s="14">
        <f>ROUND(CJ9/Inputs!$F$48,0)</f>
        <v/>
      </c>
      <c r="CK14" s="14">
        <f>ROUND(CK9/Inputs!$F$48,0)</f>
        <v/>
      </c>
      <c r="CL14" s="14">
        <f>ROUND(CL9/Inputs!$F$48,0)</f>
        <v/>
      </c>
      <c r="CM14" s="14">
        <f>ROUND(CM9/Inputs!$F$48,0)</f>
        <v/>
      </c>
      <c r="CN14" s="14">
        <f>ROUND(CN9/Inputs!$F$48,0)</f>
        <v/>
      </c>
      <c r="CO14" s="14">
        <f>ROUND(CO9/Inputs!$F$48,0)</f>
        <v/>
      </c>
      <c r="CP14" s="14">
        <f>ROUND(CP9/Inputs!$F$48,0)</f>
        <v/>
      </c>
      <c r="CQ14" s="14">
        <f>ROUND(CQ9/Inputs!$F$48,0)</f>
        <v/>
      </c>
      <c r="CR14" s="14">
        <f>ROUND(CR9/Inputs!$F$48,0)</f>
        <v/>
      </c>
      <c r="CS14" s="14">
        <f>ROUND(CS9/Inputs!$F$48,0)</f>
        <v/>
      </c>
      <c r="CT14" s="14">
        <f>ROUND(CT9/Inputs!$F$48,0)</f>
        <v/>
      </c>
      <c r="CU14" s="14">
        <f>ROUND(CU9/Inputs!$F$48,0)</f>
        <v/>
      </c>
      <c r="CV14" s="14">
        <f>ROUND(CV9/Inputs!$F$48,0)</f>
        <v/>
      </c>
      <c r="CW14" s="14">
        <f>ROUND(CW9/Inputs!$F$48,0)</f>
        <v/>
      </c>
      <c r="CX14" s="14">
        <f>ROUND(CX9/Inputs!$F$48,0)</f>
        <v/>
      </c>
      <c r="CY14" s="14">
        <f>ROUND(CY9/Inputs!$F$48,0)</f>
        <v/>
      </c>
      <c r="CZ14" s="14">
        <f>ROUND(CZ9/Inputs!$F$48,0)</f>
        <v/>
      </c>
      <c r="DA14" s="14">
        <f>ROUND(DA9/Inputs!$F$48,0)</f>
        <v/>
      </c>
      <c r="DB14" s="14">
        <f>ROUND(DB9/Inputs!$F$48,0)</f>
        <v/>
      </c>
    </row>
    <row r="15">
      <c r="D15" s="3" t="inlineStr">
        <is>
          <t>Key dates for the selected scenario</t>
        </is>
      </c>
    </row>
    <row r="16">
      <c r="D16" t="inlineStr">
        <is>
          <t>Opening date</t>
        </is>
      </c>
      <c r="E16" t="inlineStr">
        <is>
          <t>date</t>
        </is>
      </c>
      <c r="F16" s="15">
        <f>IF(Inputs!$F$214=1,Inputs!$F$18,Inputs!$F$17)</f>
        <v/>
      </c>
    </row>
    <row r="17">
      <c r="D17" t="inlineStr">
        <is>
          <t>Concession expiry</t>
        </is>
      </c>
      <c r="E17" t="inlineStr">
        <is>
          <t>date</t>
        </is>
      </c>
      <c r="F17" s="15">
        <f>IF(Inputs!$F$216=1,Inputs!$F$20,Inputs!$F$19)</f>
        <v/>
      </c>
    </row>
    <row r="18">
      <c r="D18" t="inlineStr">
        <is>
          <t>Construction days (close to scheduled completion)</t>
        </is>
      </c>
      <c r="E18" t="inlineStr">
        <is>
          <t>days</t>
        </is>
      </c>
      <c r="F18" s="14">
        <f>Inputs!$F$16-Inputs!$F$14</f>
        <v/>
      </c>
    </row>
    <row r="19">
      <c r="D19" s="3" t="inlineStr">
        <is>
          <t>Flags</t>
        </is>
      </c>
    </row>
    <row r="20">
      <c r="D20" t="inlineStr">
        <is>
          <t>Flag_Construction</t>
        </is>
      </c>
      <c r="E20" t="inlineStr">
        <is>
          <t>flag</t>
        </is>
      </c>
      <c r="J20" s="14">
        <f>IF(J8&lt;=Inputs!$F$16,1,0)</f>
        <v/>
      </c>
      <c r="K20" s="14">
        <f>IF(K8&lt;=Inputs!$F$16,1,0)</f>
        <v/>
      </c>
      <c r="L20" s="14">
        <f>IF(L8&lt;=Inputs!$F$16,1,0)</f>
        <v/>
      </c>
      <c r="M20" s="14">
        <f>IF(M8&lt;=Inputs!$F$16,1,0)</f>
        <v/>
      </c>
      <c r="N20" s="14">
        <f>IF(N8&lt;=Inputs!$F$16,1,0)</f>
        <v/>
      </c>
      <c r="O20" s="14">
        <f>IF(O8&lt;=Inputs!$F$16,1,0)</f>
        <v/>
      </c>
      <c r="P20" s="14">
        <f>IF(P8&lt;=Inputs!$F$16,1,0)</f>
        <v/>
      </c>
      <c r="Q20" s="14">
        <f>IF(Q8&lt;=Inputs!$F$16,1,0)</f>
        <v/>
      </c>
      <c r="R20" s="14">
        <f>IF(R8&lt;=Inputs!$F$16,1,0)</f>
        <v/>
      </c>
      <c r="S20" s="14">
        <f>IF(S8&lt;=Inputs!$F$16,1,0)</f>
        <v/>
      </c>
      <c r="T20" s="14">
        <f>IF(T8&lt;=Inputs!$F$16,1,0)</f>
        <v/>
      </c>
      <c r="U20" s="14">
        <f>IF(U8&lt;=Inputs!$F$16,1,0)</f>
        <v/>
      </c>
      <c r="V20" s="14">
        <f>IF(V8&lt;=Inputs!$F$16,1,0)</f>
        <v/>
      </c>
      <c r="W20" s="14">
        <f>IF(W8&lt;=Inputs!$F$16,1,0)</f>
        <v/>
      </c>
      <c r="X20" s="14">
        <f>IF(X8&lt;=Inputs!$F$16,1,0)</f>
        <v/>
      </c>
      <c r="Y20" s="14">
        <f>IF(Y8&lt;=Inputs!$F$16,1,0)</f>
        <v/>
      </c>
      <c r="Z20" s="14">
        <f>IF(Z8&lt;=Inputs!$F$16,1,0)</f>
        <v/>
      </c>
      <c r="AA20" s="14">
        <f>IF(AA8&lt;=Inputs!$F$16,1,0)</f>
        <v/>
      </c>
      <c r="AB20" s="14">
        <f>IF(AB8&lt;=Inputs!$F$16,1,0)</f>
        <v/>
      </c>
      <c r="AC20" s="14">
        <f>IF(AC8&lt;=Inputs!$F$16,1,0)</f>
        <v/>
      </c>
      <c r="AD20" s="14">
        <f>IF(AD8&lt;=Inputs!$F$16,1,0)</f>
        <v/>
      </c>
      <c r="AE20" s="14">
        <f>IF(AE8&lt;=Inputs!$F$16,1,0)</f>
        <v/>
      </c>
      <c r="AF20" s="14">
        <f>IF(AF8&lt;=Inputs!$F$16,1,0)</f>
        <v/>
      </c>
      <c r="AG20" s="14">
        <f>IF(AG8&lt;=Inputs!$F$16,1,0)</f>
        <v/>
      </c>
      <c r="AH20" s="14">
        <f>IF(AH8&lt;=Inputs!$F$16,1,0)</f>
        <v/>
      </c>
      <c r="AI20" s="14">
        <f>IF(AI8&lt;=Inputs!$F$16,1,0)</f>
        <v/>
      </c>
      <c r="AJ20" s="14">
        <f>IF(AJ8&lt;=Inputs!$F$16,1,0)</f>
        <v/>
      </c>
      <c r="AK20" s="14">
        <f>IF(AK8&lt;=Inputs!$F$16,1,0)</f>
        <v/>
      </c>
      <c r="AL20" s="14">
        <f>IF(AL8&lt;=Inputs!$F$16,1,0)</f>
        <v/>
      </c>
      <c r="AM20" s="14">
        <f>IF(AM8&lt;=Inputs!$F$16,1,0)</f>
        <v/>
      </c>
      <c r="AN20" s="14">
        <f>IF(AN8&lt;=Inputs!$F$16,1,0)</f>
        <v/>
      </c>
      <c r="AO20" s="14">
        <f>IF(AO8&lt;=Inputs!$F$16,1,0)</f>
        <v/>
      </c>
      <c r="AP20" s="14">
        <f>IF(AP8&lt;=Inputs!$F$16,1,0)</f>
        <v/>
      </c>
      <c r="AQ20" s="14">
        <f>IF(AQ8&lt;=Inputs!$F$16,1,0)</f>
        <v/>
      </c>
      <c r="AR20" s="14">
        <f>IF(AR8&lt;=Inputs!$F$16,1,0)</f>
        <v/>
      </c>
      <c r="AS20" s="14">
        <f>IF(AS8&lt;=Inputs!$F$16,1,0)</f>
        <v/>
      </c>
      <c r="AT20" s="14">
        <f>IF(AT8&lt;=Inputs!$F$16,1,0)</f>
        <v/>
      </c>
      <c r="AU20" s="14">
        <f>IF(AU8&lt;=Inputs!$F$16,1,0)</f>
        <v/>
      </c>
      <c r="AV20" s="14">
        <f>IF(AV8&lt;=Inputs!$F$16,1,0)</f>
        <v/>
      </c>
      <c r="AW20" s="14">
        <f>IF(AW8&lt;=Inputs!$F$16,1,0)</f>
        <v/>
      </c>
      <c r="AX20" s="14">
        <f>IF(AX8&lt;=Inputs!$F$16,1,0)</f>
        <v/>
      </c>
      <c r="AY20" s="14">
        <f>IF(AY8&lt;=Inputs!$F$16,1,0)</f>
        <v/>
      </c>
      <c r="AZ20" s="14">
        <f>IF(AZ8&lt;=Inputs!$F$16,1,0)</f>
        <v/>
      </c>
      <c r="BA20" s="14">
        <f>IF(BA8&lt;=Inputs!$F$16,1,0)</f>
        <v/>
      </c>
      <c r="BB20" s="14">
        <f>IF(BB8&lt;=Inputs!$F$16,1,0)</f>
        <v/>
      </c>
      <c r="BC20" s="14">
        <f>IF(BC8&lt;=Inputs!$F$16,1,0)</f>
        <v/>
      </c>
      <c r="BD20" s="14">
        <f>IF(BD8&lt;=Inputs!$F$16,1,0)</f>
        <v/>
      </c>
      <c r="BE20" s="14">
        <f>IF(BE8&lt;=Inputs!$F$16,1,0)</f>
        <v/>
      </c>
      <c r="BF20" s="14">
        <f>IF(BF8&lt;=Inputs!$F$16,1,0)</f>
        <v/>
      </c>
      <c r="BG20" s="14">
        <f>IF(BG8&lt;=Inputs!$F$16,1,0)</f>
        <v/>
      </c>
      <c r="BH20" s="14">
        <f>IF(BH8&lt;=Inputs!$F$16,1,0)</f>
        <v/>
      </c>
      <c r="BI20" s="14">
        <f>IF(BI8&lt;=Inputs!$F$16,1,0)</f>
        <v/>
      </c>
      <c r="BJ20" s="14">
        <f>IF(BJ8&lt;=Inputs!$F$16,1,0)</f>
        <v/>
      </c>
      <c r="BK20" s="14">
        <f>IF(BK8&lt;=Inputs!$F$16,1,0)</f>
        <v/>
      </c>
      <c r="BL20" s="14">
        <f>IF(BL8&lt;=Inputs!$F$16,1,0)</f>
        <v/>
      </c>
      <c r="BM20" s="14">
        <f>IF(BM8&lt;=Inputs!$F$16,1,0)</f>
        <v/>
      </c>
      <c r="BN20" s="14">
        <f>IF(BN8&lt;=Inputs!$F$16,1,0)</f>
        <v/>
      </c>
      <c r="BO20" s="14">
        <f>IF(BO8&lt;=Inputs!$F$16,1,0)</f>
        <v/>
      </c>
      <c r="BP20" s="14">
        <f>IF(BP8&lt;=Inputs!$F$16,1,0)</f>
        <v/>
      </c>
      <c r="BQ20" s="14">
        <f>IF(BQ8&lt;=Inputs!$F$16,1,0)</f>
        <v/>
      </c>
      <c r="BR20" s="14">
        <f>IF(BR8&lt;=Inputs!$F$16,1,0)</f>
        <v/>
      </c>
      <c r="BS20" s="14">
        <f>IF(BS8&lt;=Inputs!$F$16,1,0)</f>
        <v/>
      </c>
      <c r="BT20" s="14">
        <f>IF(BT8&lt;=Inputs!$F$16,1,0)</f>
        <v/>
      </c>
      <c r="BU20" s="14">
        <f>IF(BU8&lt;=Inputs!$F$16,1,0)</f>
        <v/>
      </c>
      <c r="BV20" s="14">
        <f>IF(BV8&lt;=Inputs!$F$16,1,0)</f>
        <v/>
      </c>
      <c r="BW20" s="14">
        <f>IF(BW8&lt;=Inputs!$F$16,1,0)</f>
        <v/>
      </c>
      <c r="BX20" s="14">
        <f>IF(BX8&lt;=Inputs!$F$16,1,0)</f>
        <v/>
      </c>
      <c r="BY20" s="14">
        <f>IF(BY8&lt;=Inputs!$F$16,1,0)</f>
        <v/>
      </c>
      <c r="BZ20" s="14">
        <f>IF(BZ8&lt;=Inputs!$F$16,1,0)</f>
        <v/>
      </c>
      <c r="CA20" s="14">
        <f>IF(CA8&lt;=Inputs!$F$16,1,0)</f>
        <v/>
      </c>
      <c r="CB20" s="14">
        <f>IF(CB8&lt;=Inputs!$F$16,1,0)</f>
        <v/>
      </c>
      <c r="CC20" s="14">
        <f>IF(CC8&lt;=Inputs!$F$16,1,0)</f>
        <v/>
      </c>
      <c r="CD20" s="14">
        <f>IF(CD8&lt;=Inputs!$F$16,1,0)</f>
        <v/>
      </c>
      <c r="CE20" s="14">
        <f>IF(CE8&lt;=Inputs!$F$16,1,0)</f>
        <v/>
      </c>
      <c r="CF20" s="14">
        <f>IF(CF8&lt;=Inputs!$F$16,1,0)</f>
        <v/>
      </c>
      <c r="CG20" s="14">
        <f>IF(CG8&lt;=Inputs!$F$16,1,0)</f>
        <v/>
      </c>
      <c r="CH20" s="14">
        <f>IF(CH8&lt;=Inputs!$F$16,1,0)</f>
        <v/>
      </c>
      <c r="CI20" s="14">
        <f>IF(CI8&lt;=Inputs!$F$16,1,0)</f>
        <v/>
      </c>
      <c r="CJ20" s="14">
        <f>IF(CJ8&lt;=Inputs!$F$16,1,0)</f>
        <v/>
      </c>
      <c r="CK20" s="14">
        <f>IF(CK8&lt;=Inputs!$F$16,1,0)</f>
        <v/>
      </c>
      <c r="CL20" s="14">
        <f>IF(CL8&lt;=Inputs!$F$16,1,0)</f>
        <v/>
      </c>
      <c r="CM20" s="14">
        <f>IF(CM8&lt;=Inputs!$F$16,1,0)</f>
        <v/>
      </c>
      <c r="CN20" s="14">
        <f>IF(CN8&lt;=Inputs!$F$16,1,0)</f>
        <v/>
      </c>
      <c r="CO20" s="14">
        <f>IF(CO8&lt;=Inputs!$F$16,1,0)</f>
        <v/>
      </c>
      <c r="CP20" s="14">
        <f>IF(CP8&lt;=Inputs!$F$16,1,0)</f>
        <v/>
      </c>
      <c r="CQ20" s="14">
        <f>IF(CQ8&lt;=Inputs!$F$16,1,0)</f>
        <v/>
      </c>
      <c r="CR20" s="14">
        <f>IF(CR8&lt;=Inputs!$F$16,1,0)</f>
        <v/>
      </c>
      <c r="CS20" s="14">
        <f>IF(CS8&lt;=Inputs!$F$16,1,0)</f>
        <v/>
      </c>
      <c r="CT20" s="14">
        <f>IF(CT8&lt;=Inputs!$F$16,1,0)</f>
        <v/>
      </c>
      <c r="CU20" s="14">
        <f>IF(CU8&lt;=Inputs!$F$16,1,0)</f>
        <v/>
      </c>
      <c r="CV20" s="14">
        <f>IF(CV8&lt;=Inputs!$F$16,1,0)</f>
        <v/>
      </c>
      <c r="CW20" s="14">
        <f>IF(CW8&lt;=Inputs!$F$16,1,0)</f>
        <v/>
      </c>
      <c r="CX20" s="14">
        <f>IF(CX8&lt;=Inputs!$F$16,1,0)</f>
        <v/>
      </c>
      <c r="CY20" s="14">
        <f>IF(CY8&lt;=Inputs!$F$16,1,0)</f>
        <v/>
      </c>
      <c r="CZ20" s="14">
        <f>IF(CZ8&lt;=Inputs!$F$16,1,0)</f>
        <v/>
      </c>
      <c r="DA20" s="14">
        <f>IF(DA8&lt;=Inputs!$F$16,1,0)</f>
        <v/>
      </c>
      <c r="DB20" s="14">
        <f>IF(DB8&lt;=Inputs!$F$16,1,0)</f>
        <v/>
      </c>
    </row>
    <row r="21">
      <c r="D21" t="inlineStr">
        <is>
          <t>Flag_FirstPostConstruction</t>
        </is>
      </c>
      <c r="E21" t="inlineStr">
        <is>
          <t>flag</t>
        </is>
      </c>
      <c r="J21" s="14">
        <f>IF(AND(I20=1,J20=0),1,0)</f>
        <v/>
      </c>
      <c r="K21" s="14">
        <f>IF(AND(J20=1,K20=0),1,0)</f>
        <v/>
      </c>
      <c r="L21" s="14">
        <f>IF(AND(K20=1,L20=0),1,0)</f>
        <v/>
      </c>
      <c r="M21" s="14">
        <f>IF(AND(L20=1,M20=0),1,0)</f>
        <v/>
      </c>
      <c r="N21" s="14">
        <f>IF(AND(M20=1,N20=0),1,0)</f>
        <v/>
      </c>
      <c r="O21" s="14">
        <f>IF(AND(N20=1,O20=0),1,0)</f>
        <v/>
      </c>
      <c r="P21" s="14">
        <f>IF(AND(O20=1,P20=0),1,0)</f>
        <v/>
      </c>
      <c r="Q21" s="14">
        <f>IF(AND(P20=1,Q20=0),1,0)</f>
        <v/>
      </c>
      <c r="R21" s="14">
        <f>IF(AND(Q20=1,R20=0),1,0)</f>
        <v/>
      </c>
      <c r="S21" s="14">
        <f>IF(AND(R20=1,S20=0),1,0)</f>
        <v/>
      </c>
      <c r="T21" s="14">
        <f>IF(AND(S20=1,T20=0),1,0)</f>
        <v/>
      </c>
      <c r="U21" s="14">
        <f>IF(AND(T20=1,U20=0),1,0)</f>
        <v/>
      </c>
      <c r="V21" s="14">
        <f>IF(AND(U20=1,V20=0),1,0)</f>
        <v/>
      </c>
      <c r="W21" s="14">
        <f>IF(AND(V20=1,W20=0),1,0)</f>
        <v/>
      </c>
      <c r="X21" s="14">
        <f>IF(AND(W20=1,X20=0),1,0)</f>
        <v/>
      </c>
      <c r="Y21" s="14">
        <f>IF(AND(X20=1,Y20=0),1,0)</f>
        <v/>
      </c>
      <c r="Z21" s="14">
        <f>IF(AND(Y20=1,Z20=0),1,0)</f>
        <v/>
      </c>
      <c r="AA21" s="14">
        <f>IF(AND(Z20=1,AA20=0),1,0)</f>
        <v/>
      </c>
      <c r="AB21" s="14">
        <f>IF(AND(AA20=1,AB20=0),1,0)</f>
        <v/>
      </c>
      <c r="AC21" s="14">
        <f>IF(AND(AB20=1,AC20=0),1,0)</f>
        <v/>
      </c>
      <c r="AD21" s="14">
        <f>IF(AND(AC20=1,AD20=0),1,0)</f>
        <v/>
      </c>
      <c r="AE21" s="14">
        <f>IF(AND(AD20=1,AE20=0),1,0)</f>
        <v/>
      </c>
      <c r="AF21" s="14">
        <f>IF(AND(AE20=1,AF20=0),1,0)</f>
        <v/>
      </c>
      <c r="AG21" s="14">
        <f>IF(AND(AF20=1,AG20=0),1,0)</f>
        <v/>
      </c>
      <c r="AH21" s="14">
        <f>IF(AND(AG20=1,AH20=0),1,0)</f>
        <v/>
      </c>
      <c r="AI21" s="14">
        <f>IF(AND(AH20=1,AI20=0),1,0)</f>
        <v/>
      </c>
      <c r="AJ21" s="14">
        <f>IF(AND(AI20=1,AJ20=0),1,0)</f>
        <v/>
      </c>
      <c r="AK21" s="14">
        <f>IF(AND(AJ20=1,AK20=0),1,0)</f>
        <v/>
      </c>
      <c r="AL21" s="14">
        <f>IF(AND(AK20=1,AL20=0),1,0)</f>
        <v/>
      </c>
      <c r="AM21" s="14">
        <f>IF(AND(AL20=1,AM20=0),1,0)</f>
        <v/>
      </c>
      <c r="AN21" s="14">
        <f>IF(AND(AM20=1,AN20=0),1,0)</f>
        <v/>
      </c>
      <c r="AO21" s="14">
        <f>IF(AND(AN20=1,AO20=0),1,0)</f>
        <v/>
      </c>
      <c r="AP21" s="14">
        <f>IF(AND(AO20=1,AP20=0),1,0)</f>
        <v/>
      </c>
      <c r="AQ21" s="14">
        <f>IF(AND(AP20=1,AQ20=0),1,0)</f>
        <v/>
      </c>
      <c r="AR21" s="14">
        <f>IF(AND(AQ20=1,AR20=0),1,0)</f>
        <v/>
      </c>
      <c r="AS21" s="14">
        <f>IF(AND(AR20=1,AS20=0),1,0)</f>
        <v/>
      </c>
      <c r="AT21" s="14">
        <f>IF(AND(AS20=1,AT20=0),1,0)</f>
        <v/>
      </c>
      <c r="AU21" s="14">
        <f>IF(AND(AT20=1,AU20=0),1,0)</f>
        <v/>
      </c>
      <c r="AV21" s="14">
        <f>IF(AND(AU20=1,AV20=0),1,0)</f>
        <v/>
      </c>
      <c r="AW21" s="14">
        <f>IF(AND(AV20=1,AW20=0),1,0)</f>
        <v/>
      </c>
      <c r="AX21" s="14">
        <f>IF(AND(AW20=1,AX20=0),1,0)</f>
        <v/>
      </c>
      <c r="AY21" s="14">
        <f>IF(AND(AX20=1,AY20=0),1,0)</f>
        <v/>
      </c>
      <c r="AZ21" s="14">
        <f>IF(AND(AY20=1,AZ20=0),1,0)</f>
        <v/>
      </c>
      <c r="BA21" s="14">
        <f>IF(AND(AZ20=1,BA20=0),1,0)</f>
        <v/>
      </c>
      <c r="BB21" s="14">
        <f>IF(AND(BA20=1,BB20=0),1,0)</f>
        <v/>
      </c>
      <c r="BC21" s="14">
        <f>IF(AND(BB20=1,BC20=0),1,0)</f>
        <v/>
      </c>
      <c r="BD21" s="14">
        <f>IF(AND(BC20=1,BD20=0),1,0)</f>
        <v/>
      </c>
      <c r="BE21" s="14">
        <f>IF(AND(BD20=1,BE20=0),1,0)</f>
        <v/>
      </c>
      <c r="BF21" s="14">
        <f>IF(AND(BE20=1,BF20=0),1,0)</f>
        <v/>
      </c>
      <c r="BG21" s="14">
        <f>IF(AND(BF20=1,BG20=0),1,0)</f>
        <v/>
      </c>
      <c r="BH21" s="14">
        <f>IF(AND(BG20=1,BH20=0),1,0)</f>
        <v/>
      </c>
      <c r="BI21" s="14">
        <f>IF(AND(BH20=1,BI20=0),1,0)</f>
        <v/>
      </c>
      <c r="BJ21" s="14">
        <f>IF(AND(BI20=1,BJ20=0),1,0)</f>
        <v/>
      </c>
      <c r="BK21" s="14">
        <f>IF(AND(BJ20=1,BK20=0),1,0)</f>
        <v/>
      </c>
      <c r="BL21" s="14">
        <f>IF(AND(BK20=1,BL20=0),1,0)</f>
        <v/>
      </c>
      <c r="BM21" s="14">
        <f>IF(AND(BL20=1,BM20=0),1,0)</f>
        <v/>
      </c>
      <c r="BN21" s="14">
        <f>IF(AND(BM20=1,BN20=0),1,0)</f>
        <v/>
      </c>
      <c r="BO21" s="14">
        <f>IF(AND(BN20=1,BO20=0),1,0)</f>
        <v/>
      </c>
      <c r="BP21" s="14">
        <f>IF(AND(BO20=1,BP20=0),1,0)</f>
        <v/>
      </c>
      <c r="BQ21" s="14">
        <f>IF(AND(BP20=1,BQ20=0),1,0)</f>
        <v/>
      </c>
      <c r="BR21" s="14">
        <f>IF(AND(BQ20=1,BR20=0),1,0)</f>
        <v/>
      </c>
      <c r="BS21" s="14">
        <f>IF(AND(BR20=1,BS20=0),1,0)</f>
        <v/>
      </c>
      <c r="BT21" s="14">
        <f>IF(AND(BS20=1,BT20=0),1,0)</f>
        <v/>
      </c>
      <c r="BU21" s="14">
        <f>IF(AND(BT20=1,BU20=0),1,0)</f>
        <v/>
      </c>
      <c r="BV21" s="14">
        <f>IF(AND(BU20=1,BV20=0),1,0)</f>
        <v/>
      </c>
      <c r="BW21" s="14">
        <f>IF(AND(BV20=1,BW20=0),1,0)</f>
        <v/>
      </c>
      <c r="BX21" s="14">
        <f>IF(AND(BW20=1,BX20=0),1,0)</f>
        <v/>
      </c>
      <c r="BY21" s="14">
        <f>IF(AND(BX20=1,BY20=0),1,0)</f>
        <v/>
      </c>
      <c r="BZ21" s="14">
        <f>IF(AND(BY20=1,BZ20=0),1,0)</f>
        <v/>
      </c>
      <c r="CA21" s="14">
        <f>IF(AND(BZ20=1,CA20=0),1,0)</f>
        <v/>
      </c>
      <c r="CB21" s="14">
        <f>IF(AND(CA20=1,CB20=0),1,0)</f>
        <v/>
      </c>
      <c r="CC21" s="14">
        <f>IF(AND(CB20=1,CC20=0),1,0)</f>
        <v/>
      </c>
      <c r="CD21" s="14">
        <f>IF(AND(CC20=1,CD20=0),1,0)</f>
        <v/>
      </c>
      <c r="CE21" s="14">
        <f>IF(AND(CD20=1,CE20=0),1,0)</f>
        <v/>
      </c>
      <c r="CF21" s="14">
        <f>IF(AND(CE20=1,CF20=0),1,0)</f>
        <v/>
      </c>
      <c r="CG21" s="14">
        <f>IF(AND(CF20=1,CG20=0),1,0)</f>
        <v/>
      </c>
      <c r="CH21" s="14">
        <f>IF(AND(CG20=1,CH20=0),1,0)</f>
        <v/>
      </c>
      <c r="CI21" s="14">
        <f>IF(AND(CH20=1,CI20=0),1,0)</f>
        <v/>
      </c>
      <c r="CJ21" s="14">
        <f>IF(AND(CI20=1,CJ20=0),1,0)</f>
        <v/>
      </c>
      <c r="CK21" s="14">
        <f>IF(AND(CJ20=1,CK20=0),1,0)</f>
        <v/>
      </c>
      <c r="CL21" s="14">
        <f>IF(AND(CK20=1,CL20=0),1,0)</f>
        <v/>
      </c>
      <c r="CM21" s="14">
        <f>IF(AND(CL20=1,CM20=0),1,0)</f>
        <v/>
      </c>
      <c r="CN21" s="14">
        <f>IF(AND(CM20=1,CN20=0),1,0)</f>
        <v/>
      </c>
      <c r="CO21" s="14">
        <f>IF(AND(CN20=1,CO20=0),1,0)</f>
        <v/>
      </c>
      <c r="CP21" s="14">
        <f>IF(AND(CO20=1,CP20=0),1,0)</f>
        <v/>
      </c>
      <c r="CQ21" s="14">
        <f>IF(AND(CP20=1,CQ20=0),1,0)</f>
        <v/>
      </c>
      <c r="CR21" s="14">
        <f>IF(AND(CQ20=1,CR20=0),1,0)</f>
        <v/>
      </c>
      <c r="CS21" s="14">
        <f>IF(AND(CR20=1,CS20=0),1,0)</f>
        <v/>
      </c>
      <c r="CT21" s="14">
        <f>IF(AND(CS20=1,CT20=0),1,0)</f>
        <v/>
      </c>
      <c r="CU21" s="14">
        <f>IF(AND(CT20=1,CU20=0),1,0)</f>
        <v/>
      </c>
      <c r="CV21" s="14">
        <f>IF(AND(CU20=1,CV20=0),1,0)</f>
        <v/>
      </c>
      <c r="CW21" s="14">
        <f>IF(AND(CV20=1,CW20=0),1,0)</f>
        <v/>
      </c>
      <c r="CX21" s="14">
        <f>IF(AND(CW20=1,CX20=0),1,0)</f>
        <v/>
      </c>
      <c r="CY21" s="14">
        <f>IF(AND(CX20=1,CY20=0),1,0)</f>
        <v/>
      </c>
      <c r="CZ21" s="14">
        <f>IF(AND(CY20=1,CZ20=0),1,0)</f>
        <v/>
      </c>
      <c r="DA21" s="14">
        <f>IF(AND(CZ20=1,DA20=0),1,0)</f>
        <v/>
      </c>
      <c r="DB21" s="14">
        <f>IF(AND(DA20=1,DB20=0),1,0)</f>
        <v/>
      </c>
    </row>
    <row r="22">
      <c r="D22" t="inlineStr">
        <is>
          <t>Flag_BridgeDraw (last six construction quarters)</t>
        </is>
      </c>
      <c r="E22" t="inlineStr">
        <is>
          <t>flag</t>
        </is>
      </c>
      <c r="J22" s="14">
        <f>IF(AND(J20=1,J8&gt;EDATE(Inputs!$F$16,-Inputs!$F$51)),1,0)</f>
        <v/>
      </c>
      <c r="K22" s="14">
        <f>IF(AND(K20=1,K8&gt;EDATE(Inputs!$F$16,-Inputs!$F$51)),1,0)</f>
        <v/>
      </c>
      <c r="L22" s="14">
        <f>IF(AND(L20=1,L8&gt;EDATE(Inputs!$F$16,-Inputs!$F$51)),1,0)</f>
        <v/>
      </c>
      <c r="M22" s="14">
        <f>IF(AND(M20=1,M8&gt;EDATE(Inputs!$F$16,-Inputs!$F$51)),1,0)</f>
        <v/>
      </c>
      <c r="N22" s="14">
        <f>IF(AND(N20=1,N8&gt;EDATE(Inputs!$F$16,-Inputs!$F$51)),1,0)</f>
        <v/>
      </c>
      <c r="O22" s="14">
        <f>IF(AND(O20=1,O8&gt;EDATE(Inputs!$F$16,-Inputs!$F$51)),1,0)</f>
        <v/>
      </c>
      <c r="P22" s="14">
        <f>IF(AND(P20=1,P8&gt;EDATE(Inputs!$F$16,-Inputs!$F$51)),1,0)</f>
        <v/>
      </c>
      <c r="Q22" s="14">
        <f>IF(AND(Q20=1,Q8&gt;EDATE(Inputs!$F$16,-Inputs!$F$51)),1,0)</f>
        <v/>
      </c>
      <c r="R22" s="14">
        <f>IF(AND(R20=1,R8&gt;EDATE(Inputs!$F$16,-Inputs!$F$51)),1,0)</f>
        <v/>
      </c>
      <c r="S22" s="14">
        <f>IF(AND(S20=1,S8&gt;EDATE(Inputs!$F$16,-Inputs!$F$51)),1,0)</f>
        <v/>
      </c>
      <c r="T22" s="14">
        <f>IF(AND(T20=1,T8&gt;EDATE(Inputs!$F$16,-Inputs!$F$51)),1,0)</f>
        <v/>
      </c>
      <c r="U22" s="14">
        <f>IF(AND(U20=1,U8&gt;EDATE(Inputs!$F$16,-Inputs!$F$51)),1,0)</f>
        <v/>
      </c>
      <c r="V22" s="14">
        <f>IF(AND(V20=1,V8&gt;EDATE(Inputs!$F$16,-Inputs!$F$51)),1,0)</f>
        <v/>
      </c>
      <c r="W22" s="14">
        <f>IF(AND(W20=1,W8&gt;EDATE(Inputs!$F$16,-Inputs!$F$51)),1,0)</f>
        <v/>
      </c>
      <c r="X22" s="14">
        <f>IF(AND(X20=1,X8&gt;EDATE(Inputs!$F$16,-Inputs!$F$51)),1,0)</f>
        <v/>
      </c>
      <c r="Y22" s="14">
        <f>IF(AND(Y20=1,Y8&gt;EDATE(Inputs!$F$16,-Inputs!$F$51)),1,0)</f>
        <v/>
      </c>
      <c r="Z22" s="14">
        <f>IF(AND(Z20=1,Z8&gt;EDATE(Inputs!$F$16,-Inputs!$F$51)),1,0)</f>
        <v/>
      </c>
      <c r="AA22" s="14">
        <f>IF(AND(AA20=1,AA8&gt;EDATE(Inputs!$F$16,-Inputs!$F$51)),1,0)</f>
        <v/>
      </c>
      <c r="AB22" s="14">
        <f>IF(AND(AB20=1,AB8&gt;EDATE(Inputs!$F$16,-Inputs!$F$51)),1,0)</f>
        <v/>
      </c>
      <c r="AC22" s="14">
        <f>IF(AND(AC20=1,AC8&gt;EDATE(Inputs!$F$16,-Inputs!$F$51)),1,0)</f>
        <v/>
      </c>
      <c r="AD22" s="14">
        <f>IF(AND(AD20=1,AD8&gt;EDATE(Inputs!$F$16,-Inputs!$F$51)),1,0)</f>
        <v/>
      </c>
      <c r="AE22" s="14">
        <f>IF(AND(AE20=1,AE8&gt;EDATE(Inputs!$F$16,-Inputs!$F$51)),1,0)</f>
        <v/>
      </c>
      <c r="AF22" s="14">
        <f>IF(AND(AF20=1,AF8&gt;EDATE(Inputs!$F$16,-Inputs!$F$51)),1,0)</f>
        <v/>
      </c>
      <c r="AG22" s="14">
        <f>IF(AND(AG20=1,AG8&gt;EDATE(Inputs!$F$16,-Inputs!$F$51)),1,0)</f>
        <v/>
      </c>
      <c r="AH22" s="14">
        <f>IF(AND(AH20=1,AH8&gt;EDATE(Inputs!$F$16,-Inputs!$F$51)),1,0)</f>
        <v/>
      </c>
      <c r="AI22" s="14">
        <f>IF(AND(AI20=1,AI8&gt;EDATE(Inputs!$F$16,-Inputs!$F$51)),1,0)</f>
        <v/>
      </c>
      <c r="AJ22" s="14">
        <f>IF(AND(AJ20=1,AJ8&gt;EDATE(Inputs!$F$16,-Inputs!$F$51)),1,0)</f>
        <v/>
      </c>
      <c r="AK22" s="14">
        <f>IF(AND(AK20=1,AK8&gt;EDATE(Inputs!$F$16,-Inputs!$F$51)),1,0)</f>
        <v/>
      </c>
      <c r="AL22" s="14">
        <f>IF(AND(AL20=1,AL8&gt;EDATE(Inputs!$F$16,-Inputs!$F$51)),1,0)</f>
        <v/>
      </c>
      <c r="AM22" s="14">
        <f>IF(AND(AM20=1,AM8&gt;EDATE(Inputs!$F$16,-Inputs!$F$51)),1,0)</f>
        <v/>
      </c>
      <c r="AN22" s="14">
        <f>IF(AND(AN20=1,AN8&gt;EDATE(Inputs!$F$16,-Inputs!$F$51)),1,0)</f>
        <v/>
      </c>
      <c r="AO22" s="14">
        <f>IF(AND(AO20=1,AO8&gt;EDATE(Inputs!$F$16,-Inputs!$F$51)),1,0)</f>
        <v/>
      </c>
      <c r="AP22" s="14">
        <f>IF(AND(AP20=1,AP8&gt;EDATE(Inputs!$F$16,-Inputs!$F$51)),1,0)</f>
        <v/>
      </c>
      <c r="AQ22" s="14">
        <f>IF(AND(AQ20=1,AQ8&gt;EDATE(Inputs!$F$16,-Inputs!$F$51)),1,0)</f>
        <v/>
      </c>
      <c r="AR22" s="14">
        <f>IF(AND(AR20=1,AR8&gt;EDATE(Inputs!$F$16,-Inputs!$F$51)),1,0)</f>
        <v/>
      </c>
      <c r="AS22" s="14">
        <f>IF(AND(AS20=1,AS8&gt;EDATE(Inputs!$F$16,-Inputs!$F$51)),1,0)</f>
        <v/>
      </c>
      <c r="AT22" s="14">
        <f>IF(AND(AT20=1,AT8&gt;EDATE(Inputs!$F$16,-Inputs!$F$51)),1,0)</f>
        <v/>
      </c>
      <c r="AU22" s="14">
        <f>IF(AND(AU20=1,AU8&gt;EDATE(Inputs!$F$16,-Inputs!$F$51)),1,0)</f>
        <v/>
      </c>
      <c r="AV22" s="14">
        <f>IF(AND(AV20=1,AV8&gt;EDATE(Inputs!$F$16,-Inputs!$F$51)),1,0)</f>
        <v/>
      </c>
      <c r="AW22" s="14">
        <f>IF(AND(AW20=1,AW8&gt;EDATE(Inputs!$F$16,-Inputs!$F$51)),1,0)</f>
        <v/>
      </c>
      <c r="AX22" s="14">
        <f>IF(AND(AX20=1,AX8&gt;EDATE(Inputs!$F$16,-Inputs!$F$51)),1,0)</f>
        <v/>
      </c>
      <c r="AY22" s="14">
        <f>IF(AND(AY20=1,AY8&gt;EDATE(Inputs!$F$16,-Inputs!$F$51)),1,0)</f>
        <v/>
      </c>
      <c r="AZ22" s="14">
        <f>IF(AND(AZ20=1,AZ8&gt;EDATE(Inputs!$F$16,-Inputs!$F$51)),1,0)</f>
        <v/>
      </c>
      <c r="BA22" s="14">
        <f>IF(AND(BA20=1,BA8&gt;EDATE(Inputs!$F$16,-Inputs!$F$51)),1,0)</f>
        <v/>
      </c>
      <c r="BB22" s="14">
        <f>IF(AND(BB20=1,BB8&gt;EDATE(Inputs!$F$16,-Inputs!$F$51)),1,0)</f>
        <v/>
      </c>
      <c r="BC22" s="14">
        <f>IF(AND(BC20=1,BC8&gt;EDATE(Inputs!$F$16,-Inputs!$F$51)),1,0)</f>
        <v/>
      </c>
      <c r="BD22" s="14">
        <f>IF(AND(BD20=1,BD8&gt;EDATE(Inputs!$F$16,-Inputs!$F$51)),1,0)</f>
        <v/>
      </c>
      <c r="BE22" s="14">
        <f>IF(AND(BE20=1,BE8&gt;EDATE(Inputs!$F$16,-Inputs!$F$51)),1,0)</f>
        <v/>
      </c>
      <c r="BF22" s="14">
        <f>IF(AND(BF20=1,BF8&gt;EDATE(Inputs!$F$16,-Inputs!$F$51)),1,0)</f>
        <v/>
      </c>
      <c r="BG22" s="14">
        <f>IF(AND(BG20=1,BG8&gt;EDATE(Inputs!$F$16,-Inputs!$F$51)),1,0)</f>
        <v/>
      </c>
      <c r="BH22" s="14">
        <f>IF(AND(BH20=1,BH8&gt;EDATE(Inputs!$F$16,-Inputs!$F$51)),1,0)</f>
        <v/>
      </c>
      <c r="BI22" s="14">
        <f>IF(AND(BI20=1,BI8&gt;EDATE(Inputs!$F$16,-Inputs!$F$51)),1,0)</f>
        <v/>
      </c>
      <c r="BJ22" s="14">
        <f>IF(AND(BJ20=1,BJ8&gt;EDATE(Inputs!$F$16,-Inputs!$F$51)),1,0)</f>
        <v/>
      </c>
      <c r="BK22" s="14">
        <f>IF(AND(BK20=1,BK8&gt;EDATE(Inputs!$F$16,-Inputs!$F$51)),1,0)</f>
        <v/>
      </c>
      <c r="BL22" s="14">
        <f>IF(AND(BL20=1,BL8&gt;EDATE(Inputs!$F$16,-Inputs!$F$51)),1,0)</f>
        <v/>
      </c>
      <c r="BM22" s="14">
        <f>IF(AND(BM20=1,BM8&gt;EDATE(Inputs!$F$16,-Inputs!$F$51)),1,0)</f>
        <v/>
      </c>
      <c r="BN22" s="14">
        <f>IF(AND(BN20=1,BN8&gt;EDATE(Inputs!$F$16,-Inputs!$F$51)),1,0)</f>
        <v/>
      </c>
      <c r="BO22" s="14">
        <f>IF(AND(BO20=1,BO8&gt;EDATE(Inputs!$F$16,-Inputs!$F$51)),1,0)</f>
        <v/>
      </c>
      <c r="BP22" s="14">
        <f>IF(AND(BP20=1,BP8&gt;EDATE(Inputs!$F$16,-Inputs!$F$51)),1,0)</f>
        <v/>
      </c>
      <c r="BQ22" s="14">
        <f>IF(AND(BQ20=1,BQ8&gt;EDATE(Inputs!$F$16,-Inputs!$F$51)),1,0)</f>
        <v/>
      </c>
      <c r="BR22" s="14">
        <f>IF(AND(BR20=1,BR8&gt;EDATE(Inputs!$F$16,-Inputs!$F$51)),1,0)</f>
        <v/>
      </c>
      <c r="BS22" s="14">
        <f>IF(AND(BS20=1,BS8&gt;EDATE(Inputs!$F$16,-Inputs!$F$51)),1,0)</f>
        <v/>
      </c>
      <c r="BT22" s="14">
        <f>IF(AND(BT20=1,BT8&gt;EDATE(Inputs!$F$16,-Inputs!$F$51)),1,0)</f>
        <v/>
      </c>
      <c r="BU22" s="14">
        <f>IF(AND(BU20=1,BU8&gt;EDATE(Inputs!$F$16,-Inputs!$F$51)),1,0)</f>
        <v/>
      </c>
      <c r="BV22" s="14">
        <f>IF(AND(BV20=1,BV8&gt;EDATE(Inputs!$F$16,-Inputs!$F$51)),1,0)</f>
        <v/>
      </c>
      <c r="BW22" s="14">
        <f>IF(AND(BW20=1,BW8&gt;EDATE(Inputs!$F$16,-Inputs!$F$51)),1,0)</f>
        <v/>
      </c>
      <c r="BX22" s="14">
        <f>IF(AND(BX20=1,BX8&gt;EDATE(Inputs!$F$16,-Inputs!$F$51)),1,0)</f>
        <v/>
      </c>
      <c r="BY22" s="14">
        <f>IF(AND(BY20=1,BY8&gt;EDATE(Inputs!$F$16,-Inputs!$F$51)),1,0)</f>
        <v/>
      </c>
      <c r="BZ22" s="14">
        <f>IF(AND(BZ20=1,BZ8&gt;EDATE(Inputs!$F$16,-Inputs!$F$51)),1,0)</f>
        <v/>
      </c>
      <c r="CA22" s="14">
        <f>IF(AND(CA20=1,CA8&gt;EDATE(Inputs!$F$16,-Inputs!$F$51)),1,0)</f>
        <v/>
      </c>
      <c r="CB22" s="14">
        <f>IF(AND(CB20=1,CB8&gt;EDATE(Inputs!$F$16,-Inputs!$F$51)),1,0)</f>
        <v/>
      </c>
      <c r="CC22" s="14">
        <f>IF(AND(CC20=1,CC8&gt;EDATE(Inputs!$F$16,-Inputs!$F$51)),1,0)</f>
        <v/>
      </c>
      <c r="CD22" s="14">
        <f>IF(AND(CD20=1,CD8&gt;EDATE(Inputs!$F$16,-Inputs!$F$51)),1,0)</f>
        <v/>
      </c>
      <c r="CE22" s="14">
        <f>IF(AND(CE20=1,CE8&gt;EDATE(Inputs!$F$16,-Inputs!$F$51)),1,0)</f>
        <v/>
      </c>
      <c r="CF22" s="14">
        <f>IF(AND(CF20=1,CF8&gt;EDATE(Inputs!$F$16,-Inputs!$F$51)),1,0)</f>
        <v/>
      </c>
      <c r="CG22" s="14">
        <f>IF(AND(CG20=1,CG8&gt;EDATE(Inputs!$F$16,-Inputs!$F$51)),1,0)</f>
        <v/>
      </c>
      <c r="CH22" s="14">
        <f>IF(AND(CH20=1,CH8&gt;EDATE(Inputs!$F$16,-Inputs!$F$51)),1,0)</f>
        <v/>
      </c>
      <c r="CI22" s="14">
        <f>IF(AND(CI20=1,CI8&gt;EDATE(Inputs!$F$16,-Inputs!$F$51)),1,0)</f>
        <v/>
      </c>
      <c r="CJ22" s="14">
        <f>IF(AND(CJ20=1,CJ8&gt;EDATE(Inputs!$F$16,-Inputs!$F$51)),1,0)</f>
        <v/>
      </c>
      <c r="CK22" s="14">
        <f>IF(AND(CK20=1,CK8&gt;EDATE(Inputs!$F$16,-Inputs!$F$51)),1,0)</f>
        <v/>
      </c>
      <c r="CL22" s="14">
        <f>IF(AND(CL20=1,CL8&gt;EDATE(Inputs!$F$16,-Inputs!$F$51)),1,0)</f>
        <v/>
      </c>
      <c r="CM22" s="14">
        <f>IF(AND(CM20=1,CM8&gt;EDATE(Inputs!$F$16,-Inputs!$F$51)),1,0)</f>
        <v/>
      </c>
      <c r="CN22" s="14">
        <f>IF(AND(CN20=1,CN8&gt;EDATE(Inputs!$F$16,-Inputs!$F$51)),1,0)</f>
        <v/>
      </c>
      <c r="CO22" s="14">
        <f>IF(AND(CO20=1,CO8&gt;EDATE(Inputs!$F$16,-Inputs!$F$51)),1,0)</f>
        <v/>
      </c>
      <c r="CP22" s="14">
        <f>IF(AND(CP20=1,CP8&gt;EDATE(Inputs!$F$16,-Inputs!$F$51)),1,0)</f>
        <v/>
      </c>
      <c r="CQ22" s="14">
        <f>IF(AND(CQ20=1,CQ8&gt;EDATE(Inputs!$F$16,-Inputs!$F$51)),1,0)</f>
        <v/>
      </c>
      <c r="CR22" s="14">
        <f>IF(AND(CR20=1,CR8&gt;EDATE(Inputs!$F$16,-Inputs!$F$51)),1,0)</f>
        <v/>
      </c>
      <c r="CS22" s="14">
        <f>IF(AND(CS20=1,CS8&gt;EDATE(Inputs!$F$16,-Inputs!$F$51)),1,0)</f>
        <v/>
      </c>
      <c r="CT22" s="14">
        <f>IF(AND(CT20=1,CT8&gt;EDATE(Inputs!$F$16,-Inputs!$F$51)),1,0)</f>
        <v/>
      </c>
      <c r="CU22" s="14">
        <f>IF(AND(CU20=1,CU8&gt;EDATE(Inputs!$F$16,-Inputs!$F$51)),1,0)</f>
        <v/>
      </c>
      <c r="CV22" s="14">
        <f>IF(AND(CV20=1,CV8&gt;EDATE(Inputs!$F$16,-Inputs!$F$51)),1,0)</f>
        <v/>
      </c>
      <c r="CW22" s="14">
        <f>IF(AND(CW20=1,CW8&gt;EDATE(Inputs!$F$16,-Inputs!$F$51)),1,0)</f>
        <v/>
      </c>
      <c r="CX22" s="14">
        <f>IF(AND(CX20=1,CX8&gt;EDATE(Inputs!$F$16,-Inputs!$F$51)),1,0)</f>
        <v/>
      </c>
      <c r="CY22" s="14">
        <f>IF(AND(CY20=1,CY8&gt;EDATE(Inputs!$F$16,-Inputs!$F$51)),1,0)</f>
        <v/>
      </c>
      <c r="CZ22" s="14">
        <f>IF(AND(CZ20=1,CZ8&gt;EDATE(Inputs!$F$16,-Inputs!$F$51)),1,0)</f>
        <v/>
      </c>
      <c r="DA22" s="14">
        <f>IF(AND(DA20=1,DA8&gt;EDATE(Inputs!$F$16,-Inputs!$F$51)),1,0)</f>
        <v/>
      </c>
      <c r="DB22" s="14">
        <f>IF(AND(DB20=1,DB8&gt;EDATE(Inputs!$F$16,-Inputs!$F$51)),1,0)</f>
        <v/>
      </c>
    </row>
    <row r="23">
      <c r="D23" t="inlineStr">
        <is>
          <t>Flag_PostRestructuring</t>
        </is>
      </c>
      <c r="E23" t="inlineStr">
        <is>
          <t>flag</t>
        </is>
      </c>
      <c r="J23" s="14">
        <f>IF(AND(Inputs!$F$216=1,J8&gt;Inputs!$F$21),1,0)</f>
        <v/>
      </c>
      <c r="K23" s="14">
        <f>IF(AND(Inputs!$F$216=1,K8&gt;Inputs!$F$21),1,0)</f>
        <v/>
      </c>
      <c r="L23" s="14">
        <f>IF(AND(Inputs!$F$216=1,L8&gt;Inputs!$F$21),1,0)</f>
        <v/>
      </c>
      <c r="M23" s="14">
        <f>IF(AND(Inputs!$F$216=1,M8&gt;Inputs!$F$21),1,0)</f>
        <v/>
      </c>
      <c r="N23" s="14">
        <f>IF(AND(Inputs!$F$216=1,N8&gt;Inputs!$F$21),1,0)</f>
        <v/>
      </c>
      <c r="O23" s="14">
        <f>IF(AND(Inputs!$F$216=1,O8&gt;Inputs!$F$21),1,0)</f>
        <v/>
      </c>
      <c r="P23" s="14">
        <f>IF(AND(Inputs!$F$216=1,P8&gt;Inputs!$F$21),1,0)</f>
        <v/>
      </c>
      <c r="Q23" s="14">
        <f>IF(AND(Inputs!$F$216=1,Q8&gt;Inputs!$F$21),1,0)</f>
        <v/>
      </c>
      <c r="R23" s="14">
        <f>IF(AND(Inputs!$F$216=1,R8&gt;Inputs!$F$21),1,0)</f>
        <v/>
      </c>
      <c r="S23" s="14">
        <f>IF(AND(Inputs!$F$216=1,S8&gt;Inputs!$F$21),1,0)</f>
        <v/>
      </c>
      <c r="T23" s="14">
        <f>IF(AND(Inputs!$F$216=1,T8&gt;Inputs!$F$21),1,0)</f>
        <v/>
      </c>
      <c r="U23" s="14">
        <f>IF(AND(Inputs!$F$216=1,U8&gt;Inputs!$F$21),1,0)</f>
        <v/>
      </c>
      <c r="V23" s="14">
        <f>IF(AND(Inputs!$F$216=1,V8&gt;Inputs!$F$21),1,0)</f>
        <v/>
      </c>
      <c r="W23" s="14">
        <f>IF(AND(Inputs!$F$216=1,W8&gt;Inputs!$F$21),1,0)</f>
        <v/>
      </c>
      <c r="X23" s="14">
        <f>IF(AND(Inputs!$F$216=1,X8&gt;Inputs!$F$21),1,0)</f>
        <v/>
      </c>
      <c r="Y23" s="14">
        <f>IF(AND(Inputs!$F$216=1,Y8&gt;Inputs!$F$21),1,0)</f>
        <v/>
      </c>
      <c r="Z23" s="14">
        <f>IF(AND(Inputs!$F$216=1,Z8&gt;Inputs!$F$21),1,0)</f>
        <v/>
      </c>
      <c r="AA23" s="14">
        <f>IF(AND(Inputs!$F$216=1,AA8&gt;Inputs!$F$21),1,0)</f>
        <v/>
      </c>
      <c r="AB23" s="14">
        <f>IF(AND(Inputs!$F$216=1,AB8&gt;Inputs!$F$21),1,0)</f>
        <v/>
      </c>
      <c r="AC23" s="14">
        <f>IF(AND(Inputs!$F$216=1,AC8&gt;Inputs!$F$21),1,0)</f>
        <v/>
      </c>
      <c r="AD23" s="14">
        <f>IF(AND(Inputs!$F$216=1,AD8&gt;Inputs!$F$21),1,0)</f>
        <v/>
      </c>
      <c r="AE23" s="14">
        <f>IF(AND(Inputs!$F$216=1,AE8&gt;Inputs!$F$21),1,0)</f>
        <v/>
      </c>
      <c r="AF23" s="14">
        <f>IF(AND(Inputs!$F$216=1,AF8&gt;Inputs!$F$21),1,0)</f>
        <v/>
      </c>
      <c r="AG23" s="14">
        <f>IF(AND(Inputs!$F$216=1,AG8&gt;Inputs!$F$21),1,0)</f>
        <v/>
      </c>
      <c r="AH23" s="14">
        <f>IF(AND(Inputs!$F$216=1,AH8&gt;Inputs!$F$21),1,0)</f>
        <v/>
      </c>
      <c r="AI23" s="14">
        <f>IF(AND(Inputs!$F$216=1,AI8&gt;Inputs!$F$21),1,0)</f>
        <v/>
      </c>
      <c r="AJ23" s="14">
        <f>IF(AND(Inputs!$F$216=1,AJ8&gt;Inputs!$F$21),1,0)</f>
        <v/>
      </c>
      <c r="AK23" s="14">
        <f>IF(AND(Inputs!$F$216=1,AK8&gt;Inputs!$F$21),1,0)</f>
        <v/>
      </c>
      <c r="AL23" s="14">
        <f>IF(AND(Inputs!$F$216=1,AL8&gt;Inputs!$F$21),1,0)</f>
        <v/>
      </c>
      <c r="AM23" s="14">
        <f>IF(AND(Inputs!$F$216=1,AM8&gt;Inputs!$F$21),1,0)</f>
        <v/>
      </c>
      <c r="AN23" s="14">
        <f>IF(AND(Inputs!$F$216=1,AN8&gt;Inputs!$F$21),1,0)</f>
        <v/>
      </c>
      <c r="AO23" s="14">
        <f>IF(AND(Inputs!$F$216=1,AO8&gt;Inputs!$F$21),1,0)</f>
        <v/>
      </c>
      <c r="AP23" s="14">
        <f>IF(AND(Inputs!$F$216=1,AP8&gt;Inputs!$F$21),1,0)</f>
        <v/>
      </c>
      <c r="AQ23" s="14">
        <f>IF(AND(Inputs!$F$216=1,AQ8&gt;Inputs!$F$21),1,0)</f>
        <v/>
      </c>
      <c r="AR23" s="14">
        <f>IF(AND(Inputs!$F$216=1,AR8&gt;Inputs!$F$21),1,0)</f>
        <v/>
      </c>
      <c r="AS23" s="14">
        <f>IF(AND(Inputs!$F$216=1,AS8&gt;Inputs!$F$21),1,0)</f>
        <v/>
      </c>
      <c r="AT23" s="14">
        <f>IF(AND(Inputs!$F$216=1,AT8&gt;Inputs!$F$21),1,0)</f>
        <v/>
      </c>
      <c r="AU23" s="14">
        <f>IF(AND(Inputs!$F$216=1,AU8&gt;Inputs!$F$21),1,0)</f>
        <v/>
      </c>
      <c r="AV23" s="14">
        <f>IF(AND(Inputs!$F$216=1,AV8&gt;Inputs!$F$21),1,0)</f>
        <v/>
      </c>
      <c r="AW23" s="14">
        <f>IF(AND(Inputs!$F$216=1,AW8&gt;Inputs!$F$21),1,0)</f>
        <v/>
      </c>
      <c r="AX23" s="14">
        <f>IF(AND(Inputs!$F$216=1,AX8&gt;Inputs!$F$21),1,0)</f>
        <v/>
      </c>
      <c r="AY23" s="14">
        <f>IF(AND(Inputs!$F$216=1,AY8&gt;Inputs!$F$21),1,0)</f>
        <v/>
      </c>
      <c r="AZ23" s="14">
        <f>IF(AND(Inputs!$F$216=1,AZ8&gt;Inputs!$F$21),1,0)</f>
        <v/>
      </c>
      <c r="BA23" s="14">
        <f>IF(AND(Inputs!$F$216=1,BA8&gt;Inputs!$F$21),1,0)</f>
        <v/>
      </c>
      <c r="BB23" s="14">
        <f>IF(AND(Inputs!$F$216=1,BB8&gt;Inputs!$F$21),1,0)</f>
        <v/>
      </c>
      <c r="BC23" s="14">
        <f>IF(AND(Inputs!$F$216=1,BC8&gt;Inputs!$F$21),1,0)</f>
        <v/>
      </c>
      <c r="BD23" s="14">
        <f>IF(AND(Inputs!$F$216=1,BD8&gt;Inputs!$F$21),1,0)</f>
        <v/>
      </c>
      <c r="BE23" s="14">
        <f>IF(AND(Inputs!$F$216=1,BE8&gt;Inputs!$F$21),1,0)</f>
        <v/>
      </c>
      <c r="BF23" s="14">
        <f>IF(AND(Inputs!$F$216=1,BF8&gt;Inputs!$F$21),1,0)</f>
        <v/>
      </c>
      <c r="BG23" s="14">
        <f>IF(AND(Inputs!$F$216=1,BG8&gt;Inputs!$F$21),1,0)</f>
        <v/>
      </c>
      <c r="BH23" s="14">
        <f>IF(AND(Inputs!$F$216=1,BH8&gt;Inputs!$F$21),1,0)</f>
        <v/>
      </c>
      <c r="BI23" s="14">
        <f>IF(AND(Inputs!$F$216=1,BI8&gt;Inputs!$F$21),1,0)</f>
        <v/>
      </c>
      <c r="BJ23" s="14">
        <f>IF(AND(Inputs!$F$216=1,BJ8&gt;Inputs!$F$21),1,0)</f>
        <v/>
      </c>
      <c r="BK23" s="14">
        <f>IF(AND(Inputs!$F$216=1,BK8&gt;Inputs!$F$21),1,0)</f>
        <v/>
      </c>
      <c r="BL23" s="14">
        <f>IF(AND(Inputs!$F$216=1,BL8&gt;Inputs!$F$21),1,0)</f>
        <v/>
      </c>
      <c r="BM23" s="14">
        <f>IF(AND(Inputs!$F$216=1,BM8&gt;Inputs!$F$21),1,0)</f>
        <v/>
      </c>
      <c r="BN23" s="14">
        <f>IF(AND(Inputs!$F$216=1,BN8&gt;Inputs!$F$21),1,0)</f>
        <v/>
      </c>
      <c r="BO23" s="14">
        <f>IF(AND(Inputs!$F$216=1,BO8&gt;Inputs!$F$21),1,0)</f>
        <v/>
      </c>
      <c r="BP23" s="14">
        <f>IF(AND(Inputs!$F$216=1,BP8&gt;Inputs!$F$21),1,0)</f>
        <v/>
      </c>
      <c r="BQ23" s="14">
        <f>IF(AND(Inputs!$F$216=1,BQ8&gt;Inputs!$F$21),1,0)</f>
        <v/>
      </c>
      <c r="BR23" s="14">
        <f>IF(AND(Inputs!$F$216=1,BR8&gt;Inputs!$F$21),1,0)</f>
        <v/>
      </c>
      <c r="BS23" s="14">
        <f>IF(AND(Inputs!$F$216=1,BS8&gt;Inputs!$F$21),1,0)</f>
        <v/>
      </c>
      <c r="BT23" s="14">
        <f>IF(AND(Inputs!$F$216=1,BT8&gt;Inputs!$F$21),1,0)</f>
        <v/>
      </c>
      <c r="BU23" s="14">
        <f>IF(AND(Inputs!$F$216=1,BU8&gt;Inputs!$F$21),1,0)</f>
        <v/>
      </c>
      <c r="BV23" s="14">
        <f>IF(AND(Inputs!$F$216=1,BV8&gt;Inputs!$F$21),1,0)</f>
        <v/>
      </c>
      <c r="BW23" s="14">
        <f>IF(AND(Inputs!$F$216=1,BW8&gt;Inputs!$F$21),1,0)</f>
        <v/>
      </c>
      <c r="BX23" s="14">
        <f>IF(AND(Inputs!$F$216=1,BX8&gt;Inputs!$F$21),1,0)</f>
        <v/>
      </c>
      <c r="BY23" s="14">
        <f>IF(AND(Inputs!$F$216=1,BY8&gt;Inputs!$F$21),1,0)</f>
        <v/>
      </c>
      <c r="BZ23" s="14">
        <f>IF(AND(Inputs!$F$216=1,BZ8&gt;Inputs!$F$21),1,0)</f>
        <v/>
      </c>
      <c r="CA23" s="14">
        <f>IF(AND(Inputs!$F$216=1,CA8&gt;Inputs!$F$21),1,0)</f>
        <v/>
      </c>
      <c r="CB23" s="14">
        <f>IF(AND(Inputs!$F$216=1,CB8&gt;Inputs!$F$21),1,0)</f>
        <v/>
      </c>
      <c r="CC23" s="14">
        <f>IF(AND(Inputs!$F$216=1,CC8&gt;Inputs!$F$21),1,0)</f>
        <v/>
      </c>
      <c r="CD23" s="14">
        <f>IF(AND(Inputs!$F$216=1,CD8&gt;Inputs!$F$21),1,0)</f>
        <v/>
      </c>
      <c r="CE23" s="14">
        <f>IF(AND(Inputs!$F$216=1,CE8&gt;Inputs!$F$21),1,0)</f>
        <v/>
      </c>
      <c r="CF23" s="14">
        <f>IF(AND(Inputs!$F$216=1,CF8&gt;Inputs!$F$21),1,0)</f>
        <v/>
      </c>
      <c r="CG23" s="14">
        <f>IF(AND(Inputs!$F$216=1,CG8&gt;Inputs!$F$21),1,0)</f>
        <v/>
      </c>
      <c r="CH23" s="14">
        <f>IF(AND(Inputs!$F$216=1,CH8&gt;Inputs!$F$21),1,0)</f>
        <v/>
      </c>
      <c r="CI23" s="14">
        <f>IF(AND(Inputs!$F$216=1,CI8&gt;Inputs!$F$21),1,0)</f>
        <v/>
      </c>
      <c r="CJ23" s="14">
        <f>IF(AND(Inputs!$F$216=1,CJ8&gt;Inputs!$F$21),1,0)</f>
        <v/>
      </c>
      <c r="CK23" s="14">
        <f>IF(AND(Inputs!$F$216=1,CK8&gt;Inputs!$F$21),1,0)</f>
        <v/>
      </c>
      <c r="CL23" s="14">
        <f>IF(AND(Inputs!$F$216=1,CL8&gt;Inputs!$F$21),1,0)</f>
        <v/>
      </c>
      <c r="CM23" s="14">
        <f>IF(AND(Inputs!$F$216=1,CM8&gt;Inputs!$F$21),1,0)</f>
        <v/>
      </c>
      <c r="CN23" s="14">
        <f>IF(AND(Inputs!$F$216=1,CN8&gt;Inputs!$F$21),1,0)</f>
        <v/>
      </c>
      <c r="CO23" s="14">
        <f>IF(AND(Inputs!$F$216=1,CO8&gt;Inputs!$F$21),1,0)</f>
        <v/>
      </c>
      <c r="CP23" s="14">
        <f>IF(AND(Inputs!$F$216=1,CP8&gt;Inputs!$F$21),1,0)</f>
        <v/>
      </c>
      <c r="CQ23" s="14">
        <f>IF(AND(Inputs!$F$216=1,CQ8&gt;Inputs!$F$21),1,0)</f>
        <v/>
      </c>
      <c r="CR23" s="14">
        <f>IF(AND(Inputs!$F$216=1,CR8&gt;Inputs!$F$21),1,0)</f>
        <v/>
      </c>
      <c r="CS23" s="14">
        <f>IF(AND(Inputs!$F$216=1,CS8&gt;Inputs!$F$21),1,0)</f>
        <v/>
      </c>
      <c r="CT23" s="14">
        <f>IF(AND(Inputs!$F$216=1,CT8&gt;Inputs!$F$21),1,0)</f>
        <v/>
      </c>
      <c r="CU23" s="14">
        <f>IF(AND(Inputs!$F$216=1,CU8&gt;Inputs!$F$21),1,0)</f>
        <v/>
      </c>
      <c r="CV23" s="14">
        <f>IF(AND(Inputs!$F$216=1,CV8&gt;Inputs!$F$21),1,0)</f>
        <v/>
      </c>
      <c r="CW23" s="14">
        <f>IF(AND(Inputs!$F$216=1,CW8&gt;Inputs!$F$21),1,0)</f>
        <v/>
      </c>
      <c r="CX23" s="14">
        <f>IF(AND(Inputs!$F$216=1,CX8&gt;Inputs!$F$21),1,0)</f>
        <v/>
      </c>
      <c r="CY23" s="14">
        <f>IF(AND(Inputs!$F$216=1,CY8&gt;Inputs!$F$21),1,0)</f>
        <v/>
      </c>
      <c r="CZ23" s="14">
        <f>IF(AND(Inputs!$F$216=1,CZ8&gt;Inputs!$F$21),1,0)</f>
        <v/>
      </c>
      <c r="DA23" s="14">
        <f>IF(AND(Inputs!$F$216=1,DA8&gt;Inputs!$F$21),1,0)</f>
        <v/>
      </c>
      <c r="DB23" s="14">
        <f>IF(AND(Inputs!$F$216=1,DB8&gt;Inputs!$F$21),1,0)</f>
        <v/>
      </c>
    </row>
    <row r="24">
      <c r="D24" t="inlineStr">
        <is>
          <t>Applicable concession expiry</t>
        </is>
      </c>
      <c r="E24" t="inlineStr">
        <is>
          <t>date</t>
        </is>
      </c>
      <c r="J24" s="15">
        <f>IF(J23=1,Inputs!$F$20,Inputs!$F$19)</f>
        <v/>
      </c>
      <c r="K24" s="15">
        <f>IF(K23=1,Inputs!$F$20,Inputs!$F$19)</f>
        <v/>
      </c>
      <c r="L24" s="15">
        <f>IF(L23=1,Inputs!$F$20,Inputs!$F$19)</f>
        <v/>
      </c>
      <c r="M24" s="15">
        <f>IF(M23=1,Inputs!$F$20,Inputs!$F$19)</f>
        <v/>
      </c>
      <c r="N24" s="15">
        <f>IF(N23=1,Inputs!$F$20,Inputs!$F$19)</f>
        <v/>
      </c>
      <c r="O24" s="15">
        <f>IF(O23=1,Inputs!$F$20,Inputs!$F$19)</f>
        <v/>
      </c>
      <c r="P24" s="15">
        <f>IF(P23=1,Inputs!$F$20,Inputs!$F$19)</f>
        <v/>
      </c>
      <c r="Q24" s="15">
        <f>IF(Q23=1,Inputs!$F$20,Inputs!$F$19)</f>
        <v/>
      </c>
      <c r="R24" s="15">
        <f>IF(R23=1,Inputs!$F$20,Inputs!$F$19)</f>
        <v/>
      </c>
      <c r="S24" s="15">
        <f>IF(S23=1,Inputs!$F$20,Inputs!$F$19)</f>
        <v/>
      </c>
      <c r="T24" s="15">
        <f>IF(T23=1,Inputs!$F$20,Inputs!$F$19)</f>
        <v/>
      </c>
      <c r="U24" s="15">
        <f>IF(U23=1,Inputs!$F$20,Inputs!$F$19)</f>
        <v/>
      </c>
      <c r="V24" s="15">
        <f>IF(V23=1,Inputs!$F$20,Inputs!$F$19)</f>
        <v/>
      </c>
      <c r="W24" s="15">
        <f>IF(W23=1,Inputs!$F$20,Inputs!$F$19)</f>
        <v/>
      </c>
      <c r="X24" s="15">
        <f>IF(X23=1,Inputs!$F$20,Inputs!$F$19)</f>
        <v/>
      </c>
      <c r="Y24" s="15">
        <f>IF(Y23=1,Inputs!$F$20,Inputs!$F$19)</f>
        <v/>
      </c>
      <c r="Z24" s="15">
        <f>IF(Z23=1,Inputs!$F$20,Inputs!$F$19)</f>
        <v/>
      </c>
      <c r="AA24" s="15">
        <f>IF(AA23=1,Inputs!$F$20,Inputs!$F$19)</f>
        <v/>
      </c>
      <c r="AB24" s="15">
        <f>IF(AB23=1,Inputs!$F$20,Inputs!$F$19)</f>
        <v/>
      </c>
      <c r="AC24" s="15">
        <f>IF(AC23=1,Inputs!$F$20,Inputs!$F$19)</f>
        <v/>
      </c>
      <c r="AD24" s="15">
        <f>IF(AD23=1,Inputs!$F$20,Inputs!$F$19)</f>
        <v/>
      </c>
      <c r="AE24" s="15">
        <f>IF(AE23=1,Inputs!$F$20,Inputs!$F$19)</f>
        <v/>
      </c>
      <c r="AF24" s="15">
        <f>IF(AF23=1,Inputs!$F$20,Inputs!$F$19)</f>
        <v/>
      </c>
      <c r="AG24" s="15">
        <f>IF(AG23=1,Inputs!$F$20,Inputs!$F$19)</f>
        <v/>
      </c>
      <c r="AH24" s="15">
        <f>IF(AH23=1,Inputs!$F$20,Inputs!$F$19)</f>
        <v/>
      </c>
      <c r="AI24" s="15">
        <f>IF(AI23=1,Inputs!$F$20,Inputs!$F$19)</f>
        <v/>
      </c>
      <c r="AJ24" s="15">
        <f>IF(AJ23=1,Inputs!$F$20,Inputs!$F$19)</f>
        <v/>
      </c>
      <c r="AK24" s="15">
        <f>IF(AK23=1,Inputs!$F$20,Inputs!$F$19)</f>
        <v/>
      </c>
      <c r="AL24" s="15">
        <f>IF(AL23=1,Inputs!$F$20,Inputs!$F$19)</f>
        <v/>
      </c>
      <c r="AM24" s="15">
        <f>IF(AM23=1,Inputs!$F$20,Inputs!$F$19)</f>
        <v/>
      </c>
      <c r="AN24" s="15">
        <f>IF(AN23=1,Inputs!$F$20,Inputs!$F$19)</f>
        <v/>
      </c>
      <c r="AO24" s="15">
        <f>IF(AO23=1,Inputs!$F$20,Inputs!$F$19)</f>
        <v/>
      </c>
      <c r="AP24" s="15">
        <f>IF(AP23=1,Inputs!$F$20,Inputs!$F$19)</f>
        <v/>
      </c>
      <c r="AQ24" s="15">
        <f>IF(AQ23=1,Inputs!$F$20,Inputs!$F$19)</f>
        <v/>
      </c>
      <c r="AR24" s="15">
        <f>IF(AR23=1,Inputs!$F$20,Inputs!$F$19)</f>
        <v/>
      </c>
      <c r="AS24" s="15">
        <f>IF(AS23=1,Inputs!$F$20,Inputs!$F$19)</f>
        <v/>
      </c>
      <c r="AT24" s="15">
        <f>IF(AT23=1,Inputs!$F$20,Inputs!$F$19)</f>
        <v/>
      </c>
      <c r="AU24" s="15">
        <f>IF(AU23=1,Inputs!$F$20,Inputs!$F$19)</f>
        <v/>
      </c>
      <c r="AV24" s="15">
        <f>IF(AV23=1,Inputs!$F$20,Inputs!$F$19)</f>
        <v/>
      </c>
      <c r="AW24" s="15">
        <f>IF(AW23=1,Inputs!$F$20,Inputs!$F$19)</f>
        <v/>
      </c>
      <c r="AX24" s="15">
        <f>IF(AX23=1,Inputs!$F$20,Inputs!$F$19)</f>
        <v/>
      </c>
      <c r="AY24" s="15">
        <f>IF(AY23=1,Inputs!$F$20,Inputs!$F$19)</f>
        <v/>
      </c>
      <c r="AZ24" s="15">
        <f>IF(AZ23=1,Inputs!$F$20,Inputs!$F$19)</f>
        <v/>
      </c>
      <c r="BA24" s="15">
        <f>IF(BA23=1,Inputs!$F$20,Inputs!$F$19)</f>
        <v/>
      </c>
      <c r="BB24" s="15">
        <f>IF(BB23=1,Inputs!$F$20,Inputs!$F$19)</f>
        <v/>
      </c>
      <c r="BC24" s="15">
        <f>IF(BC23=1,Inputs!$F$20,Inputs!$F$19)</f>
        <v/>
      </c>
      <c r="BD24" s="15">
        <f>IF(BD23=1,Inputs!$F$20,Inputs!$F$19)</f>
        <v/>
      </c>
      <c r="BE24" s="15">
        <f>IF(BE23=1,Inputs!$F$20,Inputs!$F$19)</f>
        <v/>
      </c>
      <c r="BF24" s="15">
        <f>IF(BF23=1,Inputs!$F$20,Inputs!$F$19)</f>
        <v/>
      </c>
      <c r="BG24" s="15">
        <f>IF(BG23=1,Inputs!$F$20,Inputs!$F$19)</f>
        <v/>
      </c>
      <c r="BH24" s="15">
        <f>IF(BH23=1,Inputs!$F$20,Inputs!$F$19)</f>
        <v/>
      </c>
      <c r="BI24" s="15">
        <f>IF(BI23=1,Inputs!$F$20,Inputs!$F$19)</f>
        <v/>
      </c>
      <c r="BJ24" s="15">
        <f>IF(BJ23=1,Inputs!$F$20,Inputs!$F$19)</f>
        <v/>
      </c>
      <c r="BK24" s="15">
        <f>IF(BK23=1,Inputs!$F$20,Inputs!$F$19)</f>
        <v/>
      </c>
      <c r="BL24" s="15">
        <f>IF(BL23=1,Inputs!$F$20,Inputs!$F$19)</f>
        <v/>
      </c>
      <c r="BM24" s="15">
        <f>IF(BM23=1,Inputs!$F$20,Inputs!$F$19)</f>
        <v/>
      </c>
      <c r="BN24" s="15">
        <f>IF(BN23=1,Inputs!$F$20,Inputs!$F$19)</f>
        <v/>
      </c>
      <c r="BO24" s="15">
        <f>IF(BO23=1,Inputs!$F$20,Inputs!$F$19)</f>
        <v/>
      </c>
      <c r="BP24" s="15">
        <f>IF(BP23=1,Inputs!$F$20,Inputs!$F$19)</f>
        <v/>
      </c>
      <c r="BQ24" s="15">
        <f>IF(BQ23=1,Inputs!$F$20,Inputs!$F$19)</f>
        <v/>
      </c>
      <c r="BR24" s="15">
        <f>IF(BR23=1,Inputs!$F$20,Inputs!$F$19)</f>
        <v/>
      </c>
      <c r="BS24" s="15">
        <f>IF(BS23=1,Inputs!$F$20,Inputs!$F$19)</f>
        <v/>
      </c>
      <c r="BT24" s="15">
        <f>IF(BT23=1,Inputs!$F$20,Inputs!$F$19)</f>
        <v/>
      </c>
      <c r="BU24" s="15">
        <f>IF(BU23=1,Inputs!$F$20,Inputs!$F$19)</f>
        <v/>
      </c>
      <c r="BV24" s="15">
        <f>IF(BV23=1,Inputs!$F$20,Inputs!$F$19)</f>
        <v/>
      </c>
      <c r="BW24" s="15">
        <f>IF(BW23=1,Inputs!$F$20,Inputs!$F$19)</f>
        <v/>
      </c>
      <c r="BX24" s="15">
        <f>IF(BX23=1,Inputs!$F$20,Inputs!$F$19)</f>
        <v/>
      </c>
      <c r="BY24" s="15">
        <f>IF(BY23=1,Inputs!$F$20,Inputs!$F$19)</f>
        <v/>
      </c>
      <c r="BZ24" s="15">
        <f>IF(BZ23=1,Inputs!$F$20,Inputs!$F$19)</f>
        <v/>
      </c>
      <c r="CA24" s="15">
        <f>IF(CA23=1,Inputs!$F$20,Inputs!$F$19)</f>
        <v/>
      </c>
      <c r="CB24" s="15">
        <f>IF(CB23=1,Inputs!$F$20,Inputs!$F$19)</f>
        <v/>
      </c>
      <c r="CC24" s="15">
        <f>IF(CC23=1,Inputs!$F$20,Inputs!$F$19)</f>
        <v/>
      </c>
      <c r="CD24" s="15">
        <f>IF(CD23=1,Inputs!$F$20,Inputs!$F$19)</f>
        <v/>
      </c>
      <c r="CE24" s="15">
        <f>IF(CE23=1,Inputs!$F$20,Inputs!$F$19)</f>
        <v/>
      </c>
      <c r="CF24" s="15">
        <f>IF(CF23=1,Inputs!$F$20,Inputs!$F$19)</f>
        <v/>
      </c>
      <c r="CG24" s="15">
        <f>IF(CG23=1,Inputs!$F$20,Inputs!$F$19)</f>
        <v/>
      </c>
      <c r="CH24" s="15">
        <f>IF(CH23=1,Inputs!$F$20,Inputs!$F$19)</f>
        <v/>
      </c>
      <c r="CI24" s="15">
        <f>IF(CI23=1,Inputs!$F$20,Inputs!$F$19)</f>
        <v/>
      </c>
      <c r="CJ24" s="15">
        <f>IF(CJ23=1,Inputs!$F$20,Inputs!$F$19)</f>
        <v/>
      </c>
      <c r="CK24" s="15">
        <f>IF(CK23=1,Inputs!$F$20,Inputs!$F$19)</f>
        <v/>
      </c>
      <c r="CL24" s="15">
        <f>IF(CL23=1,Inputs!$F$20,Inputs!$F$19)</f>
        <v/>
      </c>
      <c r="CM24" s="15">
        <f>IF(CM23=1,Inputs!$F$20,Inputs!$F$19)</f>
        <v/>
      </c>
      <c r="CN24" s="15">
        <f>IF(CN23=1,Inputs!$F$20,Inputs!$F$19)</f>
        <v/>
      </c>
      <c r="CO24" s="15">
        <f>IF(CO23=1,Inputs!$F$20,Inputs!$F$19)</f>
        <v/>
      </c>
      <c r="CP24" s="15">
        <f>IF(CP23=1,Inputs!$F$20,Inputs!$F$19)</f>
        <v/>
      </c>
      <c r="CQ24" s="15">
        <f>IF(CQ23=1,Inputs!$F$20,Inputs!$F$19)</f>
        <v/>
      </c>
      <c r="CR24" s="15">
        <f>IF(CR23=1,Inputs!$F$20,Inputs!$F$19)</f>
        <v/>
      </c>
      <c r="CS24" s="15">
        <f>IF(CS23=1,Inputs!$F$20,Inputs!$F$19)</f>
        <v/>
      </c>
      <c r="CT24" s="15">
        <f>IF(CT23=1,Inputs!$F$20,Inputs!$F$19)</f>
        <v/>
      </c>
      <c r="CU24" s="15">
        <f>IF(CU23=1,Inputs!$F$20,Inputs!$F$19)</f>
        <v/>
      </c>
      <c r="CV24" s="15">
        <f>IF(CV23=1,Inputs!$F$20,Inputs!$F$19)</f>
        <v/>
      </c>
      <c r="CW24" s="15">
        <f>IF(CW23=1,Inputs!$F$20,Inputs!$F$19)</f>
        <v/>
      </c>
      <c r="CX24" s="15">
        <f>IF(CX23=1,Inputs!$F$20,Inputs!$F$19)</f>
        <v/>
      </c>
      <c r="CY24" s="15">
        <f>IF(CY23=1,Inputs!$F$20,Inputs!$F$19)</f>
        <v/>
      </c>
      <c r="CZ24" s="15">
        <f>IF(CZ23=1,Inputs!$F$20,Inputs!$F$19)</f>
        <v/>
      </c>
      <c r="DA24" s="15">
        <f>IF(DA23=1,Inputs!$F$20,Inputs!$F$19)</f>
        <v/>
      </c>
      <c r="DB24" s="15">
        <f>IF(DB23=1,Inputs!$F$20,Inputs!$F$19)</f>
        <v/>
      </c>
    </row>
    <row r="25">
      <c r="D25" t="inlineStr">
        <is>
          <t>Operating days</t>
        </is>
      </c>
      <c r="E25" t="inlineStr">
        <is>
          <t>days</t>
        </is>
      </c>
      <c r="J25" s="14">
        <f>MAX(0,MIN(J8,$F$17)-MAX(J7,$F$16))</f>
        <v/>
      </c>
      <c r="K25" s="14">
        <f>MAX(0,MIN(K8,$F$17)-MAX(K7,$F$16))</f>
        <v/>
      </c>
      <c r="L25" s="14">
        <f>MAX(0,MIN(L8,$F$17)-MAX(L7,$F$16))</f>
        <v/>
      </c>
      <c r="M25" s="14">
        <f>MAX(0,MIN(M8,$F$17)-MAX(M7,$F$16))</f>
        <v/>
      </c>
      <c r="N25" s="14">
        <f>MAX(0,MIN(N8,$F$17)-MAX(N7,$F$16))</f>
        <v/>
      </c>
      <c r="O25" s="14">
        <f>MAX(0,MIN(O8,$F$17)-MAX(O7,$F$16))</f>
        <v/>
      </c>
      <c r="P25" s="14">
        <f>MAX(0,MIN(P8,$F$17)-MAX(P7,$F$16))</f>
        <v/>
      </c>
      <c r="Q25" s="14">
        <f>MAX(0,MIN(Q8,$F$17)-MAX(Q7,$F$16))</f>
        <v/>
      </c>
      <c r="R25" s="14">
        <f>MAX(0,MIN(R8,$F$17)-MAX(R7,$F$16))</f>
        <v/>
      </c>
      <c r="S25" s="14">
        <f>MAX(0,MIN(S8,$F$17)-MAX(S7,$F$16))</f>
        <v/>
      </c>
      <c r="T25" s="14">
        <f>MAX(0,MIN(T8,$F$17)-MAX(T7,$F$16))</f>
        <v/>
      </c>
      <c r="U25" s="14">
        <f>MAX(0,MIN(U8,$F$17)-MAX(U7,$F$16))</f>
        <v/>
      </c>
      <c r="V25" s="14">
        <f>MAX(0,MIN(V8,$F$17)-MAX(V7,$F$16))</f>
        <v/>
      </c>
      <c r="W25" s="14">
        <f>MAX(0,MIN(W8,$F$17)-MAX(W7,$F$16))</f>
        <v/>
      </c>
      <c r="X25" s="14">
        <f>MAX(0,MIN(X8,$F$17)-MAX(X7,$F$16))</f>
        <v/>
      </c>
      <c r="Y25" s="14">
        <f>MAX(0,MIN(Y8,$F$17)-MAX(Y7,$F$16))</f>
        <v/>
      </c>
      <c r="Z25" s="14">
        <f>MAX(0,MIN(Z8,$F$17)-MAX(Z7,$F$16))</f>
        <v/>
      </c>
      <c r="AA25" s="14">
        <f>MAX(0,MIN(AA8,$F$17)-MAX(AA7,$F$16))</f>
        <v/>
      </c>
      <c r="AB25" s="14">
        <f>MAX(0,MIN(AB8,$F$17)-MAX(AB7,$F$16))</f>
        <v/>
      </c>
      <c r="AC25" s="14">
        <f>MAX(0,MIN(AC8,$F$17)-MAX(AC7,$F$16))</f>
        <v/>
      </c>
      <c r="AD25" s="14">
        <f>MAX(0,MIN(AD8,$F$17)-MAX(AD7,$F$16))</f>
        <v/>
      </c>
      <c r="AE25" s="14">
        <f>MAX(0,MIN(AE8,$F$17)-MAX(AE7,$F$16))</f>
        <v/>
      </c>
      <c r="AF25" s="14">
        <f>MAX(0,MIN(AF8,$F$17)-MAX(AF7,$F$16))</f>
        <v/>
      </c>
      <c r="AG25" s="14">
        <f>MAX(0,MIN(AG8,$F$17)-MAX(AG7,$F$16))</f>
        <v/>
      </c>
      <c r="AH25" s="14">
        <f>MAX(0,MIN(AH8,$F$17)-MAX(AH7,$F$16))</f>
        <v/>
      </c>
      <c r="AI25" s="14">
        <f>MAX(0,MIN(AI8,$F$17)-MAX(AI7,$F$16))</f>
        <v/>
      </c>
      <c r="AJ25" s="14">
        <f>MAX(0,MIN(AJ8,$F$17)-MAX(AJ7,$F$16))</f>
        <v/>
      </c>
      <c r="AK25" s="14">
        <f>MAX(0,MIN(AK8,$F$17)-MAX(AK7,$F$16))</f>
        <v/>
      </c>
      <c r="AL25" s="14">
        <f>MAX(0,MIN(AL8,$F$17)-MAX(AL7,$F$16))</f>
        <v/>
      </c>
      <c r="AM25" s="14">
        <f>MAX(0,MIN(AM8,$F$17)-MAX(AM7,$F$16))</f>
        <v/>
      </c>
      <c r="AN25" s="14">
        <f>MAX(0,MIN(AN8,$F$17)-MAX(AN7,$F$16))</f>
        <v/>
      </c>
      <c r="AO25" s="14">
        <f>MAX(0,MIN(AO8,$F$17)-MAX(AO7,$F$16))</f>
        <v/>
      </c>
      <c r="AP25" s="14">
        <f>MAX(0,MIN(AP8,$F$17)-MAX(AP7,$F$16))</f>
        <v/>
      </c>
      <c r="AQ25" s="14">
        <f>MAX(0,MIN(AQ8,$F$17)-MAX(AQ7,$F$16))</f>
        <v/>
      </c>
      <c r="AR25" s="14">
        <f>MAX(0,MIN(AR8,$F$17)-MAX(AR7,$F$16))</f>
        <v/>
      </c>
      <c r="AS25" s="14">
        <f>MAX(0,MIN(AS8,$F$17)-MAX(AS7,$F$16))</f>
        <v/>
      </c>
      <c r="AT25" s="14">
        <f>MAX(0,MIN(AT8,$F$17)-MAX(AT7,$F$16))</f>
        <v/>
      </c>
      <c r="AU25" s="14">
        <f>MAX(0,MIN(AU8,$F$17)-MAX(AU7,$F$16))</f>
        <v/>
      </c>
      <c r="AV25" s="14">
        <f>MAX(0,MIN(AV8,$F$17)-MAX(AV7,$F$16))</f>
        <v/>
      </c>
      <c r="AW25" s="14">
        <f>MAX(0,MIN(AW8,$F$17)-MAX(AW7,$F$16))</f>
        <v/>
      </c>
      <c r="AX25" s="14">
        <f>MAX(0,MIN(AX8,$F$17)-MAX(AX7,$F$16))</f>
        <v/>
      </c>
      <c r="AY25" s="14">
        <f>MAX(0,MIN(AY8,$F$17)-MAX(AY7,$F$16))</f>
        <v/>
      </c>
      <c r="AZ25" s="14">
        <f>MAX(0,MIN(AZ8,$F$17)-MAX(AZ7,$F$16))</f>
        <v/>
      </c>
      <c r="BA25" s="14">
        <f>MAX(0,MIN(BA8,$F$17)-MAX(BA7,$F$16))</f>
        <v/>
      </c>
      <c r="BB25" s="14">
        <f>MAX(0,MIN(BB8,$F$17)-MAX(BB7,$F$16))</f>
        <v/>
      </c>
      <c r="BC25" s="14">
        <f>MAX(0,MIN(BC8,$F$17)-MAX(BC7,$F$16))</f>
        <v/>
      </c>
      <c r="BD25" s="14">
        <f>MAX(0,MIN(BD8,$F$17)-MAX(BD7,$F$16))</f>
        <v/>
      </c>
      <c r="BE25" s="14">
        <f>MAX(0,MIN(BE8,$F$17)-MAX(BE7,$F$16))</f>
        <v/>
      </c>
      <c r="BF25" s="14">
        <f>MAX(0,MIN(BF8,$F$17)-MAX(BF7,$F$16))</f>
        <v/>
      </c>
      <c r="BG25" s="14">
        <f>MAX(0,MIN(BG8,$F$17)-MAX(BG7,$F$16))</f>
        <v/>
      </c>
      <c r="BH25" s="14">
        <f>MAX(0,MIN(BH8,$F$17)-MAX(BH7,$F$16))</f>
        <v/>
      </c>
      <c r="BI25" s="14">
        <f>MAX(0,MIN(BI8,$F$17)-MAX(BI7,$F$16))</f>
        <v/>
      </c>
      <c r="BJ25" s="14">
        <f>MAX(0,MIN(BJ8,$F$17)-MAX(BJ7,$F$16))</f>
        <v/>
      </c>
      <c r="BK25" s="14">
        <f>MAX(0,MIN(BK8,$F$17)-MAX(BK7,$F$16))</f>
        <v/>
      </c>
      <c r="BL25" s="14">
        <f>MAX(0,MIN(BL8,$F$17)-MAX(BL7,$F$16))</f>
        <v/>
      </c>
      <c r="BM25" s="14">
        <f>MAX(0,MIN(BM8,$F$17)-MAX(BM7,$F$16))</f>
        <v/>
      </c>
      <c r="BN25" s="14">
        <f>MAX(0,MIN(BN8,$F$17)-MAX(BN7,$F$16))</f>
        <v/>
      </c>
      <c r="BO25" s="14">
        <f>MAX(0,MIN(BO8,$F$17)-MAX(BO7,$F$16))</f>
        <v/>
      </c>
      <c r="BP25" s="14">
        <f>MAX(0,MIN(BP8,$F$17)-MAX(BP7,$F$16))</f>
        <v/>
      </c>
      <c r="BQ25" s="14">
        <f>MAX(0,MIN(BQ8,$F$17)-MAX(BQ7,$F$16))</f>
        <v/>
      </c>
      <c r="BR25" s="14">
        <f>MAX(0,MIN(BR8,$F$17)-MAX(BR7,$F$16))</f>
        <v/>
      </c>
      <c r="BS25" s="14">
        <f>MAX(0,MIN(BS8,$F$17)-MAX(BS7,$F$16))</f>
        <v/>
      </c>
      <c r="BT25" s="14">
        <f>MAX(0,MIN(BT8,$F$17)-MAX(BT7,$F$16))</f>
        <v/>
      </c>
      <c r="BU25" s="14">
        <f>MAX(0,MIN(BU8,$F$17)-MAX(BU7,$F$16))</f>
        <v/>
      </c>
      <c r="BV25" s="14">
        <f>MAX(0,MIN(BV8,$F$17)-MAX(BV7,$F$16))</f>
        <v/>
      </c>
      <c r="BW25" s="14">
        <f>MAX(0,MIN(BW8,$F$17)-MAX(BW7,$F$16))</f>
        <v/>
      </c>
      <c r="BX25" s="14">
        <f>MAX(0,MIN(BX8,$F$17)-MAX(BX7,$F$16))</f>
        <v/>
      </c>
      <c r="BY25" s="14">
        <f>MAX(0,MIN(BY8,$F$17)-MAX(BY7,$F$16))</f>
        <v/>
      </c>
      <c r="BZ25" s="14">
        <f>MAX(0,MIN(BZ8,$F$17)-MAX(BZ7,$F$16))</f>
        <v/>
      </c>
      <c r="CA25" s="14">
        <f>MAX(0,MIN(CA8,$F$17)-MAX(CA7,$F$16))</f>
        <v/>
      </c>
      <c r="CB25" s="14">
        <f>MAX(0,MIN(CB8,$F$17)-MAX(CB7,$F$16))</f>
        <v/>
      </c>
      <c r="CC25" s="14">
        <f>MAX(0,MIN(CC8,$F$17)-MAX(CC7,$F$16))</f>
        <v/>
      </c>
      <c r="CD25" s="14">
        <f>MAX(0,MIN(CD8,$F$17)-MAX(CD7,$F$16))</f>
        <v/>
      </c>
      <c r="CE25" s="14">
        <f>MAX(0,MIN(CE8,$F$17)-MAX(CE7,$F$16))</f>
        <v/>
      </c>
      <c r="CF25" s="14">
        <f>MAX(0,MIN(CF8,$F$17)-MAX(CF7,$F$16))</f>
        <v/>
      </c>
      <c r="CG25" s="14">
        <f>MAX(0,MIN(CG8,$F$17)-MAX(CG7,$F$16))</f>
        <v/>
      </c>
      <c r="CH25" s="14">
        <f>MAX(0,MIN(CH8,$F$17)-MAX(CH7,$F$16))</f>
        <v/>
      </c>
      <c r="CI25" s="14">
        <f>MAX(0,MIN(CI8,$F$17)-MAX(CI7,$F$16))</f>
        <v/>
      </c>
      <c r="CJ25" s="14">
        <f>MAX(0,MIN(CJ8,$F$17)-MAX(CJ7,$F$16))</f>
        <v/>
      </c>
      <c r="CK25" s="14">
        <f>MAX(0,MIN(CK8,$F$17)-MAX(CK7,$F$16))</f>
        <v/>
      </c>
      <c r="CL25" s="14">
        <f>MAX(0,MIN(CL8,$F$17)-MAX(CL7,$F$16))</f>
        <v/>
      </c>
      <c r="CM25" s="14">
        <f>MAX(0,MIN(CM8,$F$17)-MAX(CM7,$F$16))</f>
        <v/>
      </c>
      <c r="CN25" s="14">
        <f>MAX(0,MIN(CN8,$F$17)-MAX(CN7,$F$16))</f>
        <v/>
      </c>
      <c r="CO25" s="14">
        <f>MAX(0,MIN(CO8,$F$17)-MAX(CO7,$F$16))</f>
        <v/>
      </c>
      <c r="CP25" s="14">
        <f>MAX(0,MIN(CP8,$F$17)-MAX(CP7,$F$16))</f>
        <v/>
      </c>
      <c r="CQ25" s="14">
        <f>MAX(0,MIN(CQ8,$F$17)-MAX(CQ7,$F$16))</f>
        <v/>
      </c>
      <c r="CR25" s="14">
        <f>MAX(0,MIN(CR8,$F$17)-MAX(CR7,$F$16))</f>
        <v/>
      </c>
      <c r="CS25" s="14">
        <f>MAX(0,MIN(CS8,$F$17)-MAX(CS7,$F$16))</f>
        <v/>
      </c>
      <c r="CT25" s="14">
        <f>MAX(0,MIN(CT8,$F$17)-MAX(CT7,$F$16))</f>
        <v/>
      </c>
      <c r="CU25" s="14">
        <f>MAX(0,MIN(CU8,$F$17)-MAX(CU7,$F$16))</f>
        <v/>
      </c>
      <c r="CV25" s="14">
        <f>MAX(0,MIN(CV8,$F$17)-MAX(CV7,$F$16))</f>
        <v/>
      </c>
      <c r="CW25" s="14">
        <f>MAX(0,MIN(CW8,$F$17)-MAX(CW7,$F$16))</f>
        <v/>
      </c>
      <c r="CX25" s="14">
        <f>MAX(0,MIN(CX8,$F$17)-MAX(CX7,$F$16))</f>
        <v/>
      </c>
      <c r="CY25" s="14">
        <f>MAX(0,MIN(CY8,$F$17)-MAX(CY7,$F$16))</f>
        <v/>
      </c>
      <c r="CZ25" s="14">
        <f>MAX(0,MIN(CZ8,$F$17)-MAX(CZ7,$F$16))</f>
        <v/>
      </c>
      <c r="DA25" s="14">
        <f>MAX(0,MIN(DA8,$F$17)-MAX(DA7,$F$16))</f>
        <v/>
      </c>
      <c r="DB25" s="14">
        <f>MAX(0,MIN(DB8,$F$17)-MAX(DB7,$F$16))</f>
        <v/>
      </c>
    </row>
    <row r="26">
      <c r="D26" t="inlineStr">
        <is>
          <t>Flag_Operations</t>
        </is>
      </c>
      <c r="E26" t="inlineStr">
        <is>
          <t>flag</t>
        </is>
      </c>
      <c r="J26" s="14">
        <f>IF(J25&gt;0,1,0)</f>
        <v/>
      </c>
      <c r="K26" s="14">
        <f>IF(K25&gt;0,1,0)</f>
        <v/>
      </c>
      <c r="L26" s="14">
        <f>IF(L25&gt;0,1,0)</f>
        <v/>
      </c>
      <c r="M26" s="14">
        <f>IF(M25&gt;0,1,0)</f>
        <v/>
      </c>
      <c r="N26" s="14">
        <f>IF(N25&gt;0,1,0)</f>
        <v/>
      </c>
      <c r="O26" s="14">
        <f>IF(O25&gt;0,1,0)</f>
        <v/>
      </c>
      <c r="P26" s="14">
        <f>IF(P25&gt;0,1,0)</f>
        <v/>
      </c>
      <c r="Q26" s="14">
        <f>IF(Q25&gt;0,1,0)</f>
        <v/>
      </c>
      <c r="R26" s="14">
        <f>IF(R25&gt;0,1,0)</f>
        <v/>
      </c>
      <c r="S26" s="14">
        <f>IF(S25&gt;0,1,0)</f>
        <v/>
      </c>
      <c r="T26" s="14">
        <f>IF(T25&gt;0,1,0)</f>
        <v/>
      </c>
      <c r="U26" s="14">
        <f>IF(U25&gt;0,1,0)</f>
        <v/>
      </c>
      <c r="V26" s="14">
        <f>IF(V25&gt;0,1,0)</f>
        <v/>
      </c>
      <c r="W26" s="14">
        <f>IF(W25&gt;0,1,0)</f>
        <v/>
      </c>
      <c r="X26" s="14">
        <f>IF(X25&gt;0,1,0)</f>
        <v/>
      </c>
      <c r="Y26" s="14">
        <f>IF(Y25&gt;0,1,0)</f>
        <v/>
      </c>
      <c r="Z26" s="14">
        <f>IF(Z25&gt;0,1,0)</f>
        <v/>
      </c>
      <c r="AA26" s="14">
        <f>IF(AA25&gt;0,1,0)</f>
        <v/>
      </c>
      <c r="AB26" s="14">
        <f>IF(AB25&gt;0,1,0)</f>
        <v/>
      </c>
      <c r="AC26" s="14">
        <f>IF(AC25&gt;0,1,0)</f>
        <v/>
      </c>
      <c r="AD26" s="14">
        <f>IF(AD25&gt;0,1,0)</f>
        <v/>
      </c>
      <c r="AE26" s="14">
        <f>IF(AE25&gt;0,1,0)</f>
        <v/>
      </c>
      <c r="AF26" s="14">
        <f>IF(AF25&gt;0,1,0)</f>
        <v/>
      </c>
      <c r="AG26" s="14">
        <f>IF(AG25&gt;0,1,0)</f>
        <v/>
      </c>
      <c r="AH26" s="14">
        <f>IF(AH25&gt;0,1,0)</f>
        <v/>
      </c>
      <c r="AI26" s="14">
        <f>IF(AI25&gt;0,1,0)</f>
        <v/>
      </c>
      <c r="AJ26" s="14">
        <f>IF(AJ25&gt;0,1,0)</f>
        <v/>
      </c>
      <c r="AK26" s="14">
        <f>IF(AK25&gt;0,1,0)</f>
        <v/>
      </c>
      <c r="AL26" s="14">
        <f>IF(AL25&gt;0,1,0)</f>
        <v/>
      </c>
      <c r="AM26" s="14">
        <f>IF(AM25&gt;0,1,0)</f>
        <v/>
      </c>
      <c r="AN26" s="14">
        <f>IF(AN25&gt;0,1,0)</f>
        <v/>
      </c>
      <c r="AO26" s="14">
        <f>IF(AO25&gt;0,1,0)</f>
        <v/>
      </c>
      <c r="AP26" s="14">
        <f>IF(AP25&gt;0,1,0)</f>
        <v/>
      </c>
      <c r="AQ26" s="14">
        <f>IF(AQ25&gt;0,1,0)</f>
        <v/>
      </c>
      <c r="AR26" s="14">
        <f>IF(AR25&gt;0,1,0)</f>
        <v/>
      </c>
      <c r="AS26" s="14">
        <f>IF(AS25&gt;0,1,0)</f>
        <v/>
      </c>
      <c r="AT26" s="14">
        <f>IF(AT25&gt;0,1,0)</f>
        <v/>
      </c>
      <c r="AU26" s="14">
        <f>IF(AU25&gt;0,1,0)</f>
        <v/>
      </c>
      <c r="AV26" s="14">
        <f>IF(AV25&gt;0,1,0)</f>
        <v/>
      </c>
      <c r="AW26" s="14">
        <f>IF(AW25&gt;0,1,0)</f>
        <v/>
      </c>
      <c r="AX26" s="14">
        <f>IF(AX25&gt;0,1,0)</f>
        <v/>
      </c>
      <c r="AY26" s="14">
        <f>IF(AY25&gt;0,1,0)</f>
        <v/>
      </c>
      <c r="AZ26" s="14">
        <f>IF(AZ25&gt;0,1,0)</f>
        <v/>
      </c>
      <c r="BA26" s="14">
        <f>IF(BA25&gt;0,1,0)</f>
        <v/>
      </c>
      <c r="BB26" s="14">
        <f>IF(BB25&gt;0,1,0)</f>
        <v/>
      </c>
      <c r="BC26" s="14">
        <f>IF(BC25&gt;0,1,0)</f>
        <v/>
      </c>
      <c r="BD26" s="14">
        <f>IF(BD25&gt;0,1,0)</f>
        <v/>
      </c>
      <c r="BE26" s="14">
        <f>IF(BE25&gt;0,1,0)</f>
        <v/>
      </c>
      <c r="BF26" s="14">
        <f>IF(BF25&gt;0,1,0)</f>
        <v/>
      </c>
      <c r="BG26" s="14">
        <f>IF(BG25&gt;0,1,0)</f>
        <v/>
      </c>
      <c r="BH26" s="14">
        <f>IF(BH25&gt;0,1,0)</f>
        <v/>
      </c>
      <c r="BI26" s="14">
        <f>IF(BI25&gt;0,1,0)</f>
        <v/>
      </c>
      <c r="BJ26" s="14">
        <f>IF(BJ25&gt;0,1,0)</f>
        <v/>
      </c>
      <c r="BK26" s="14">
        <f>IF(BK25&gt;0,1,0)</f>
        <v/>
      </c>
      <c r="BL26" s="14">
        <f>IF(BL25&gt;0,1,0)</f>
        <v/>
      </c>
      <c r="BM26" s="14">
        <f>IF(BM25&gt;0,1,0)</f>
        <v/>
      </c>
      <c r="BN26" s="14">
        <f>IF(BN25&gt;0,1,0)</f>
        <v/>
      </c>
      <c r="BO26" s="14">
        <f>IF(BO25&gt;0,1,0)</f>
        <v/>
      </c>
      <c r="BP26" s="14">
        <f>IF(BP25&gt;0,1,0)</f>
        <v/>
      </c>
      <c r="BQ26" s="14">
        <f>IF(BQ25&gt;0,1,0)</f>
        <v/>
      </c>
      <c r="BR26" s="14">
        <f>IF(BR25&gt;0,1,0)</f>
        <v/>
      </c>
      <c r="BS26" s="14">
        <f>IF(BS25&gt;0,1,0)</f>
        <v/>
      </c>
      <c r="BT26" s="14">
        <f>IF(BT25&gt;0,1,0)</f>
        <v/>
      </c>
      <c r="BU26" s="14">
        <f>IF(BU25&gt;0,1,0)</f>
        <v/>
      </c>
      <c r="BV26" s="14">
        <f>IF(BV25&gt;0,1,0)</f>
        <v/>
      </c>
      <c r="BW26" s="14">
        <f>IF(BW25&gt;0,1,0)</f>
        <v/>
      </c>
      <c r="BX26" s="14">
        <f>IF(BX25&gt;0,1,0)</f>
        <v/>
      </c>
      <c r="BY26" s="14">
        <f>IF(BY25&gt;0,1,0)</f>
        <v/>
      </c>
      <c r="BZ26" s="14">
        <f>IF(BZ25&gt;0,1,0)</f>
        <v/>
      </c>
      <c r="CA26" s="14">
        <f>IF(CA25&gt;0,1,0)</f>
        <v/>
      </c>
      <c r="CB26" s="14">
        <f>IF(CB25&gt;0,1,0)</f>
        <v/>
      </c>
      <c r="CC26" s="14">
        <f>IF(CC25&gt;0,1,0)</f>
        <v/>
      </c>
      <c r="CD26" s="14">
        <f>IF(CD25&gt;0,1,0)</f>
        <v/>
      </c>
      <c r="CE26" s="14">
        <f>IF(CE25&gt;0,1,0)</f>
        <v/>
      </c>
      <c r="CF26" s="14">
        <f>IF(CF25&gt;0,1,0)</f>
        <v/>
      </c>
      <c r="CG26" s="14">
        <f>IF(CG25&gt;0,1,0)</f>
        <v/>
      </c>
      <c r="CH26" s="14">
        <f>IF(CH25&gt;0,1,0)</f>
        <v/>
      </c>
      <c r="CI26" s="14">
        <f>IF(CI25&gt;0,1,0)</f>
        <v/>
      </c>
      <c r="CJ26" s="14">
        <f>IF(CJ25&gt;0,1,0)</f>
        <v/>
      </c>
      <c r="CK26" s="14">
        <f>IF(CK25&gt;0,1,0)</f>
        <v/>
      </c>
      <c r="CL26" s="14">
        <f>IF(CL25&gt;0,1,0)</f>
        <v/>
      </c>
      <c r="CM26" s="14">
        <f>IF(CM25&gt;0,1,0)</f>
        <v/>
      </c>
      <c r="CN26" s="14">
        <f>IF(CN25&gt;0,1,0)</f>
        <v/>
      </c>
      <c r="CO26" s="14">
        <f>IF(CO25&gt;0,1,0)</f>
        <v/>
      </c>
      <c r="CP26" s="14">
        <f>IF(CP25&gt;0,1,0)</f>
        <v/>
      </c>
      <c r="CQ26" s="14">
        <f>IF(CQ25&gt;0,1,0)</f>
        <v/>
      </c>
      <c r="CR26" s="14">
        <f>IF(CR25&gt;0,1,0)</f>
        <v/>
      </c>
      <c r="CS26" s="14">
        <f>IF(CS25&gt;0,1,0)</f>
        <v/>
      </c>
      <c r="CT26" s="14">
        <f>IF(CT25&gt;0,1,0)</f>
        <v/>
      </c>
      <c r="CU26" s="14">
        <f>IF(CU25&gt;0,1,0)</f>
        <v/>
      </c>
      <c r="CV26" s="14">
        <f>IF(CV25&gt;0,1,0)</f>
        <v/>
      </c>
      <c r="CW26" s="14">
        <f>IF(CW25&gt;0,1,0)</f>
        <v/>
      </c>
      <c r="CX26" s="14">
        <f>IF(CX25&gt;0,1,0)</f>
        <v/>
      </c>
      <c r="CY26" s="14">
        <f>IF(CY25&gt;0,1,0)</f>
        <v/>
      </c>
      <c r="CZ26" s="14">
        <f>IF(CZ25&gt;0,1,0)</f>
        <v/>
      </c>
      <c r="DA26" s="14">
        <f>IF(DA25&gt;0,1,0)</f>
        <v/>
      </c>
      <c r="DB26" s="14">
        <f>IF(DB25&gt;0,1,0)</f>
        <v/>
      </c>
    </row>
    <row r="27">
      <c r="D27" t="inlineStr">
        <is>
          <t>Flag_OpeningPeriod</t>
        </is>
      </c>
      <c r="E27" t="inlineStr">
        <is>
          <t>flag</t>
        </is>
      </c>
      <c r="J27" s="14">
        <f>IF(AND(J7&lt;$F$16,$F$16&lt;=J8),1,0)</f>
        <v/>
      </c>
      <c r="K27" s="14">
        <f>IF(AND(K7&lt;$F$16,$F$16&lt;=K8),1,0)</f>
        <v/>
      </c>
      <c r="L27" s="14">
        <f>IF(AND(L7&lt;$F$16,$F$16&lt;=L8),1,0)</f>
        <v/>
      </c>
      <c r="M27" s="14">
        <f>IF(AND(M7&lt;$F$16,$F$16&lt;=M8),1,0)</f>
        <v/>
      </c>
      <c r="N27" s="14">
        <f>IF(AND(N7&lt;$F$16,$F$16&lt;=N8),1,0)</f>
        <v/>
      </c>
      <c r="O27" s="14">
        <f>IF(AND(O7&lt;$F$16,$F$16&lt;=O8),1,0)</f>
        <v/>
      </c>
      <c r="P27" s="14">
        <f>IF(AND(P7&lt;$F$16,$F$16&lt;=P8),1,0)</f>
        <v/>
      </c>
      <c r="Q27" s="14">
        <f>IF(AND(Q7&lt;$F$16,$F$16&lt;=Q8),1,0)</f>
        <v/>
      </c>
      <c r="R27" s="14">
        <f>IF(AND(R7&lt;$F$16,$F$16&lt;=R8),1,0)</f>
        <v/>
      </c>
      <c r="S27" s="14">
        <f>IF(AND(S7&lt;$F$16,$F$16&lt;=S8),1,0)</f>
        <v/>
      </c>
      <c r="T27" s="14">
        <f>IF(AND(T7&lt;$F$16,$F$16&lt;=T8),1,0)</f>
        <v/>
      </c>
      <c r="U27" s="14">
        <f>IF(AND(U7&lt;$F$16,$F$16&lt;=U8),1,0)</f>
        <v/>
      </c>
      <c r="V27" s="14">
        <f>IF(AND(V7&lt;$F$16,$F$16&lt;=V8),1,0)</f>
        <v/>
      </c>
      <c r="W27" s="14">
        <f>IF(AND(W7&lt;$F$16,$F$16&lt;=W8),1,0)</f>
        <v/>
      </c>
      <c r="X27" s="14">
        <f>IF(AND(X7&lt;$F$16,$F$16&lt;=X8),1,0)</f>
        <v/>
      </c>
      <c r="Y27" s="14">
        <f>IF(AND(Y7&lt;$F$16,$F$16&lt;=Y8),1,0)</f>
        <v/>
      </c>
      <c r="Z27" s="14">
        <f>IF(AND(Z7&lt;$F$16,$F$16&lt;=Z8),1,0)</f>
        <v/>
      </c>
      <c r="AA27" s="14">
        <f>IF(AND(AA7&lt;$F$16,$F$16&lt;=AA8),1,0)</f>
        <v/>
      </c>
      <c r="AB27" s="14">
        <f>IF(AND(AB7&lt;$F$16,$F$16&lt;=AB8),1,0)</f>
        <v/>
      </c>
      <c r="AC27" s="14">
        <f>IF(AND(AC7&lt;$F$16,$F$16&lt;=AC8),1,0)</f>
        <v/>
      </c>
      <c r="AD27" s="14">
        <f>IF(AND(AD7&lt;$F$16,$F$16&lt;=AD8),1,0)</f>
        <v/>
      </c>
      <c r="AE27" s="14">
        <f>IF(AND(AE7&lt;$F$16,$F$16&lt;=AE8),1,0)</f>
        <v/>
      </c>
      <c r="AF27" s="14">
        <f>IF(AND(AF7&lt;$F$16,$F$16&lt;=AF8),1,0)</f>
        <v/>
      </c>
      <c r="AG27" s="14">
        <f>IF(AND(AG7&lt;$F$16,$F$16&lt;=AG8),1,0)</f>
        <v/>
      </c>
      <c r="AH27" s="14">
        <f>IF(AND(AH7&lt;$F$16,$F$16&lt;=AH8),1,0)</f>
        <v/>
      </c>
      <c r="AI27" s="14">
        <f>IF(AND(AI7&lt;$F$16,$F$16&lt;=AI8),1,0)</f>
        <v/>
      </c>
      <c r="AJ27" s="14">
        <f>IF(AND(AJ7&lt;$F$16,$F$16&lt;=AJ8),1,0)</f>
        <v/>
      </c>
      <c r="AK27" s="14">
        <f>IF(AND(AK7&lt;$F$16,$F$16&lt;=AK8),1,0)</f>
        <v/>
      </c>
      <c r="AL27" s="14">
        <f>IF(AND(AL7&lt;$F$16,$F$16&lt;=AL8),1,0)</f>
        <v/>
      </c>
      <c r="AM27" s="14">
        <f>IF(AND(AM7&lt;$F$16,$F$16&lt;=AM8),1,0)</f>
        <v/>
      </c>
      <c r="AN27" s="14">
        <f>IF(AND(AN7&lt;$F$16,$F$16&lt;=AN8),1,0)</f>
        <v/>
      </c>
      <c r="AO27" s="14">
        <f>IF(AND(AO7&lt;$F$16,$F$16&lt;=AO8),1,0)</f>
        <v/>
      </c>
      <c r="AP27" s="14">
        <f>IF(AND(AP7&lt;$F$16,$F$16&lt;=AP8),1,0)</f>
        <v/>
      </c>
      <c r="AQ27" s="14">
        <f>IF(AND(AQ7&lt;$F$16,$F$16&lt;=AQ8),1,0)</f>
        <v/>
      </c>
      <c r="AR27" s="14">
        <f>IF(AND(AR7&lt;$F$16,$F$16&lt;=AR8),1,0)</f>
        <v/>
      </c>
      <c r="AS27" s="14">
        <f>IF(AND(AS7&lt;$F$16,$F$16&lt;=AS8),1,0)</f>
        <v/>
      </c>
      <c r="AT27" s="14">
        <f>IF(AND(AT7&lt;$F$16,$F$16&lt;=AT8),1,0)</f>
        <v/>
      </c>
      <c r="AU27" s="14">
        <f>IF(AND(AU7&lt;$F$16,$F$16&lt;=AU8),1,0)</f>
        <v/>
      </c>
      <c r="AV27" s="14">
        <f>IF(AND(AV7&lt;$F$16,$F$16&lt;=AV8),1,0)</f>
        <v/>
      </c>
      <c r="AW27" s="14">
        <f>IF(AND(AW7&lt;$F$16,$F$16&lt;=AW8),1,0)</f>
        <v/>
      </c>
      <c r="AX27" s="14">
        <f>IF(AND(AX7&lt;$F$16,$F$16&lt;=AX8),1,0)</f>
        <v/>
      </c>
      <c r="AY27" s="14">
        <f>IF(AND(AY7&lt;$F$16,$F$16&lt;=AY8),1,0)</f>
        <v/>
      </c>
      <c r="AZ27" s="14">
        <f>IF(AND(AZ7&lt;$F$16,$F$16&lt;=AZ8),1,0)</f>
        <v/>
      </c>
      <c r="BA27" s="14">
        <f>IF(AND(BA7&lt;$F$16,$F$16&lt;=BA8),1,0)</f>
        <v/>
      </c>
      <c r="BB27" s="14">
        <f>IF(AND(BB7&lt;$F$16,$F$16&lt;=BB8),1,0)</f>
        <v/>
      </c>
      <c r="BC27" s="14">
        <f>IF(AND(BC7&lt;$F$16,$F$16&lt;=BC8),1,0)</f>
        <v/>
      </c>
      <c r="BD27" s="14">
        <f>IF(AND(BD7&lt;$F$16,$F$16&lt;=BD8),1,0)</f>
        <v/>
      </c>
      <c r="BE27" s="14">
        <f>IF(AND(BE7&lt;$F$16,$F$16&lt;=BE8),1,0)</f>
        <v/>
      </c>
      <c r="BF27" s="14">
        <f>IF(AND(BF7&lt;$F$16,$F$16&lt;=BF8),1,0)</f>
        <v/>
      </c>
      <c r="BG27" s="14">
        <f>IF(AND(BG7&lt;$F$16,$F$16&lt;=BG8),1,0)</f>
        <v/>
      </c>
      <c r="BH27" s="14">
        <f>IF(AND(BH7&lt;$F$16,$F$16&lt;=BH8),1,0)</f>
        <v/>
      </c>
      <c r="BI27" s="14">
        <f>IF(AND(BI7&lt;$F$16,$F$16&lt;=BI8),1,0)</f>
        <v/>
      </c>
      <c r="BJ27" s="14">
        <f>IF(AND(BJ7&lt;$F$16,$F$16&lt;=BJ8),1,0)</f>
        <v/>
      </c>
      <c r="BK27" s="14">
        <f>IF(AND(BK7&lt;$F$16,$F$16&lt;=BK8),1,0)</f>
        <v/>
      </c>
      <c r="BL27" s="14">
        <f>IF(AND(BL7&lt;$F$16,$F$16&lt;=BL8),1,0)</f>
        <v/>
      </c>
      <c r="BM27" s="14">
        <f>IF(AND(BM7&lt;$F$16,$F$16&lt;=BM8),1,0)</f>
        <v/>
      </c>
      <c r="BN27" s="14">
        <f>IF(AND(BN7&lt;$F$16,$F$16&lt;=BN8),1,0)</f>
        <v/>
      </c>
      <c r="BO27" s="14">
        <f>IF(AND(BO7&lt;$F$16,$F$16&lt;=BO8),1,0)</f>
        <v/>
      </c>
      <c r="BP27" s="14">
        <f>IF(AND(BP7&lt;$F$16,$F$16&lt;=BP8),1,0)</f>
        <v/>
      </c>
      <c r="BQ27" s="14">
        <f>IF(AND(BQ7&lt;$F$16,$F$16&lt;=BQ8),1,0)</f>
        <v/>
      </c>
      <c r="BR27" s="14">
        <f>IF(AND(BR7&lt;$F$16,$F$16&lt;=BR8),1,0)</f>
        <v/>
      </c>
      <c r="BS27" s="14">
        <f>IF(AND(BS7&lt;$F$16,$F$16&lt;=BS8),1,0)</f>
        <v/>
      </c>
      <c r="BT27" s="14">
        <f>IF(AND(BT7&lt;$F$16,$F$16&lt;=BT8),1,0)</f>
        <v/>
      </c>
      <c r="BU27" s="14">
        <f>IF(AND(BU7&lt;$F$16,$F$16&lt;=BU8),1,0)</f>
        <v/>
      </c>
      <c r="BV27" s="14">
        <f>IF(AND(BV7&lt;$F$16,$F$16&lt;=BV8),1,0)</f>
        <v/>
      </c>
      <c r="BW27" s="14">
        <f>IF(AND(BW7&lt;$F$16,$F$16&lt;=BW8),1,0)</f>
        <v/>
      </c>
      <c r="BX27" s="14">
        <f>IF(AND(BX7&lt;$F$16,$F$16&lt;=BX8),1,0)</f>
        <v/>
      </c>
      <c r="BY27" s="14">
        <f>IF(AND(BY7&lt;$F$16,$F$16&lt;=BY8),1,0)</f>
        <v/>
      </c>
      <c r="BZ27" s="14">
        <f>IF(AND(BZ7&lt;$F$16,$F$16&lt;=BZ8),1,0)</f>
        <v/>
      </c>
      <c r="CA27" s="14">
        <f>IF(AND(CA7&lt;$F$16,$F$16&lt;=CA8),1,0)</f>
        <v/>
      </c>
      <c r="CB27" s="14">
        <f>IF(AND(CB7&lt;$F$16,$F$16&lt;=CB8),1,0)</f>
        <v/>
      </c>
      <c r="CC27" s="14">
        <f>IF(AND(CC7&lt;$F$16,$F$16&lt;=CC8),1,0)</f>
        <v/>
      </c>
      <c r="CD27" s="14">
        <f>IF(AND(CD7&lt;$F$16,$F$16&lt;=CD8),1,0)</f>
        <v/>
      </c>
      <c r="CE27" s="14">
        <f>IF(AND(CE7&lt;$F$16,$F$16&lt;=CE8),1,0)</f>
        <v/>
      </c>
      <c r="CF27" s="14">
        <f>IF(AND(CF7&lt;$F$16,$F$16&lt;=CF8),1,0)</f>
        <v/>
      </c>
      <c r="CG27" s="14">
        <f>IF(AND(CG7&lt;$F$16,$F$16&lt;=CG8),1,0)</f>
        <v/>
      </c>
      <c r="CH27" s="14">
        <f>IF(AND(CH7&lt;$F$16,$F$16&lt;=CH8),1,0)</f>
        <v/>
      </c>
      <c r="CI27" s="14">
        <f>IF(AND(CI7&lt;$F$16,$F$16&lt;=CI8),1,0)</f>
        <v/>
      </c>
      <c r="CJ27" s="14">
        <f>IF(AND(CJ7&lt;$F$16,$F$16&lt;=CJ8),1,0)</f>
        <v/>
      </c>
      <c r="CK27" s="14">
        <f>IF(AND(CK7&lt;$F$16,$F$16&lt;=CK8),1,0)</f>
        <v/>
      </c>
      <c r="CL27" s="14">
        <f>IF(AND(CL7&lt;$F$16,$F$16&lt;=CL8),1,0)</f>
        <v/>
      </c>
      <c r="CM27" s="14">
        <f>IF(AND(CM7&lt;$F$16,$F$16&lt;=CM8),1,0)</f>
        <v/>
      </c>
      <c r="CN27" s="14">
        <f>IF(AND(CN7&lt;$F$16,$F$16&lt;=CN8),1,0)</f>
        <v/>
      </c>
      <c r="CO27" s="14">
        <f>IF(AND(CO7&lt;$F$16,$F$16&lt;=CO8),1,0)</f>
        <v/>
      </c>
      <c r="CP27" s="14">
        <f>IF(AND(CP7&lt;$F$16,$F$16&lt;=CP8),1,0)</f>
        <v/>
      </c>
      <c r="CQ27" s="14">
        <f>IF(AND(CQ7&lt;$F$16,$F$16&lt;=CQ8),1,0)</f>
        <v/>
      </c>
      <c r="CR27" s="14">
        <f>IF(AND(CR7&lt;$F$16,$F$16&lt;=CR8),1,0)</f>
        <v/>
      </c>
      <c r="CS27" s="14">
        <f>IF(AND(CS7&lt;$F$16,$F$16&lt;=CS8),1,0)</f>
        <v/>
      </c>
      <c r="CT27" s="14">
        <f>IF(AND(CT7&lt;$F$16,$F$16&lt;=CT8),1,0)</f>
        <v/>
      </c>
      <c r="CU27" s="14">
        <f>IF(AND(CU7&lt;$F$16,$F$16&lt;=CU8),1,0)</f>
        <v/>
      </c>
      <c r="CV27" s="14">
        <f>IF(AND(CV7&lt;$F$16,$F$16&lt;=CV8),1,0)</f>
        <v/>
      </c>
      <c r="CW27" s="14">
        <f>IF(AND(CW7&lt;$F$16,$F$16&lt;=CW8),1,0)</f>
        <v/>
      </c>
      <c r="CX27" s="14">
        <f>IF(AND(CX7&lt;$F$16,$F$16&lt;=CX8),1,0)</f>
        <v/>
      </c>
      <c r="CY27" s="14">
        <f>IF(AND(CY7&lt;$F$16,$F$16&lt;=CY8),1,0)</f>
        <v/>
      </c>
      <c r="CZ27" s="14">
        <f>IF(AND(CZ7&lt;$F$16,$F$16&lt;=CZ8),1,0)</f>
        <v/>
      </c>
      <c r="DA27" s="14">
        <f>IF(AND(DA7&lt;$F$16,$F$16&lt;=DA8),1,0)</f>
        <v/>
      </c>
      <c r="DB27" s="14">
        <f>IF(AND(DB7&lt;$F$16,$F$16&lt;=DB8),1,0)</f>
        <v/>
      </c>
    </row>
    <row r="28">
      <c r="D28" t="inlineStr">
        <is>
          <t>Flag_FinalPeriod (concession expiry)</t>
        </is>
      </c>
      <c r="E28" t="inlineStr">
        <is>
          <t>flag</t>
        </is>
      </c>
      <c r="J28" s="14">
        <f>IF(AND(J7&lt;$F$17,$F$17&lt;=J8),1,0)</f>
        <v/>
      </c>
      <c r="K28" s="14">
        <f>IF(AND(K7&lt;$F$17,$F$17&lt;=K8),1,0)</f>
        <v/>
      </c>
      <c r="L28" s="14">
        <f>IF(AND(L7&lt;$F$17,$F$17&lt;=L8),1,0)</f>
        <v/>
      </c>
      <c r="M28" s="14">
        <f>IF(AND(M7&lt;$F$17,$F$17&lt;=M8),1,0)</f>
        <v/>
      </c>
      <c r="N28" s="14">
        <f>IF(AND(N7&lt;$F$17,$F$17&lt;=N8),1,0)</f>
        <v/>
      </c>
      <c r="O28" s="14">
        <f>IF(AND(O7&lt;$F$17,$F$17&lt;=O8),1,0)</f>
        <v/>
      </c>
      <c r="P28" s="14">
        <f>IF(AND(P7&lt;$F$17,$F$17&lt;=P8),1,0)</f>
        <v/>
      </c>
      <c r="Q28" s="14">
        <f>IF(AND(Q7&lt;$F$17,$F$17&lt;=Q8),1,0)</f>
        <v/>
      </c>
      <c r="R28" s="14">
        <f>IF(AND(R7&lt;$F$17,$F$17&lt;=R8),1,0)</f>
        <v/>
      </c>
      <c r="S28" s="14">
        <f>IF(AND(S7&lt;$F$17,$F$17&lt;=S8),1,0)</f>
        <v/>
      </c>
      <c r="T28" s="14">
        <f>IF(AND(T7&lt;$F$17,$F$17&lt;=T8),1,0)</f>
        <v/>
      </c>
      <c r="U28" s="14">
        <f>IF(AND(U7&lt;$F$17,$F$17&lt;=U8),1,0)</f>
        <v/>
      </c>
      <c r="V28" s="14">
        <f>IF(AND(V7&lt;$F$17,$F$17&lt;=V8),1,0)</f>
        <v/>
      </c>
      <c r="W28" s="14">
        <f>IF(AND(W7&lt;$F$17,$F$17&lt;=W8),1,0)</f>
        <v/>
      </c>
      <c r="X28" s="14">
        <f>IF(AND(X7&lt;$F$17,$F$17&lt;=X8),1,0)</f>
        <v/>
      </c>
      <c r="Y28" s="14">
        <f>IF(AND(Y7&lt;$F$17,$F$17&lt;=Y8),1,0)</f>
        <v/>
      </c>
      <c r="Z28" s="14">
        <f>IF(AND(Z7&lt;$F$17,$F$17&lt;=Z8),1,0)</f>
        <v/>
      </c>
      <c r="AA28" s="14">
        <f>IF(AND(AA7&lt;$F$17,$F$17&lt;=AA8),1,0)</f>
        <v/>
      </c>
      <c r="AB28" s="14">
        <f>IF(AND(AB7&lt;$F$17,$F$17&lt;=AB8),1,0)</f>
        <v/>
      </c>
      <c r="AC28" s="14">
        <f>IF(AND(AC7&lt;$F$17,$F$17&lt;=AC8),1,0)</f>
        <v/>
      </c>
      <c r="AD28" s="14">
        <f>IF(AND(AD7&lt;$F$17,$F$17&lt;=AD8),1,0)</f>
        <v/>
      </c>
      <c r="AE28" s="14">
        <f>IF(AND(AE7&lt;$F$17,$F$17&lt;=AE8),1,0)</f>
        <v/>
      </c>
      <c r="AF28" s="14">
        <f>IF(AND(AF7&lt;$F$17,$F$17&lt;=AF8),1,0)</f>
        <v/>
      </c>
      <c r="AG28" s="14">
        <f>IF(AND(AG7&lt;$F$17,$F$17&lt;=AG8),1,0)</f>
        <v/>
      </c>
      <c r="AH28" s="14">
        <f>IF(AND(AH7&lt;$F$17,$F$17&lt;=AH8),1,0)</f>
        <v/>
      </c>
      <c r="AI28" s="14">
        <f>IF(AND(AI7&lt;$F$17,$F$17&lt;=AI8),1,0)</f>
        <v/>
      </c>
      <c r="AJ28" s="14">
        <f>IF(AND(AJ7&lt;$F$17,$F$17&lt;=AJ8),1,0)</f>
        <v/>
      </c>
      <c r="AK28" s="14">
        <f>IF(AND(AK7&lt;$F$17,$F$17&lt;=AK8),1,0)</f>
        <v/>
      </c>
      <c r="AL28" s="14">
        <f>IF(AND(AL7&lt;$F$17,$F$17&lt;=AL8),1,0)</f>
        <v/>
      </c>
      <c r="AM28" s="14">
        <f>IF(AND(AM7&lt;$F$17,$F$17&lt;=AM8),1,0)</f>
        <v/>
      </c>
      <c r="AN28" s="14">
        <f>IF(AND(AN7&lt;$F$17,$F$17&lt;=AN8),1,0)</f>
        <v/>
      </c>
      <c r="AO28" s="14">
        <f>IF(AND(AO7&lt;$F$17,$F$17&lt;=AO8),1,0)</f>
        <v/>
      </c>
      <c r="AP28" s="14">
        <f>IF(AND(AP7&lt;$F$17,$F$17&lt;=AP8),1,0)</f>
        <v/>
      </c>
      <c r="AQ28" s="14">
        <f>IF(AND(AQ7&lt;$F$17,$F$17&lt;=AQ8),1,0)</f>
        <v/>
      </c>
      <c r="AR28" s="14">
        <f>IF(AND(AR7&lt;$F$17,$F$17&lt;=AR8),1,0)</f>
        <v/>
      </c>
      <c r="AS28" s="14">
        <f>IF(AND(AS7&lt;$F$17,$F$17&lt;=AS8),1,0)</f>
        <v/>
      </c>
      <c r="AT28" s="14">
        <f>IF(AND(AT7&lt;$F$17,$F$17&lt;=AT8),1,0)</f>
        <v/>
      </c>
      <c r="AU28" s="14">
        <f>IF(AND(AU7&lt;$F$17,$F$17&lt;=AU8),1,0)</f>
        <v/>
      </c>
      <c r="AV28" s="14">
        <f>IF(AND(AV7&lt;$F$17,$F$17&lt;=AV8),1,0)</f>
        <v/>
      </c>
      <c r="AW28" s="14">
        <f>IF(AND(AW7&lt;$F$17,$F$17&lt;=AW8),1,0)</f>
        <v/>
      </c>
      <c r="AX28" s="14">
        <f>IF(AND(AX7&lt;$F$17,$F$17&lt;=AX8),1,0)</f>
        <v/>
      </c>
      <c r="AY28" s="14">
        <f>IF(AND(AY7&lt;$F$17,$F$17&lt;=AY8),1,0)</f>
        <v/>
      </c>
      <c r="AZ28" s="14">
        <f>IF(AND(AZ7&lt;$F$17,$F$17&lt;=AZ8),1,0)</f>
        <v/>
      </c>
      <c r="BA28" s="14">
        <f>IF(AND(BA7&lt;$F$17,$F$17&lt;=BA8),1,0)</f>
        <v/>
      </c>
      <c r="BB28" s="14">
        <f>IF(AND(BB7&lt;$F$17,$F$17&lt;=BB8),1,0)</f>
        <v/>
      </c>
      <c r="BC28" s="14">
        <f>IF(AND(BC7&lt;$F$17,$F$17&lt;=BC8),1,0)</f>
        <v/>
      </c>
      <c r="BD28" s="14">
        <f>IF(AND(BD7&lt;$F$17,$F$17&lt;=BD8),1,0)</f>
        <v/>
      </c>
      <c r="BE28" s="14">
        <f>IF(AND(BE7&lt;$F$17,$F$17&lt;=BE8),1,0)</f>
        <v/>
      </c>
      <c r="BF28" s="14">
        <f>IF(AND(BF7&lt;$F$17,$F$17&lt;=BF8),1,0)</f>
        <v/>
      </c>
      <c r="BG28" s="14">
        <f>IF(AND(BG7&lt;$F$17,$F$17&lt;=BG8),1,0)</f>
        <v/>
      </c>
      <c r="BH28" s="14">
        <f>IF(AND(BH7&lt;$F$17,$F$17&lt;=BH8),1,0)</f>
        <v/>
      </c>
      <c r="BI28" s="14">
        <f>IF(AND(BI7&lt;$F$17,$F$17&lt;=BI8),1,0)</f>
        <v/>
      </c>
      <c r="BJ28" s="14">
        <f>IF(AND(BJ7&lt;$F$17,$F$17&lt;=BJ8),1,0)</f>
        <v/>
      </c>
      <c r="BK28" s="14">
        <f>IF(AND(BK7&lt;$F$17,$F$17&lt;=BK8),1,0)</f>
        <v/>
      </c>
      <c r="BL28" s="14">
        <f>IF(AND(BL7&lt;$F$17,$F$17&lt;=BL8),1,0)</f>
        <v/>
      </c>
      <c r="BM28" s="14">
        <f>IF(AND(BM7&lt;$F$17,$F$17&lt;=BM8),1,0)</f>
        <v/>
      </c>
      <c r="BN28" s="14">
        <f>IF(AND(BN7&lt;$F$17,$F$17&lt;=BN8),1,0)</f>
        <v/>
      </c>
      <c r="BO28" s="14">
        <f>IF(AND(BO7&lt;$F$17,$F$17&lt;=BO8),1,0)</f>
        <v/>
      </c>
      <c r="BP28" s="14">
        <f>IF(AND(BP7&lt;$F$17,$F$17&lt;=BP8),1,0)</f>
        <v/>
      </c>
      <c r="BQ28" s="14">
        <f>IF(AND(BQ7&lt;$F$17,$F$17&lt;=BQ8),1,0)</f>
        <v/>
      </c>
      <c r="BR28" s="14">
        <f>IF(AND(BR7&lt;$F$17,$F$17&lt;=BR8),1,0)</f>
        <v/>
      </c>
      <c r="BS28" s="14">
        <f>IF(AND(BS7&lt;$F$17,$F$17&lt;=BS8),1,0)</f>
        <v/>
      </c>
      <c r="BT28" s="14">
        <f>IF(AND(BT7&lt;$F$17,$F$17&lt;=BT8),1,0)</f>
        <v/>
      </c>
      <c r="BU28" s="14">
        <f>IF(AND(BU7&lt;$F$17,$F$17&lt;=BU8),1,0)</f>
        <v/>
      </c>
      <c r="BV28" s="14">
        <f>IF(AND(BV7&lt;$F$17,$F$17&lt;=BV8),1,0)</f>
        <v/>
      </c>
      <c r="BW28" s="14">
        <f>IF(AND(BW7&lt;$F$17,$F$17&lt;=BW8),1,0)</f>
        <v/>
      </c>
      <c r="BX28" s="14">
        <f>IF(AND(BX7&lt;$F$17,$F$17&lt;=BX8),1,0)</f>
        <v/>
      </c>
      <c r="BY28" s="14">
        <f>IF(AND(BY7&lt;$F$17,$F$17&lt;=BY8),1,0)</f>
        <v/>
      </c>
      <c r="BZ28" s="14">
        <f>IF(AND(BZ7&lt;$F$17,$F$17&lt;=BZ8),1,0)</f>
        <v/>
      </c>
      <c r="CA28" s="14">
        <f>IF(AND(CA7&lt;$F$17,$F$17&lt;=CA8),1,0)</f>
        <v/>
      </c>
      <c r="CB28" s="14">
        <f>IF(AND(CB7&lt;$F$17,$F$17&lt;=CB8),1,0)</f>
        <v/>
      </c>
      <c r="CC28" s="14">
        <f>IF(AND(CC7&lt;$F$17,$F$17&lt;=CC8),1,0)</f>
        <v/>
      </c>
      <c r="CD28" s="14">
        <f>IF(AND(CD7&lt;$F$17,$F$17&lt;=CD8),1,0)</f>
        <v/>
      </c>
      <c r="CE28" s="14">
        <f>IF(AND(CE7&lt;$F$17,$F$17&lt;=CE8),1,0)</f>
        <v/>
      </c>
      <c r="CF28" s="14">
        <f>IF(AND(CF7&lt;$F$17,$F$17&lt;=CF8),1,0)</f>
        <v/>
      </c>
      <c r="CG28" s="14">
        <f>IF(AND(CG7&lt;$F$17,$F$17&lt;=CG8),1,0)</f>
        <v/>
      </c>
      <c r="CH28" s="14">
        <f>IF(AND(CH7&lt;$F$17,$F$17&lt;=CH8),1,0)</f>
        <v/>
      </c>
      <c r="CI28" s="14">
        <f>IF(AND(CI7&lt;$F$17,$F$17&lt;=CI8),1,0)</f>
        <v/>
      </c>
      <c r="CJ28" s="14">
        <f>IF(AND(CJ7&lt;$F$17,$F$17&lt;=CJ8),1,0)</f>
        <v/>
      </c>
      <c r="CK28" s="14">
        <f>IF(AND(CK7&lt;$F$17,$F$17&lt;=CK8),1,0)</f>
        <v/>
      </c>
      <c r="CL28" s="14">
        <f>IF(AND(CL7&lt;$F$17,$F$17&lt;=CL8),1,0)</f>
        <v/>
      </c>
      <c r="CM28" s="14">
        <f>IF(AND(CM7&lt;$F$17,$F$17&lt;=CM8),1,0)</f>
        <v/>
      </c>
      <c r="CN28" s="14">
        <f>IF(AND(CN7&lt;$F$17,$F$17&lt;=CN8),1,0)</f>
        <v/>
      </c>
      <c r="CO28" s="14">
        <f>IF(AND(CO7&lt;$F$17,$F$17&lt;=CO8),1,0)</f>
        <v/>
      </c>
      <c r="CP28" s="14">
        <f>IF(AND(CP7&lt;$F$17,$F$17&lt;=CP8),1,0)</f>
        <v/>
      </c>
      <c r="CQ28" s="14">
        <f>IF(AND(CQ7&lt;$F$17,$F$17&lt;=CQ8),1,0)</f>
        <v/>
      </c>
      <c r="CR28" s="14">
        <f>IF(AND(CR7&lt;$F$17,$F$17&lt;=CR8),1,0)</f>
        <v/>
      </c>
      <c r="CS28" s="14">
        <f>IF(AND(CS7&lt;$F$17,$F$17&lt;=CS8),1,0)</f>
        <v/>
      </c>
      <c r="CT28" s="14">
        <f>IF(AND(CT7&lt;$F$17,$F$17&lt;=CT8),1,0)</f>
        <v/>
      </c>
      <c r="CU28" s="14">
        <f>IF(AND(CU7&lt;$F$17,$F$17&lt;=CU8),1,0)</f>
        <v/>
      </c>
      <c r="CV28" s="14">
        <f>IF(AND(CV7&lt;$F$17,$F$17&lt;=CV8),1,0)</f>
        <v/>
      </c>
      <c r="CW28" s="14">
        <f>IF(AND(CW7&lt;$F$17,$F$17&lt;=CW8),1,0)</f>
        <v/>
      </c>
      <c r="CX28" s="14">
        <f>IF(AND(CX7&lt;$F$17,$F$17&lt;=CX8),1,0)</f>
        <v/>
      </c>
      <c r="CY28" s="14">
        <f>IF(AND(CY7&lt;$F$17,$F$17&lt;=CY8),1,0)</f>
        <v/>
      </c>
      <c r="CZ28" s="14">
        <f>IF(AND(CZ7&lt;$F$17,$F$17&lt;=CZ8),1,0)</f>
        <v/>
      </c>
      <c r="DA28" s="14">
        <f>IF(AND(DA7&lt;$F$17,$F$17&lt;=DA8),1,0)</f>
        <v/>
      </c>
      <c r="DB28" s="14">
        <f>IF(AND(DB7&lt;$F$17,$F$17&lt;=DB8),1,0)</f>
        <v/>
      </c>
    </row>
    <row r="29">
      <c r="D29" t="inlineStr">
        <is>
          <t>Remaining concession days from period start</t>
        </is>
      </c>
      <c r="E29" t="inlineStr">
        <is>
          <t>days</t>
        </is>
      </c>
      <c r="J29" s="14">
        <f>MAX(0,J24-MAX(J7,$F$16))</f>
        <v/>
      </c>
      <c r="K29" s="14">
        <f>MAX(0,K24-MAX(K7,$F$16))</f>
        <v/>
      </c>
      <c r="L29" s="14">
        <f>MAX(0,L24-MAX(L7,$F$16))</f>
        <v/>
      </c>
      <c r="M29" s="14">
        <f>MAX(0,M24-MAX(M7,$F$16))</f>
        <v/>
      </c>
      <c r="N29" s="14">
        <f>MAX(0,N24-MAX(N7,$F$16))</f>
        <v/>
      </c>
      <c r="O29" s="14">
        <f>MAX(0,O24-MAX(O7,$F$16))</f>
        <v/>
      </c>
      <c r="P29" s="14">
        <f>MAX(0,P24-MAX(P7,$F$16))</f>
        <v/>
      </c>
      <c r="Q29" s="14">
        <f>MAX(0,Q24-MAX(Q7,$F$16))</f>
        <v/>
      </c>
      <c r="R29" s="14">
        <f>MAX(0,R24-MAX(R7,$F$16))</f>
        <v/>
      </c>
      <c r="S29" s="14">
        <f>MAX(0,S24-MAX(S7,$F$16))</f>
        <v/>
      </c>
      <c r="T29" s="14">
        <f>MAX(0,T24-MAX(T7,$F$16))</f>
        <v/>
      </c>
      <c r="U29" s="14">
        <f>MAX(0,U24-MAX(U7,$F$16))</f>
        <v/>
      </c>
      <c r="V29" s="14">
        <f>MAX(0,V24-MAX(V7,$F$16))</f>
        <v/>
      </c>
      <c r="W29" s="14">
        <f>MAX(0,W24-MAX(W7,$F$16))</f>
        <v/>
      </c>
      <c r="X29" s="14">
        <f>MAX(0,X24-MAX(X7,$F$16))</f>
        <v/>
      </c>
      <c r="Y29" s="14">
        <f>MAX(0,Y24-MAX(Y7,$F$16))</f>
        <v/>
      </c>
      <c r="Z29" s="14">
        <f>MAX(0,Z24-MAX(Z7,$F$16))</f>
        <v/>
      </c>
      <c r="AA29" s="14">
        <f>MAX(0,AA24-MAX(AA7,$F$16))</f>
        <v/>
      </c>
      <c r="AB29" s="14">
        <f>MAX(0,AB24-MAX(AB7,$F$16))</f>
        <v/>
      </c>
      <c r="AC29" s="14">
        <f>MAX(0,AC24-MAX(AC7,$F$16))</f>
        <v/>
      </c>
      <c r="AD29" s="14">
        <f>MAX(0,AD24-MAX(AD7,$F$16))</f>
        <v/>
      </c>
      <c r="AE29" s="14">
        <f>MAX(0,AE24-MAX(AE7,$F$16))</f>
        <v/>
      </c>
      <c r="AF29" s="14">
        <f>MAX(0,AF24-MAX(AF7,$F$16))</f>
        <v/>
      </c>
      <c r="AG29" s="14">
        <f>MAX(0,AG24-MAX(AG7,$F$16))</f>
        <v/>
      </c>
      <c r="AH29" s="14">
        <f>MAX(0,AH24-MAX(AH7,$F$16))</f>
        <v/>
      </c>
      <c r="AI29" s="14">
        <f>MAX(0,AI24-MAX(AI7,$F$16))</f>
        <v/>
      </c>
      <c r="AJ29" s="14">
        <f>MAX(0,AJ24-MAX(AJ7,$F$16))</f>
        <v/>
      </c>
      <c r="AK29" s="14">
        <f>MAX(0,AK24-MAX(AK7,$F$16))</f>
        <v/>
      </c>
      <c r="AL29" s="14">
        <f>MAX(0,AL24-MAX(AL7,$F$16))</f>
        <v/>
      </c>
      <c r="AM29" s="14">
        <f>MAX(0,AM24-MAX(AM7,$F$16))</f>
        <v/>
      </c>
      <c r="AN29" s="14">
        <f>MAX(0,AN24-MAX(AN7,$F$16))</f>
        <v/>
      </c>
      <c r="AO29" s="14">
        <f>MAX(0,AO24-MAX(AO7,$F$16))</f>
        <v/>
      </c>
      <c r="AP29" s="14">
        <f>MAX(0,AP24-MAX(AP7,$F$16))</f>
        <v/>
      </c>
      <c r="AQ29" s="14">
        <f>MAX(0,AQ24-MAX(AQ7,$F$16))</f>
        <v/>
      </c>
      <c r="AR29" s="14">
        <f>MAX(0,AR24-MAX(AR7,$F$16))</f>
        <v/>
      </c>
      <c r="AS29" s="14">
        <f>MAX(0,AS24-MAX(AS7,$F$16))</f>
        <v/>
      </c>
      <c r="AT29" s="14">
        <f>MAX(0,AT24-MAX(AT7,$F$16))</f>
        <v/>
      </c>
      <c r="AU29" s="14">
        <f>MAX(0,AU24-MAX(AU7,$F$16))</f>
        <v/>
      </c>
      <c r="AV29" s="14">
        <f>MAX(0,AV24-MAX(AV7,$F$16))</f>
        <v/>
      </c>
      <c r="AW29" s="14">
        <f>MAX(0,AW24-MAX(AW7,$F$16))</f>
        <v/>
      </c>
      <c r="AX29" s="14">
        <f>MAX(0,AX24-MAX(AX7,$F$16))</f>
        <v/>
      </c>
      <c r="AY29" s="14">
        <f>MAX(0,AY24-MAX(AY7,$F$16))</f>
        <v/>
      </c>
      <c r="AZ29" s="14">
        <f>MAX(0,AZ24-MAX(AZ7,$F$16))</f>
        <v/>
      </c>
      <c r="BA29" s="14">
        <f>MAX(0,BA24-MAX(BA7,$F$16))</f>
        <v/>
      </c>
      <c r="BB29" s="14">
        <f>MAX(0,BB24-MAX(BB7,$F$16))</f>
        <v/>
      </c>
      <c r="BC29" s="14">
        <f>MAX(0,BC24-MAX(BC7,$F$16))</f>
        <v/>
      </c>
      <c r="BD29" s="14">
        <f>MAX(0,BD24-MAX(BD7,$F$16))</f>
        <v/>
      </c>
      <c r="BE29" s="14">
        <f>MAX(0,BE24-MAX(BE7,$F$16))</f>
        <v/>
      </c>
      <c r="BF29" s="14">
        <f>MAX(0,BF24-MAX(BF7,$F$16))</f>
        <v/>
      </c>
      <c r="BG29" s="14">
        <f>MAX(0,BG24-MAX(BG7,$F$16))</f>
        <v/>
      </c>
      <c r="BH29" s="14">
        <f>MAX(0,BH24-MAX(BH7,$F$16))</f>
        <v/>
      </c>
      <c r="BI29" s="14">
        <f>MAX(0,BI24-MAX(BI7,$F$16))</f>
        <v/>
      </c>
      <c r="BJ29" s="14">
        <f>MAX(0,BJ24-MAX(BJ7,$F$16))</f>
        <v/>
      </c>
      <c r="BK29" s="14">
        <f>MAX(0,BK24-MAX(BK7,$F$16))</f>
        <v/>
      </c>
      <c r="BL29" s="14">
        <f>MAX(0,BL24-MAX(BL7,$F$16))</f>
        <v/>
      </c>
      <c r="BM29" s="14">
        <f>MAX(0,BM24-MAX(BM7,$F$16))</f>
        <v/>
      </c>
      <c r="BN29" s="14">
        <f>MAX(0,BN24-MAX(BN7,$F$16))</f>
        <v/>
      </c>
      <c r="BO29" s="14">
        <f>MAX(0,BO24-MAX(BO7,$F$16))</f>
        <v/>
      </c>
      <c r="BP29" s="14">
        <f>MAX(0,BP24-MAX(BP7,$F$16))</f>
        <v/>
      </c>
      <c r="BQ29" s="14">
        <f>MAX(0,BQ24-MAX(BQ7,$F$16))</f>
        <v/>
      </c>
      <c r="BR29" s="14">
        <f>MAX(0,BR24-MAX(BR7,$F$16))</f>
        <v/>
      </c>
      <c r="BS29" s="14">
        <f>MAX(0,BS24-MAX(BS7,$F$16))</f>
        <v/>
      </c>
      <c r="BT29" s="14">
        <f>MAX(0,BT24-MAX(BT7,$F$16))</f>
        <v/>
      </c>
      <c r="BU29" s="14">
        <f>MAX(0,BU24-MAX(BU7,$F$16))</f>
        <v/>
      </c>
      <c r="BV29" s="14">
        <f>MAX(0,BV24-MAX(BV7,$F$16))</f>
        <v/>
      </c>
      <c r="BW29" s="14">
        <f>MAX(0,BW24-MAX(BW7,$F$16))</f>
        <v/>
      </c>
      <c r="BX29" s="14">
        <f>MAX(0,BX24-MAX(BX7,$F$16))</f>
        <v/>
      </c>
      <c r="BY29" s="14">
        <f>MAX(0,BY24-MAX(BY7,$F$16))</f>
        <v/>
      </c>
      <c r="BZ29" s="14">
        <f>MAX(0,BZ24-MAX(BZ7,$F$16))</f>
        <v/>
      </c>
      <c r="CA29" s="14">
        <f>MAX(0,CA24-MAX(CA7,$F$16))</f>
        <v/>
      </c>
      <c r="CB29" s="14">
        <f>MAX(0,CB24-MAX(CB7,$F$16))</f>
        <v/>
      </c>
      <c r="CC29" s="14">
        <f>MAX(0,CC24-MAX(CC7,$F$16))</f>
        <v/>
      </c>
      <c r="CD29" s="14">
        <f>MAX(0,CD24-MAX(CD7,$F$16))</f>
        <v/>
      </c>
      <c r="CE29" s="14">
        <f>MAX(0,CE24-MAX(CE7,$F$16))</f>
        <v/>
      </c>
      <c r="CF29" s="14">
        <f>MAX(0,CF24-MAX(CF7,$F$16))</f>
        <v/>
      </c>
      <c r="CG29" s="14">
        <f>MAX(0,CG24-MAX(CG7,$F$16))</f>
        <v/>
      </c>
      <c r="CH29" s="14">
        <f>MAX(0,CH24-MAX(CH7,$F$16))</f>
        <v/>
      </c>
      <c r="CI29" s="14">
        <f>MAX(0,CI24-MAX(CI7,$F$16))</f>
        <v/>
      </c>
      <c r="CJ29" s="14">
        <f>MAX(0,CJ24-MAX(CJ7,$F$16))</f>
        <v/>
      </c>
      <c r="CK29" s="14">
        <f>MAX(0,CK24-MAX(CK7,$F$16))</f>
        <v/>
      </c>
      <c r="CL29" s="14">
        <f>MAX(0,CL24-MAX(CL7,$F$16))</f>
        <v/>
      </c>
      <c r="CM29" s="14">
        <f>MAX(0,CM24-MAX(CM7,$F$16))</f>
        <v/>
      </c>
      <c r="CN29" s="14">
        <f>MAX(0,CN24-MAX(CN7,$F$16))</f>
        <v/>
      </c>
      <c r="CO29" s="14">
        <f>MAX(0,CO24-MAX(CO7,$F$16))</f>
        <v/>
      </c>
      <c r="CP29" s="14">
        <f>MAX(0,CP24-MAX(CP7,$F$16))</f>
        <v/>
      </c>
      <c r="CQ29" s="14">
        <f>MAX(0,CQ24-MAX(CQ7,$F$16))</f>
        <v/>
      </c>
      <c r="CR29" s="14">
        <f>MAX(0,CR24-MAX(CR7,$F$16))</f>
        <v/>
      </c>
      <c r="CS29" s="14">
        <f>MAX(0,CS24-MAX(CS7,$F$16))</f>
        <v/>
      </c>
      <c r="CT29" s="14">
        <f>MAX(0,CT24-MAX(CT7,$F$16))</f>
        <v/>
      </c>
      <c r="CU29" s="14">
        <f>MAX(0,CU24-MAX(CU7,$F$16))</f>
        <v/>
      </c>
      <c r="CV29" s="14">
        <f>MAX(0,CV24-MAX(CV7,$F$16))</f>
        <v/>
      </c>
      <c r="CW29" s="14">
        <f>MAX(0,CW24-MAX(CW7,$F$16))</f>
        <v/>
      </c>
      <c r="CX29" s="14">
        <f>MAX(0,CX24-MAX(CX7,$F$16))</f>
        <v/>
      </c>
      <c r="CY29" s="14">
        <f>MAX(0,CY24-MAX(CY7,$F$16))</f>
        <v/>
      </c>
      <c r="CZ29" s="14">
        <f>MAX(0,CZ24-MAX(CZ7,$F$16))</f>
        <v/>
      </c>
      <c r="DA29" s="14">
        <f>MAX(0,DA24-MAX(DA7,$F$16))</f>
        <v/>
      </c>
      <c r="DB29" s="14">
        <f>MAX(0,DB24-MAX(DB7,$F$16))</f>
        <v/>
      </c>
    </row>
    <row r="30">
      <c r="D30" t="inlineStr">
        <is>
          <t>Flag_Repayment (senior, original)</t>
        </is>
      </c>
      <c r="E30" t="inlineStr">
        <is>
          <t>flag</t>
        </is>
      </c>
      <c r="J30" s="14">
        <f>IF(AND(J8&gt;=Inputs!$F$22,J8&lt;=Inputs!$F$23),1,0)</f>
        <v/>
      </c>
      <c r="K30" s="14">
        <f>IF(AND(K8&gt;=Inputs!$F$22,K8&lt;=Inputs!$F$23),1,0)</f>
        <v/>
      </c>
      <c r="L30" s="14">
        <f>IF(AND(L8&gt;=Inputs!$F$22,L8&lt;=Inputs!$F$23),1,0)</f>
        <v/>
      </c>
      <c r="M30" s="14">
        <f>IF(AND(M8&gt;=Inputs!$F$22,M8&lt;=Inputs!$F$23),1,0)</f>
        <v/>
      </c>
      <c r="N30" s="14">
        <f>IF(AND(N8&gt;=Inputs!$F$22,N8&lt;=Inputs!$F$23),1,0)</f>
        <v/>
      </c>
      <c r="O30" s="14">
        <f>IF(AND(O8&gt;=Inputs!$F$22,O8&lt;=Inputs!$F$23),1,0)</f>
        <v/>
      </c>
      <c r="P30" s="14">
        <f>IF(AND(P8&gt;=Inputs!$F$22,P8&lt;=Inputs!$F$23),1,0)</f>
        <v/>
      </c>
      <c r="Q30" s="14">
        <f>IF(AND(Q8&gt;=Inputs!$F$22,Q8&lt;=Inputs!$F$23),1,0)</f>
        <v/>
      </c>
      <c r="R30" s="14">
        <f>IF(AND(R8&gt;=Inputs!$F$22,R8&lt;=Inputs!$F$23),1,0)</f>
        <v/>
      </c>
      <c r="S30" s="14">
        <f>IF(AND(S8&gt;=Inputs!$F$22,S8&lt;=Inputs!$F$23),1,0)</f>
        <v/>
      </c>
      <c r="T30" s="14">
        <f>IF(AND(T8&gt;=Inputs!$F$22,T8&lt;=Inputs!$F$23),1,0)</f>
        <v/>
      </c>
      <c r="U30" s="14">
        <f>IF(AND(U8&gt;=Inputs!$F$22,U8&lt;=Inputs!$F$23),1,0)</f>
        <v/>
      </c>
      <c r="V30" s="14">
        <f>IF(AND(V8&gt;=Inputs!$F$22,V8&lt;=Inputs!$F$23),1,0)</f>
        <v/>
      </c>
      <c r="W30" s="14">
        <f>IF(AND(W8&gt;=Inputs!$F$22,W8&lt;=Inputs!$F$23),1,0)</f>
        <v/>
      </c>
      <c r="X30" s="14">
        <f>IF(AND(X8&gt;=Inputs!$F$22,X8&lt;=Inputs!$F$23),1,0)</f>
        <v/>
      </c>
      <c r="Y30" s="14">
        <f>IF(AND(Y8&gt;=Inputs!$F$22,Y8&lt;=Inputs!$F$23),1,0)</f>
        <v/>
      </c>
      <c r="Z30" s="14">
        <f>IF(AND(Z8&gt;=Inputs!$F$22,Z8&lt;=Inputs!$F$23),1,0)</f>
        <v/>
      </c>
      <c r="AA30" s="14">
        <f>IF(AND(AA8&gt;=Inputs!$F$22,AA8&lt;=Inputs!$F$23),1,0)</f>
        <v/>
      </c>
      <c r="AB30" s="14">
        <f>IF(AND(AB8&gt;=Inputs!$F$22,AB8&lt;=Inputs!$F$23),1,0)</f>
        <v/>
      </c>
      <c r="AC30" s="14">
        <f>IF(AND(AC8&gt;=Inputs!$F$22,AC8&lt;=Inputs!$F$23),1,0)</f>
        <v/>
      </c>
      <c r="AD30" s="14">
        <f>IF(AND(AD8&gt;=Inputs!$F$22,AD8&lt;=Inputs!$F$23),1,0)</f>
        <v/>
      </c>
      <c r="AE30" s="14">
        <f>IF(AND(AE8&gt;=Inputs!$F$22,AE8&lt;=Inputs!$F$23),1,0)</f>
        <v/>
      </c>
      <c r="AF30" s="14">
        <f>IF(AND(AF8&gt;=Inputs!$F$22,AF8&lt;=Inputs!$F$23),1,0)</f>
        <v/>
      </c>
      <c r="AG30" s="14">
        <f>IF(AND(AG8&gt;=Inputs!$F$22,AG8&lt;=Inputs!$F$23),1,0)</f>
        <v/>
      </c>
      <c r="AH30" s="14">
        <f>IF(AND(AH8&gt;=Inputs!$F$22,AH8&lt;=Inputs!$F$23),1,0)</f>
        <v/>
      </c>
      <c r="AI30" s="14">
        <f>IF(AND(AI8&gt;=Inputs!$F$22,AI8&lt;=Inputs!$F$23),1,0)</f>
        <v/>
      </c>
      <c r="AJ30" s="14">
        <f>IF(AND(AJ8&gt;=Inputs!$F$22,AJ8&lt;=Inputs!$F$23),1,0)</f>
        <v/>
      </c>
      <c r="AK30" s="14">
        <f>IF(AND(AK8&gt;=Inputs!$F$22,AK8&lt;=Inputs!$F$23),1,0)</f>
        <v/>
      </c>
      <c r="AL30" s="14">
        <f>IF(AND(AL8&gt;=Inputs!$F$22,AL8&lt;=Inputs!$F$23),1,0)</f>
        <v/>
      </c>
      <c r="AM30" s="14">
        <f>IF(AND(AM8&gt;=Inputs!$F$22,AM8&lt;=Inputs!$F$23),1,0)</f>
        <v/>
      </c>
      <c r="AN30" s="14">
        <f>IF(AND(AN8&gt;=Inputs!$F$22,AN8&lt;=Inputs!$F$23),1,0)</f>
        <v/>
      </c>
      <c r="AO30" s="14">
        <f>IF(AND(AO8&gt;=Inputs!$F$22,AO8&lt;=Inputs!$F$23),1,0)</f>
        <v/>
      </c>
      <c r="AP30" s="14">
        <f>IF(AND(AP8&gt;=Inputs!$F$22,AP8&lt;=Inputs!$F$23),1,0)</f>
        <v/>
      </c>
      <c r="AQ30" s="14">
        <f>IF(AND(AQ8&gt;=Inputs!$F$22,AQ8&lt;=Inputs!$F$23),1,0)</f>
        <v/>
      </c>
      <c r="AR30" s="14">
        <f>IF(AND(AR8&gt;=Inputs!$F$22,AR8&lt;=Inputs!$F$23),1,0)</f>
        <v/>
      </c>
      <c r="AS30" s="14">
        <f>IF(AND(AS8&gt;=Inputs!$F$22,AS8&lt;=Inputs!$F$23),1,0)</f>
        <v/>
      </c>
      <c r="AT30" s="14">
        <f>IF(AND(AT8&gt;=Inputs!$F$22,AT8&lt;=Inputs!$F$23),1,0)</f>
        <v/>
      </c>
      <c r="AU30" s="14">
        <f>IF(AND(AU8&gt;=Inputs!$F$22,AU8&lt;=Inputs!$F$23),1,0)</f>
        <v/>
      </c>
      <c r="AV30" s="14">
        <f>IF(AND(AV8&gt;=Inputs!$F$22,AV8&lt;=Inputs!$F$23),1,0)</f>
        <v/>
      </c>
      <c r="AW30" s="14">
        <f>IF(AND(AW8&gt;=Inputs!$F$22,AW8&lt;=Inputs!$F$23),1,0)</f>
        <v/>
      </c>
      <c r="AX30" s="14">
        <f>IF(AND(AX8&gt;=Inputs!$F$22,AX8&lt;=Inputs!$F$23),1,0)</f>
        <v/>
      </c>
      <c r="AY30" s="14">
        <f>IF(AND(AY8&gt;=Inputs!$F$22,AY8&lt;=Inputs!$F$23),1,0)</f>
        <v/>
      </c>
      <c r="AZ30" s="14">
        <f>IF(AND(AZ8&gt;=Inputs!$F$22,AZ8&lt;=Inputs!$F$23),1,0)</f>
        <v/>
      </c>
      <c r="BA30" s="14">
        <f>IF(AND(BA8&gt;=Inputs!$F$22,BA8&lt;=Inputs!$F$23),1,0)</f>
        <v/>
      </c>
      <c r="BB30" s="14">
        <f>IF(AND(BB8&gt;=Inputs!$F$22,BB8&lt;=Inputs!$F$23),1,0)</f>
        <v/>
      </c>
      <c r="BC30" s="14">
        <f>IF(AND(BC8&gt;=Inputs!$F$22,BC8&lt;=Inputs!$F$23),1,0)</f>
        <v/>
      </c>
      <c r="BD30" s="14">
        <f>IF(AND(BD8&gt;=Inputs!$F$22,BD8&lt;=Inputs!$F$23),1,0)</f>
        <v/>
      </c>
      <c r="BE30" s="14">
        <f>IF(AND(BE8&gt;=Inputs!$F$22,BE8&lt;=Inputs!$F$23),1,0)</f>
        <v/>
      </c>
      <c r="BF30" s="14">
        <f>IF(AND(BF8&gt;=Inputs!$F$22,BF8&lt;=Inputs!$F$23),1,0)</f>
        <v/>
      </c>
      <c r="BG30" s="14">
        <f>IF(AND(BG8&gt;=Inputs!$F$22,BG8&lt;=Inputs!$F$23),1,0)</f>
        <v/>
      </c>
      <c r="BH30" s="14">
        <f>IF(AND(BH8&gt;=Inputs!$F$22,BH8&lt;=Inputs!$F$23),1,0)</f>
        <v/>
      </c>
      <c r="BI30" s="14">
        <f>IF(AND(BI8&gt;=Inputs!$F$22,BI8&lt;=Inputs!$F$23),1,0)</f>
        <v/>
      </c>
      <c r="BJ30" s="14">
        <f>IF(AND(BJ8&gt;=Inputs!$F$22,BJ8&lt;=Inputs!$F$23),1,0)</f>
        <v/>
      </c>
      <c r="BK30" s="14">
        <f>IF(AND(BK8&gt;=Inputs!$F$22,BK8&lt;=Inputs!$F$23),1,0)</f>
        <v/>
      </c>
      <c r="BL30" s="14">
        <f>IF(AND(BL8&gt;=Inputs!$F$22,BL8&lt;=Inputs!$F$23),1,0)</f>
        <v/>
      </c>
      <c r="BM30" s="14">
        <f>IF(AND(BM8&gt;=Inputs!$F$22,BM8&lt;=Inputs!$F$23),1,0)</f>
        <v/>
      </c>
      <c r="BN30" s="14">
        <f>IF(AND(BN8&gt;=Inputs!$F$22,BN8&lt;=Inputs!$F$23),1,0)</f>
        <v/>
      </c>
      <c r="BO30" s="14">
        <f>IF(AND(BO8&gt;=Inputs!$F$22,BO8&lt;=Inputs!$F$23),1,0)</f>
        <v/>
      </c>
      <c r="BP30" s="14">
        <f>IF(AND(BP8&gt;=Inputs!$F$22,BP8&lt;=Inputs!$F$23),1,0)</f>
        <v/>
      </c>
      <c r="BQ30" s="14">
        <f>IF(AND(BQ8&gt;=Inputs!$F$22,BQ8&lt;=Inputs!$F$23),1,0)</f>
        <v/>
      </c>
      <c r="BR30" s="14">
        <f>IF(AND(BR8&gt;=Inputs!$F$22,BR8&lt;=Inputs!$F$23),1,0)</f>
        <v/>
      </c>
      <c r="BS30" s="14">
        <f>IF(AND(BS8&gt;=Inputs!$F$22,BS8&lt;=Inputs!$F$23),1,0)</f>
        <v/>
      </c>
      <c r="BT30" s="14">
        <f>IF(AND(BT8&gt;=Inputs!$F$22,BT8&lt;=Inputs!$F$23),1,0)</f>
        <v/>
      </c>
      <c r="BU30" s="14">
        <f>IF(AND(BU8&gt;=Inputs!$F$22,BU8&lt;=Inputs!$F$23),1,0)</f>
        <v/>
      </c>
      <c r="BV30" s="14">
        <f>IF(AND(BV8&gt;=Inputs!$F$22,BV8&lt;=Inputs!$F$23),1,0)</f>
        <v/>
      </c>
      <c r="BW30" s="14">
        <f>IF(AND(BW8&gt;=Inputs!$F$22,BW8&lt;=Inputs!$F$23),1,0)</f>
        <v/>
      </c>
      <c r="BX30" s="14">
        <f>IF(AND(BX8&gt;=Inputs!$F$22,BX8&lt;=Inputs!$F$23),1,0)</f>
        <v/>
      </c>
      <c r="BY30" s="14">
        <f>IF(AND(BY8&gt;=Inputs!$F$22,BY8&lt;=Inputs!$F$23),1,0)</f>
        <v/>
      </c>
      <c r="BZ30" s="14">
        <f>IF(AND(BZ8&gt;=Inputs!$F$22,BZ8&lt;=Inputs!$F$23),1,0)</f>
        <v/>
      </c>
      <c r="CA30" s="14">
        <f>IF(AND(CA8&gt;=Inputs!$F$22,CA8&lt;=Inputs!$F$23),1,0)</f>
        <v/>
      </c>
      <c r="CB30" s="14">
        <f>IF(AND(CB8&gt;=Inputs!$F$22,CB8&lt;=Inputs!$F$23),1,0)</f>
        <v/>
      </c>
      <c r="CC30" s="14">
        <f>IF(AND(CC8&gt;=Inputs!$F$22,CC8&lt;=Inputs!$F$23),1,0)</f>
        <v/>
      </c>
      <c r="CD30" s="14">
        <f>IF(AND(CD8&gt;=Inputs!$F$22,CD8&lt;=Inputs!$F$23),1,0)</f>
        <v/>
      </c>
      <c r="CE30" s="14">
        <f>IF(AND(CE8&gt;=Inputs!$F$22,CE8&lt;=Inputs!$F$23),1,0)</f>
        <v/>
      </c>
      <c r="CF30" s="14">
        <f>IF(AND(CF8&gt;=Inputs!$F$22,CF8&lt;=Inputs!$F$23),1,0)</f>
        <v/>
      </c>
      <c r="CG30" s="14">
        <f>IF(AND(CG8&gt;=Inputs!$F$22,CG8&lt;=Inputs!$F$23),1,0)</f>
        <v/>
      </c>
      <c r="CH30" s="14">
        <f>IF(AND(CH8&gt;=Inputs!$F$22,CH8&lt;=Inputs!$F$23),1,0)</f>
        <v/>
      </c>
      <c r="CI30" s="14">
        <f>IF(AND(CI8&gt;=Inputs!$F$22,CI8&lt;=Inputs!$F$23),1,0)</f>
        <v/>
      </c>
      <c r="CJ30" s="14">
        <f>IF(AND(CJ8&gt;=Inputs!$F$22,CJ8&lt;=Inputs!$F$23),1,0)</f>
        <v/>
      </c>
      <c r="CK30" s="14">
        <f>IF(AND(CK8&gt;=Inputs!$F$22,CK8&lt;=Inputs!$F$23),1,0)</f>
        <v/>
      </c>
      <c r="CL30" s="14">
        <f>IF(AND(CL8&gt;=Inputs!$F$22,CL8&lt;=Inputs!$F$23),1,0)</f>
        <v/>
      </c>
      <c r="CM30" s="14">
        <f>IF(AND(CM8&gt;=Inputs!$F$22,CM8&lt;=Inputs!$F$23),1,0)</f>
        <v/>
      </c>
      <c r="CN30" s="14">
        <f>IF(AND(CN8&gt;=Inputs!$F$22,CN8&lt;=Inputs!$F$23),1,0)</f>
        <v/>
      </c>
      <c r="CO30" s="14">
        <f>IF(AND(CO8&gt;=Inputs!$F$22,CO8&lt;=Inputs!$F$23),1,0)</f>
        <v/>
      </c>
      <c r="CP30" s="14">
        <f>IF(AND(CP8&gt;=Inputs!$F$22,CP8&lt;=Inputs!$F$23),1,0)</f>
        <v/>
      </c>
      <c r="CQ30" s="14">
        <f>IF(AND(CQ8&gt;=Inputs!$F$22,CQ8&lt;=Inputs!$F$23),1,0)</f>
        <v/>
      </c>
      <c r="CR30" s="14">
        <f>IF(AND(CR8&gt;=Inputs!$F$22,CR8&lt;=Inputs!$F$23),1,0)</f>
        <v/>
      </c>
      <c r="CS30" s="14">
        <f>IF(AND(CS8&gt;=Inputs!$F$22,CS8&lt;=Inputs!$F$23),1,0)</f>
        <v/>
      </c>
      <c r="CT30" s="14">
        <f>IF(AND(CT8&gt;=Inputs!$F$22,CT8&lt;=Inputs!$F$23),1,0)</f>
        <v/>
      </c>
      <c r="CU30" s="14">
        <f>IF(AND(CU8&gt;=Inputs!$F$22,CU8&lt;=Inputs!$F$23),1,0)</f>
        <v/>
      </c>
      <c r="CV30" s="14">
        <f>IF(AND(CV8&gt;=Inputs!$F$22,CV8&lt;=Inputs!$F$23),1,0)</f>
        <v/>
      </c>
      <c r="CW30" s="14">
        <f>IF(AND(CW8&gt;=Inputs!$F$22,CW8&lt;=Inputs!$F$23),1,0)</f>
        <v/>
      </c>
      <c r="CX30" s="14">
        <f>IF(AND(CX8&gt;=Inputs!$F$22,CX8&lt;=Inputs!$F$23),1,0)</f>
        <v/>
      </c>
      <c r="CY30" s="14">
        <f>IF(AND(CY8&gt;=Inputs!$F$22,CY8&lt;=Inputs!$F$23),1,0)</f>
        <v/>
      </c>
      <c r="CZ30" s="14">
        <f>IF(AND(CZ8&gt;=Inputs!$F$22,CZ8&lt;=Inputs!$F$23),1,0)</f>
        <v/>
      </c>
      <c r="DA30" s="14">
        <f>IF(AND(DA8&gt;=Inputs!$F$22,DA8&lt;=Inputs!$F$23),1,0)</f>
        <v/>
      </c>
      <c r="DB30" s="14">
        <f>IF(AND(DB8&gt;=Inputs!$F$22,DB8&lt;=Inputs!$F$23),1,0)</f>
        <v/>
      </c>
    </row>
    <row r="31">
      <c r="D31" t="inlineStr">
        <is>
          <t>Flag_FirstRepayment</t>
        </is>
      </c>
      <c r="E31" t="inlineStr">
        <is>
          <t>flag</t>
        </is>
      </c>
      <c r="J31" s="14">
        <f>IF(AND(J30=1,I30=0),1,0)</f>
        <v/>
      </c>
      <c r="K31" s="14">
        <f>IF(AND(K30=1,J30=0),1,0)</f>
        <v/>
      </c>
      <c r="L31" s="14">
        <f>IF(AND(L30=1,K30=0),1,0)</f>
        <v/>
      </c>
      <c r="M31" s="14">
        <f>IF(AND(M30=1,L30=0),1,0)</f>
        <v/>
      </c>
      <c r="N31" s="14">
        <f>IF(AND(N30=1,M30=0),1,0)</f>
        <v/>
      </c>
      <c r="O31" s="14">
        <f>IF(AND(O30=1,N30=0),1,0)</f>
        <v/>
      </c>
      <c r="P31" s="14">
        <f>IF(AND(P30=1,O30=0),1,0)</f>
        <v/>
      </c>
      <c r="Q31" s="14">
        <f>IF(AND(Q30=1,P30=0),1,0)</f>
        <v/>
      </c>
      <c r="R31" s="14">
        <f>IF(AND(R30=1,Q30=0),1,0)</f>
        <v/>
      </c>
      <c r="S31" s="14">
        <f>IF(AND(S30=1,R30=0),1,0)</f>
        <v/>
      </c>
      <c r="T31" s="14">
        <f>IF(AND(T30=1,S30=0),1,0)</f>
        <v/>
      </c>
      <c r="U31" s="14">
        <f>IF(AND(U30=1,T30=0),1,0)</f>
        <v/>
      </c>
      <c r="V31" s="14">
        <f>IF(AND(V30=1,U30=0),1,0)</f>
        <v/>
      </c>
      <c r="W31" s="14">
        <f>IF(AND(W30=1,V30=0),1,0)</f>
        <v/>
      </c>
      <c r="X31" s="14">
        <f>IF(AND(X30=1,W30=0),1,0)</f>
        <v/>
      </c>
      <c r="Y31" s="14">
        <f>IF(AND(Y30=1,X30=0),1,0)</f>
        <v/>
      </c>
      <c r="Z31" s="14">
        <f>IF(AND(Z30=1,Y30=0),1,0)</f>
        <v/>
      </c>
      <c r="AA31" s="14">
        <f>IF(AND(AA30=1,Z30=0),1,0)</f>
        <v/>
      </c>
      <c r="AB31" s="14">
        <f>IF(AND(AB30=1,AA30=0),1,0)</f>
        <v/>
      </c>
      <c r="AC31" s="14">
        <f>IF(AND(AC30=1,AB30=0),1,0)</f>
        <v/>
      </c>
      <c r="AD31" s="14">
        <f>IF(AND(AD30=1,AC30=0),1,0)</f>
        <v/>
      </c>
      <c r="AE31" s="14">
        <f>IF(AND(AE30=1,AD30=0),1,0)</f>
        <v/>
      </c>
      <c r="AF31" s="14">
        <f>IF(AND(AF30=1,AE30=0),1,0)</f>
        <v/>
      </c>
      <c r="AG31" s="14">
        <f>IF(AND(AG30=1,AF30=0),1,0)</f>
        <v/>
      </c>
      <c r="AH31" s="14">
        <f>IF(AND(AH30=1,AG30=0),1,0)</f>
        <v/>
      </c>
      <c r="AI31" s="14">
        <f>IF(AND(AI30=1,AH30=0),1,0)</f>
        <v/>
      </c>
      <c r="AJ31" s="14">
        <f>IF(AND(AJ30=1,AI30=0),1,0)</f>
        <v/>
      </c>
      <c r="AK31" s="14">
        <f>IF(AND(AK30=1,AJ30=0),1,0)</f>
        <v/>
      </c>
      <c r="AL31" s="14">
        <f>IF(AND(AL30=1,AK30=0),1,0)</f>
        <v/>
      </c>
      <c r="AM31" s="14">
        <f>IF(AND(AM30=1,AL30=0),1,0)</f>
        <v/>
      </c>
      <c r="AN31" s="14">
        <f>IF(AND(AN30=1,AM30=0),1,0)</f>
        <v/>
      </c>
      <c r="AO31" s="14">
        <f>IF(AND(AO30=1,AN30=0),1,0)</f>
        <v/>
      </c>
      <c r="AP31" s="14">
        <f>IF(AND(AP30=1,AO30=0),1,0)</f>
        <v/>
      </c>
      <c r="AQ31" s="14">
        <f>IF(AND(AQ30=1,AP30=0),1,0)</f>
        <v/>
      </c>
      <c r="AR31" s="14">
        <f>IF(AND(AR30=1,AQ30=0),1,0)</f>
        <v/>
      </c>
      <c r="AS31" s="14">
        <f>IF(AND(AS30=1,AR30=0),1,0)</f>
        <v/>
      </c>
      <c r="AT31" s="14">
        <f>IF(AND(AT30=1,AS30=0),1,0)</f>
        <v/>
      </c>
      <c r="AU31" s="14">
        <f>IF(AND(AU30=1,AT30=0),1,0)</f>
        <v/>
      </c>
      <c r="AV31" s="14">
        <f>IF(AND(AV30=1,AU30=0),1,0)</f>
        <v/>
      </c>
      <c r="AW31" s="14">
        <f>IF(AND(AW30=1,AV30=0),1,0)</f>
        <v/>
      </c>
      <c r="AX31" s="14">
        <f>IF(AND(AX30=1,AW30=0),1,0)</f>
        <v/>
      </c>
      <c r="AY31" s="14">
        <f>IF(AND(AY30=1,AX30=0),1,0)</f>
        <v/>
      </c>
      <c r="AZ31" s="14">
        <f>IF(AND(AZ30=1,AY30=0),1,0)</f>
        <v/>
      </c>
      <c r="BA31" s="14">
        <f>IF(AND(BA30=1,AZ30=0),1,0)</f>
        <v/>
      </c>
      <c r="BB31" s="14">
        <f>IF(AND(BB30=1,BA30=0),1,0)</f>
        <v/>
      </c>
      <c r="BC31" s="14">
        <f>IF(AND(BC30=1,BB30=0),1,0)</f>
        <v/>
      </c>
      <c r="BD31" s="14">
        <f>IF(AND(BD30=1,BC30=0),1,0)</f>
        <v/>
      </c>
      <c r="BE31" s="14">
        <f>IF(AND(BE30=1,BD30=0),1,0)</f>
        <v/>
      </c>
      <c r="BF31" s="14">
        <f>IF(AND(BF30=1,BE30=0),1,0)</f>
        <v/>
      </c>
      <c r="BG31" s="14">
        <f>IF(AND(BG30=1,BF30=0),1,0)</f>
        <v/>
      </c>
      <c r="BH31" s="14">
        <f>IF(AND(BH30=1,BG30=0),1,0)</f>
        <v/>
      </c>
      <c r="BI31" s="14">
        <f>IF(AND(BI30=1,BH30=0),1,0)</f>
        <v/>
      </c>
      <c r="BJ31" s="14">
        <f>IF(AND(BJ30=1,BI30=0),1,0)</f>
        <v/>
      </c>
      <c r="BK31" s="14">
        <f>IF(AND(BK30=1,BJ30=0),1,0)</f>
        <v/>
      </c>
      <c r="BL31" s="14">
        <f>IF(AND(BL30=1,BK30=0),1,0)</f>
        <v/>
      </c>
      <c r="BM31" s="14">
        <f>IF(AND(BM30=1,BL30=0),1,0)</f>
        <v/>
      </c>
      <c r="BN31" s="14">
        <f>IF(AND(BN30=1,BM30=0),1,0)</f>
        <v/>
      </c>
      <c r="BO31" s="14">
        <f>IF(AND(BO30=1,BN30=0),1,0)</f>
        <v/>
      </c>
      <c r="BP31" s="14">
        <f>IF(AND(BP30=1,BO30=0),1,0)</f>
        <v/>
      </c>
      <c r="BQ31" s="14">
        <f>IF(AND(BQ30=1,BP30=0),1,0)</f>
        <v/>
      </c>
      <c r="BR31" s="14">
        <f>IF(AND(BR30=1,BQ30=0),1,0)</f>
        <v/>
      </c>
      <c r="BS31" s="14">
        <f>IF(AND(BS30=1,BR30=0),1,0)</f>
        <v/>
      </c>
      <c r="BT31" s="14">
        <f>IF(AND(BT30=1,BS30=0),1,0)</f>
        <v/>
      </c>
      <c r="BU31" s="14">
        <f>IF(AND(BU30=1,BT30=0),1,0)</f>
        <v/>
      </c>
      <c r="BV31" s="14">
        <f>IF(AND(BV30=1,BU30=0),1,0)</f>
        <v/>
      </c>
      <c r="BW31" s="14">
        <f>IF(AND(BW30=1,BV30=0),1,0)</f>
        <v/>
      </c>
      <c r="BX31" s="14">
        <f>IF(AND(BX30=1,BW30=0),1,0)</f>
        <v/>
      </c>
      <c r="BY31" s="14">
        <f>IF(AND(BY30=1,BX30=0),1,0)</f>
        <v/>
      </c>
      <c r="BZ31" s="14">
        <f>IF(AND(BZ30=1,BY30=0),1,0)</f>
        <v/>
      </c>
      <c r="CA31" s="14">
        <f>IF(AND(CA30=1,BZ30=0),1,0)</f>
        <v/>
      </c>
      <c r="CB31" s="14">
        <f>IF(AND(CB30=1,CA30=0),1,0)</f>
        <v/>
      </c>
      <c r="CC31" s="14">
        <f>IF(AND(CC30=1,CB30=0),1,0)</f>
        <v/>
      </c>
      <c r="CD31" s="14">
        <f>IF(AND(CD30=1,CC30=0),1,0)</f>
        <v/>
      </c>
      <c r="CE31" s="14">
        <f>IF(AND(CE30=1,CD30=0),1,0)</f>
        <v/>
      </c>
      <c r="CF31" s="14">
        <f>IF(AND(CF30=1,CE30=0),1,0)</f>
        <v/>
      </c>
      <c r="CG31" s="14">
        <f>IF(AND(CG30=1,CF30=0),1,0)</f>
        <v/>
      </c>
      <c r="CH31" s="14">
        <f>IF(AND(CH30=1,CG30=0),1,0)</f>
        <v/>
      </c>
      <c r="CI31" s="14">
        <f>IF(AND(CI30=1,CH30=0),1,0)</f>
        <v/>
      </c>
      <c r="CJ31" s="14">
        <f>IF(AND(CJ30=1,CI30=0),1,0)</f>
        <v/>
      </c>
      <c r="CK31" s="14">
        <f>IF(AND(CK30=1,CJ30=0),1,0)</f>
        <v/>
      </c>
      <c r="CL31" s="14">
        <f>IF(AND(CL30=1,CK30=0),1,0)</f>
        <v/>
      </c>
      <c r="CM31" s="14">
        <f>IF(AND(CM30=1,CL30=0),1,0)</f>
        <v/>
      </c>
      <c r="CN31" s="14">
        <f>IF(AND(CN30=1,CM30=0),1,0)</f>
        <v/>
      </c>
      <c r="CO31" s="14">
        <f>IF(AND(CO30=1,CN30=0),1,0)</f>
        <v/>
      </c>
      <c r="CP31" s="14">
        <f>IF(AND(CP30=1,CO30=0),1,0)</f>
        <v/>
      </c>
      <c r="CQ31" s="14">
        <f>IF(AND(CQ30=1,CP30=0),1,0)</f>
        <v/>
      </c>
      <c r="CR31" s="14">
        <f>IF(AND(CR30=1,CQ30=0),1,0)</f>
        <v/>
      </c>
      <c r="CS31" s="14">
        <f>IF(AND(CS30=1,CR30=0),1,0)</f>
        <v/>
      </c>
      <c r="CT31" s="14">
        <f>IF(AND(CT30=1,CS30=0),1,0)</f>
        <v/>
      </c>
      <c r="CU31" s="14">
        <f>IF(AND(CU30=1,CT30=0),1,0)</f>
        <v/>
      </c>
      <c r="CV31" s="14">
        <f>IF(AND(CV30=1,CU30=0),1,0)</f>
        <v/>
      </c>
      <c r="CW31" s="14">
        <f>IF(AND(CW30=1,CV30=0),1,0)</f>
        <v/>
      </c>
      <c r="CX31" s="14">
        <f>IF(AND(CX30=1,CW30=0),1,0)</f>
        <v/>
      </c>
      <c r="CY31" s="14">
        <f>IF(AND(CY30=1,CX30=0),1,0)</f>
        <v/>
      </c>
      <c r="CZ31" s="14">
        <f>IF(AND(CZ30=1,CY30=0),1,0)</f>
        <v/>
      </c>
      <c r="DA31" s="14">
        <f>IF(AND(DA30=1,CZ30=0),1,0)</f>
        <v/>
      </c>
      <c r="DB31" s="14">
        <f>IF(AND(DB30=1,DA30=0),1,0)</f>
        <v/>
      </c>
    </row>
    <row r="32">
      <c r="D32" t="inlineStr">
        <is>
          <t>Flag_RampUp (operations before first repayment)</t>
        </is>
      </c>
      <c r="E32" t="inlineStr">
        <is>
          <t>flag</t>
        </is>
      </c>
      <c r="J32" s="14">
        <f>IF(AND(J26=1,J8&lt;Inputs!$F$22),1,0)</f>
        <v/>
      </c>
      <c r="K32" s="14">
        <f>IF(AND(K26=1,K8&lt;Inputs!$F$22),1,0)</f>
        <v/>
      </c>
      <c r="L32" s="14">
        <f>IF(AND(L26=1,L8&lt;Inputs!$F$22),1,0)</f>
        <v/>
      </c>
      <c r="M32" s="14">
        <f>IF(AND(M26=1,M8&lt;Inputs!$F$22),1,0)</f>
        <v/>
      </c>
      <c r="N32" s="14">
        <f>IF(AND(N26=1,N8&lt;Inputs!$F$22),1,0)</f>
        <v/>
      </c>
      <c r="O32" s="14">
        <f>IF(AND(O26=1,O8&lt;Inputs!$F$22),1,0)</f>
        <v/>
      </c>
      <c r="P32" s="14">
        <f>IF(AND(P26=1,P8&lt;Inputs!$F$22),1,0)</f>
        <v/>
      </c>
      <c r="Q32" s="14">
        <f>IF(AND(Q26=1,Q8&lt;Inputs!$F$22),1,0)</f>
        <v/>
      </c>
      <c r="R32" s="14">
        <f>IF(AND(R26=1,R8&lt;Inputs!$F$22),1,0)</f>
        <v/>
      </c>
      <c r="S32" s="14">
        <f>IF(AND(S26=1,S8&lt;Inputs!$F$22),1,0)</f>
        <v/>
      </c>
      <c r="T32" s="14">
        <f>IF(AND(T26=1,T8&lt;Inputs!$F$22),1,0)</f>
        <v/>
      </c>
      <c r="U32" s="14">
        <f>IF(AND(U26=1,U8&lt;Inputs!$F$22),1,0)</f>
        <v/>
      </c>
      <c r="V32" s="14">
        <f>IF(AND(V26=1,V8&lt;Inputs!$F$22),1,0)</f>
        <v/>
      </c>
      <c r="W32" s="14">
        <f>IF(AND(W26=1,W8&lt;Inputs!$F$22),1,0)</f>
        <v/>
      </c>
      <c r="X32" s="14">
        <f>IF(AND(X26=1,X8&lt;Inputs!$F$22),1,0)</f>
        <v/>
      </c>
      <c r="Y32" s="14">
        <f>IF(AND(Y26=1,Y8&lt;Inputs!$F$22),1,0)</f>
        <v/>
      </c>
      <c r="Z32" s="14">
        <f>IF(AND(Z26=1,Z8&lt;Inputs!$F$22),1,0)</f>
        <v/>
      </c>
      <c r="AA32" s="14">
        <f>IF(AND(AA26=1,AA8&lt;Inputs!$F$22),1,0)</f>
        <v/>
      </c>
      <c r="AB32" s="14">
        <f>IF(AND(AB26=1,AB8&lt;Inputs!$F$22),1,0)</f>
        <v/>
      </c>
      <c r="AC32" s="14">
        <f>IF(AND(AC26=1,AC8&lt;Inputs!$F$22),1,0)</f>
        <v/>
      </c>
      <c r="AD32" s="14">
        <f>IF(AND(AD26=1,AD8&lt;Inputs!$F$22),1,0)</f>
        <v/>
      </c>
      <c r="AE32" s="14">
        <f>IF(AND(AE26=1,AE8&lt;Inputs!$F$22),1,0)</f>
        <v/>
      </c>
      <c r="AF32" s="14">
        <f>IF(AND(AF26=1,AF8&lt;Inputs!$F$22),1,0)</f>
        <v/>
      </c>
      <c r="AG32" s="14">
        <f>IF(AND(AG26=1,AG8&lt;Inputs!$F$22),1,0)</f>
        <v/>
      </c>
      <c r="AH32" s="14">
        <f>IF(AND(AH26=1,AH8&lt;Inputs!$F$22),1,0)</f>
        <v/>
      </c>
      <c r="AI32" s="14">
        <f>IF(AND(AI26=1,AI8&lt;Inputs!$F$22),1,0)</f>
        <v/>
      </c>
      <c r="AJ32" s="14">
        <f>IF(AND(AJ26=1,AJ8&lt;Inputs!$F$22),1,0)</f>
        <v/>
      </c>
      <c r="AK32" s="14">
        <f>IF(AND(AK26=1,AK8&lt;Inputs!$F$22),1,0)</f>
        <v/>
      </c>
      <c r="AL32" s="14">
        <f>IF(AND(AL26=1,AL8&lt;Inputs!$F$22),1,0)</f>
        <v/>
      </c>
      <c r="AM32" s="14">
        <f>IF(AND(AM26=1,AM8&lt;Inputs!$F$22),1,0)</f>
        <v/>
      </c>
      <c r="AN32" s="14">
        <f>IF(AND(AN26=1,AN8&lt;Inputs!$F$22),1,0)</f>
        <v/>
      </c>
      <c r="AO32" s="14">
        <f>IF(AND(AO26=1,AO8&lt;Inputs!$F$22),1,0)</f>
        <v/>
      </c>
      <c r="AP32" s="14">
        <f>IF(AND(AP26=1,AP8&lt;Inputs!$F$22),1,0)</f>
        <v/>
      </c>
      <c r="AQ32" s="14">
        <f>IF(AND(AQ26=1,AQ8&lt;Inputs!$F$22),1,0)</f>
        <v/>
      </c>
      <c r="AR32" s="14">
        <f>IF(AND(AR26=1,AR8&lt;Inputs!$F$22),1,0)</f>
        <v/>
      </c>
      <c r="AS32" s="14">
        <f>IF(AND(AS26=1,AS8&lt;Inputs!$F$22),1,0)</f>
        <v/>
      </c>
      <c r="AT32" s="14">
        <f>IF(AND(AT26=1,AT8&lt;Inputs!$F$22),1,0)</f>
        <v/>
      </c>
      <c r="AU32" s="14">
        <f>IF(AND(AU26=1,AU8&lt;Inputs!$F$22),1,0)</f>
        <v/>
      </c>
      <c r="AV32" s="14">
        <f>IF(AND(AV26=1,AV8&lt;Inputs!$F$22),1,0)</f>
        <v/>
      </c>
      <c r="AW32" s="14">
        <f>IF(AND(AW26=1,AW8&lt;Inputs!$F$22),1,0)</f>
        <v/>
      </c>
      <c r="AX32" s="14">
        <f>IF(AND(AX26=1,AX8&lt;Inputs!$F$22),1,0)</f>
        <v/>
      </c>
      <c r="AY32" s="14">
        <f>IF(AND(AY26=1,AY8&lt;Inputs!$F$22),1,0)</f>
        <v/>
      </c>
      <c r="AZ32" s="14">
        <f>IF(AND(AZ26=1,AZ8&lt;Inputs!$F$22),1,0)</f>
        <v/>
      </c>
      <c r="BA32" s="14">
        <f>IF(AND(BA26=1,BA8&lt;Inputs!$F$22),1,0)</f>
        <v/>
      </c>
      <c r="BB32" s="14">
        <f>IF(AND(BB26=1,BB8&lt;Inputs!$F$22),1,0)</f>
        <v/>
      </c>
      <c r="BC32" s="14">
        <f>IF(AND(BC26=1,BC8&lt;Inputs!$F$22),1,0)</f>
        <v/>
      </c>
      <c r="BD32" s="14">
        <f>IF(AND(BD26=1,BD8&lt;Inputs!$F$22),1,0)</f>
        <v/>
      </c>
      <c r="BE32" s="14">
        <f>IF(AND(BE26=1,BE8&lt;Inputs!$F$22),1,0)</f>
        <v/>
      </c>
      <c r="BF32" s="14">
        <f>IF(AND(BF26=1,BF8&lt;Inputs!$F$22),1,0)</f>
        <v/>
      </c>
      <c r="BG32" s="14">
        <f>IF(AND(BG26=1,BG8&lt;Inputs!$F$22),1,0)</f>
        <v/>
      </c>
      <c r="BH32" s="14">
        <f>IF(AND(BH26=1,BH8&lt;Inputs!$F$22),1,0)</f>
        <v/>
      </c>
      <c r="BI32" s="14">
        <f>IF(AND(BI26=1,BI8&lt;Inputs!$F$22),1,0)</f>
        <v/>
      </c>
      <c r="BJ32" s="14">
        <f>IF(AND(BJ26=1,BJ8&lt;Inputs!$F$22),1,0)</f>
        <v/>
      </c>
      <c r="BK32" s="14">
        <f>IF(AND(BK26=1,BK8&lt;Inputs!$F$22),1,0)</f>
        <v/>
      </c>
      <c r="BL32" s="14">
        <f>IF(AND(BL26=1,BL8&lt;Inputs!$F$22),1,0)</f>
        <v/>
      </c>
      <c r="BM32" s="14">
        <f>IF(AND(BM26=1,BM8&lt;Inputs!$F$22),1,0)</f>
        <v/>
      </c>
      <c r="BN32" s="14">
        <f>IF(AND(BN26=1,BN8&lt;Inputs!$F$22),1,0)</f>
        <v/>
      </c>
      <c r="BO32" s="14">
        <f>IF(AND(BO26=1,BO8&lt;Inputs!$F$22),1,0)</f>
        <v/>
      </c>
      <c r="BP32" s="14">
        <f>IF(AND(BP26=1,BP8&lt;Inputs!$F$22),1,0)</f>
        <v/>
      </c>
      <c r="BQ32" s="14">
        <f>IF(AND(BQ26=1,BQ8&lt;Inputs!$F$22),1,0)</f>
        <v/>
      </c>
      <c r="BR32" s="14">
        <f>IF(AND(BR26=1,BR8&lt;Inputs!$F$22),1,0)</f>
        <v/>
      </c>
      <c r="BS32" s="14">
        <f>IF(AND(BS26=1,BS8&lt;Inputs!$F$22),1,0)</f>
        <v/>
      </c>
      <c r="BT32" s="14">
        <f>IF(AND(BT26=1,BT8&lt;Inputs!$F$22),1,0)</f>
        <v/>
      </c>
      <c r="BU32" s="14">
        <f>IF(AND(BU26=1,BU8&lt;Inputs!$F$22),1,0)</f>
        <v/>
      </c>
      <c r="BV32" s="14">
        <f>IF(AND(BV26=1,BV8&lt;Inputs!$F$22),1,0)</f>
        <v/>
      </c>
      <c r="BW32" s="14">
        <f>IF(AND(BW26=1,BW8&lt;Inputs!$F$22),1,0)</f>
        <v/>
      </c>
      <c r="BX32" s="14">
        <f>IF(AND(BX26=1,BX8&lt;Inputs!$F$22),1,0)</f>
        <v/>
      </c>
      <c r="BY32" s="14">
        <f>IF(AND(BY26=1,BY8&lt;Inputs!$F$22),1,0)</f>
        <v/>
      </c>
      <c r="BZ32" s="14">
        <f>IF(AND(BZ26=1,BZ8&lt;Inputs!$F$22),1,0)</f>
        <v/>
      </c>
      <c r="CA32" s="14">
        <f>IF(AND(CA26=1,CA8&lt;Inputs!$F$22),1,0)</f>
        <v/>
      </c>
      <c r="CB32" s="14">
        <f>IF(AND(CB26=1,CB8&lt;Inputs!$F$22),1,0)</f>
        <v/>
      </c>
      <c r="CC32" s="14">
        <f>IF(AND(CC26=1,CC8&lt;Inputs!$F$22),1,0)</f>
        <v/>
      </c>
      <c r="CD32" s="14">
        <f>IF(AND(CD26=1,CD8&lt;Inputs!$F$22),1,0)</f>
        <v/>
      </c>
      <c r="CE32" s="14">
        <f>IF(AND(CE26=1,CE8&lt;Inputs!$F$22),1,0)</f>
        <v/>
      </c>
      <c r="CF32" s="14">
        <f>IF(AND(CF26=1,CF8&lt;Inputs!$F$22),1,0)</f>
        <v/>
      </c>
      <c r="CG32" s="14">
        <f>IF(AND(CG26=1,CG8&lt;Inputs!$F$22),1,0)</f>
        <v/>
      </c>
      <c r="CH32" s="14">
        <f>IF(AND(CH26=1,CH8&lt;Inputs!$F$22),1,0)</f>
        <v/>
      </c>
      <c r="CI32" s="14">
        <f>IF(AND(CI26=1,CI8&lt;Inputs!$F$22),1,0)</f>
        <v/>
      </c>
      <c r="CJ32" s="14">
        <f>IF(AND(CJ26=1,CJ8&lt;Inputs!$F$22),1,0)</f>
        <v/>
      </c>
      <c r="CK32" s="14">
        <f>IF(AND(CK26=1,CK8&lt;Inputs!$F$22),1,0)</f>
        <v/>
      </c>
      <c r="CL32" s="14">
        <f>IF(AND(CL26=1,CL8&lt;Inputs!$F$22),1,0)</f>
        <v/>
      </c>
      <c r="CM32" s="14">
        <f>IF(AND(CM26=1,CM8&lt;Inputs!$F$22),1,0)</f>
        <v/>
      </c>
      <c r="CN32" s="14">
        <f>IF(AND(CN26=1,CN8&lt;Inputs!$F$22),1,0)</f>
        <v/>
      </c>
      <c r="CO32" s="14">
        <f>IF(AND(CO26=1,CO8&lt;Inputs!$F$22),1,0)</f>
        <v/>
      </c>
      <c r="CP32" s="14">
        <f>IF(AND(CP26=1,CP8&lt;Inputs!$F$22),1,0)</f>
        <v/>
      </c>
      <c r="CQ32" s="14">
        <f>IF(AND(CQ26=1,CQ8&lt;Inputs!$F$22),1,0)</f>
        <v/>
      </c>
      <c r="CR32" s="14">
        <f>IF(AND(CR26=1,CR8&lt;Inputs!$F$22),1,0)</f>
        <v/>
      </c>
      <c r="CS32" s="14">
        <f>IF(AND(CS26=1,CS8&lt;Inputs!$F$22),1,0)</f>
        <v/>
      </c>
      <c r="CT32" s="14">
        <f>IF(AND(CT26=1,CT8&lt;Inputs!$F$22),1,0)</f>
        <v/>
      </c>
      <c r="CU32" s="14">
        <f>IF(AND(CU26=1,CU8&lt;Inputs!$F$22),1,0)</f>
        <v/>
      </c>
      <c r="CV32" s="14">
        <f>IF(AND(CV26=1,CV8&lt;Inputs!$F$22),1,0)</f>
        <v/>
      </c>
      <c r="CW32" s="14">
        <f>IF(AND(CW26=1,CW8&lt;Inputs!$F$22),1,0)</f>
        <v/>
      </c>
      <c r="CX32" s="14">
        <f>IF(AND(CX26=1,CX8&lt;Inputs!$F$22),1,0)</f>
        <v/>
      </c>
      <c r="CY32" s="14">
        <f>IF(AND(CY26=1,CY8&lt;Inputs!$F$22),1,0)</f>
        <v/>
      </c>
      <c r="CZ32" s="14">
        <f>IF(AND(CZ26=1,CZ8&lt;Inputs!$F$22),1,0)</f>
        <v/>
      </c>
      <c r="DA32" s="14">
        <f>IF(AND(DA26=1,DA8&lt;Inputs!$F$22),1,0)</f>
        <v/>
      </c>
      <c r="DB32" s="14">
        <f>IF(AND(DB26=1,DB8&lt;Inputs!$F$22),1,0)</f>
        <v/>
      </c>
    </row>
    <row r="33">
      <c r="D33" t="inlineStr">
        <is>
          <t>Flag_BeforeFirstRepayment</t>
        </is>
      </c>
      <c r="E33" t="inlineStr">
        <is>
          <t>flag</t>
        </is>
      </c>
      <c r="J33" s="14">
        <f>IF(J8&lt;Inputs!$F$22,1,0)</f>
        <v/>
      </c>
      <c r="K33" s="14">
        <f>IF(K8&lt;Inputs!$F$22,1,0)</f>
        <v/>
      </c>
      <c r="L33" s="14">
        <f>IF(L8&lt;Inputs!$F$22,1,0)</f>
        <v/>
      </c>
      <c r="M33" s="14">
        <f>IF(M8&lt;Inputs!$F$22,1,0)</f>
        <v/>
      </c>
      <c r="N33" s="14">
        <f>IF(N8&lt;Inputs!$F$22,1,0)</f>
        <v/>
      </c>
      <c r="O33" s="14">
        <f>IF(O8&lt;Inputs!$F$22,1,0)</f>
        <v/>
      </c>
      <c r="P33" s="14">
        <f>IF(P8&lt;Inputs!$F$22,1,0)</f>
        <v/>
      </c>
      <c r="Q33" s="14">
        <f>IF(Q8&lt;Inputs!$F$22,1,0)</f>
        <v/>
      </c>
      <c r="R33" s="14">
        <f>IF(R8&lt;Inputs!$F$22,1,0)</f>
        <v/>
      </c>
      <c r="S33" s="14">
        <f>IF(S8&lt;Inputs!$F$22,1,0)</f>
        <v/>
      </c>
      <c r="T33" s="14">
        <f>IF(T8&lt;Inputs!$F$22,1,0)</f>
        <v/>
      </c>
      <c r="U33" s="14">
        <f>IF(U8&lt;Inputs!$F$22,1,0)</f>
        <v/>
      </c>
      <c r="V33" s="14">
        <f>IF(V8&lt;Inputs!$F$22,1,0)</f>
        <v/>
      </c>
      <c r="W33" s="14">
        <f>IF(W8&lt;Inputs!$F$22,1,0)</f>
        <v/>
      </c>
      <c r="X33" s="14">
        <f>IF(X8&lt;Inputs!$F$22,1,0)</f>
        <v/>
      </c>
      <c r="Y33" s="14">
        <f>IF(Y8&lt;Inputs!$F$22,1,0)</f>
        <v/>
      </c>
      <c r="Z33" s="14">
        <f>IF(Z8&lt;Inputs!$F$22,1,0)</f>
        <v/>
      </c>
      <c r="AA33" s="14">
        <f>IF(AA8&lt;Inputs!$F$22,1,0)</f>
        <v/>
      </c>
      <c r="AB33" s="14">
        <f>IF(AB8&lt;Inputs!$F$22,1,0)</f>
        <v/>
      </c>
      <c r="AC33" s="14">
        <f>IF(AC8&lt;Inputs!$F$22,1,0)</f>
        <v/>
      </c>
      <c r="AD33" s="14">
        <f>IF(AD8&lt;Inputs!$F$22,1,0)</f>
        <v/>
      </c>
      <c r="AE33" s="14">
        <f>IF(AE8&lt;Inputs!$F$22,1,0)</f>
        <v/>
      </c>
      <c r="AF33" s="14">
        <f>IF(AF8&lt;Inputs!$F$22,1,0)</f>
        <v/>
      </c>
      <c r="AG33" s="14">
        <f>IF(AG8&lt;Inputs!$F$22,1,0)</f>
        <v/>
      </c>
      <c r="AH33" s="14">
        <f>IF(AH8&lt;Inputs!$F$22,1,0)</f>
        <v/>
      </c>
      <c r="AI33" s="14">
        <f>IF(AI8&lt;Inputs!$F$22,1,0)</f>
        <v/>
      </c>
      <c r="AJ33" s="14">
        <f>IF(AJ8&lt;Inputs!$F$22,1,0)</f>
        <v/>
      </c>
      <c r="AK33" s="14">
        <f>IF(AK8&lt;Inputs!$F$22,1,0)</f>
        <v/>
      </c>
      <c r="AL33" s="14">
        <f>IF(AL8&lt;Inputs!$F$22,1,0)</f>
        <v/>
      </c>
      <c r="AM33" s="14">
        <f>IF(AM8&lt;Inputs!$F$22,1,0)</f>
        <v/>
      </c>
      <c r="AN33" s="14">
        <f>IF(AN8&lt;Inputs!$F$22,1,0)</f>
        <v/>
      </c>
      <c r="AO33" s="14">
        <f>IF(AO8&lt;Inputs!$F$22,1,0)</f>
        <v/>
      </c>
      <c r="AP33" s="14">
        <f>IF(AP8&lt;Inputs!$F$22,1,0)</f>
        <v/>
      </c>
      <c r="AQ33" s="14">
        <f>IF(AQ8&lt;Inputs!$F$22,1,0)</f>
        <v/>
      </c>
      <c r="AR33" s="14">
        <f>IF(AR8&lt;Inputs!$F$22,1,0)</f>
        <v/>
      </c>
      <c r="AS33" s="14">
        <f>IF(AS8&lt;Inputs!$F$22,1,0)</f>
        <v/>
      </c>
      <c r="AT33" s="14">
        <f>IF(AT8&lt;Inputs!$F$22,1,0)</f>
        <v/>
      </c>
      <c r="AU33" s="14">
        <f>IF(AU8&lt;Inputs!$F$22,1,0)</f>
        <v/>
      </c>
      <c r="AV33" s="14">
        <f>IF(AV8&lt;Inputs!$F$22,1,0)</f>
        <v/>
      </c>
      <c r="AW33" s="14">
        <f>IF(AW8&lt;Inputs!$F$22,1,0)</f>
        <v/>
      </c>
      <c r="AX33" s="14">
        <f>IF(AX8&lt;Inputs!$F$22,1,0)</f>
        <v/>
      </c>
      <c r="AY33" s="14">
        <f>IF(AY8&lt;Inputs!$F$22,1,0)</f>
        <v/>
      </c>
      <c r="AZ33" s="14">
        <f>IF(AZ8&lt;Inputs!$F$22,1,0)</f>
        <v/>
      </c>
      <c r="BA33" s="14">
        <f>IF(BA8&lt;Inputs!$F$22,1,0)</f>
        <v/>
      </c>
      <c r="BB33" s="14">
        <f>IF(BB8&lt;Inputs!$F$22,1,0)</f>
        <v/>
      </c>
      <c r="BC33" s="14">
        <f>IF(BC8&lt;Inputs!$F$22,1,0)</f>
        <v/>
      </c>
      <c r="BD33" s="14">
        <f>IF(BD8&lt;Inputs!$F$22,1,0)</f>
        <v/>
      </c>
      <c r="BE33" s="14">
        <f>IF(BE8&lt;Inputs!$F$22,1,0)</f>
        <v/>
      </c>
      <c r="BF33" s="14">
        <f>IF(BF8&lt;Inputs!$F$22,1,0)</f>
        <v/>
      </c>
      <c r="BG33" s="14">
        <f>IF(BG8&lt;Inputs!$F$22,1,0)</f>
        <v/>
      </c>
      <c r="BH33" s="14">
        <f>IF(BH8&lt;Inputs!$F$22,1,0)</f>
        <v/>
      </c>
      <c r="BI33" s="14">
        <f>IF(BI8&lt;Inputs!$F$22,1,0)</f>
        <v/>
      </c>
      <c r="BJ33" s="14">
        <f>IF(BJ8&lt;Inputs!$F$22,1,0)</f>
        <v/>
      </c>
      <c r="BK33" s="14">
        <f>IF(BK8&lt;Inputs!$F$22,1,0)</f>
        <v/>
      </c>
      <c r="BL33" s="14">
        <f>IF(BL8&lt;Inputs!$F$22,1,0)</f>
        <v/>
      </c>
      <c r="BM33" s="14">
        <f>IF(BM8&lt;Inputs!$F$22,1,0)</f>
        <v/>
      </c>
      <c r="BN33" s="14">
        <f>IF(BN8&lt;Inputs!$F$22,1,0)</f>
        <v/>
      </c>
      <c r="BO33" s="14">
        <f>IF(BO8&lt;Inputs!$F$22,1,0)</f>
        <v/>
      </c>
      <c r="BP33" s="14">
        <f>IF(BP8&lt;Inputs!$F$22,1,0)</f>
        <v/>
      </c>
      <c r="BQ33" s="14">
        <f>IF(BQ8&lt;Inputs!$F$22,1,0)</f>
        <v/>
      </c>
      <c r="BR33" s="14">
        <f>IF(BR8&lt;Inputs!$F$22,1,0)</f>
        <v/>
      </c>
      <c r="BS33" s="14">
        <f>IF(BS8&lt;Inputs!$F$22,1,0)</f>
        <v/>
      </c>
      <c r="BT33" s="14">
        <f>IF(BT8&lt;Inputs!$F$22,1,0)</f>
        <v/>
      </c>
      <c r="BU33" s="14">
        <f>IF(BU8&lt;Inputs!$F$22,1,0)</f>
        <v/>
      </c>
      <c r="BV33" s="14">
        <f>IF(BV8&lt;Inputs!$F$22,1,0)</f>
        <v/>
      </c>
      <c r="BW33" s="14">
        <f>IF(BW8&lt;Inputs!$F$22,1,0)</f>
        <v/>
      </c>
      <c r="BX33" s="14">
        <f>IF(BX8&lt;Inputs!$F$22,1,0)</f>
        <v/>
      </c>
      <c r="BY33" s="14">
        <f>IF(BY8&lt;Inputs!$F$22,1,0)</f>
        <v/>
      </c>
      <c r="BZ33" s="14">
        <f>IF(BZ8&lt;Inputs!$F$22,1,0)</f>
        <v/>
      </c>
      <c r="CA33" s="14">
        <f>IF(CA8&lt;Inputs!$F$22,1,0)</f>
        <v/>
      </c>
      <c r="CB33" s="14">
        <f>IF(CB8&lt;Inputs!$F$22,1,0)</f>
        <v/>
      </c>
      <c r="CC33" s="14">
        <f>IF(CC8&lt;Inputs!$F$22,1,0)</f>
        <v/>
      </c>
      <c r="CD33" s="14">
        <f>IF(CD8&lt;Inputs!$F$22,1,0)</f>
        <v/>
      </c>
      <c r="CE33" s="14">
        <f>IF(CE8&lt;Inputs!$F$22,1,0)</f>
        <v/>
      </c>
      <c r="CF33" s="14">
        <f>IF(CF8&lt;Inputs!$F$22,1,0)</f>
        <v/>
      </c>
      <c r="CG33" s="14">
        <f>IF(CG8&lt;Inputs!$F$22,1,0)</f>
        <v/>
      </c>
      <c r="CH33" s="14">
        <f>IF(CH8&lt;Inputs!$F$22,1,0)</f>
        <v/>
      </c>
      <c r="CI33" s="14">
        <f>IF(CI8&lt;Inputs!$F$22,1,0)</f>
        <v/>
      </c>
      <c r="CJ33" s="14">
        <f>IF(CJ8&lt;Inputs!$F$22,1,0)</f>
        <v/>
      </c>
      <c r="CK33" s="14">
        <f>IF(CK8&lt;Inputs!$F$22,1,0)</f>
        <v/>
      </c>
      <c r="CL33" s="14">
        <f>IF(CL8&lt;Inputs!$F$22,1,0)</f>
        <v/>
      </c>
      <c r="CM33" s="14">
        <f>IF(CM8&lt;Inputs!$F$22,1,0)</f>
        <v/>
      </c>
      <c r="CN33" s="14">
        <f>IF(CN8&lt;Inputs!$F$22,1,0)</f>
        <v/>
      </c>
      <c r="CO33" s="14">
        <f>IF(CO8&lt;Inputs!$F$22,1,0)</f>
        <v/>
      </c>
      <c r="CP33" s="14">
        <f>IF(CP8&lt;Inputs!$F$22,1,0)</f>
        <v/>
      </c>
      <c r="CQ33" s="14">
        <f>IF(CQ8&lt;Inputs!$F$22,1,0)</f>
        <v/>
      </c>
      <c r="CR33" s="14">
        <f>IF(CR8&lt;Inputs!$F$22,1,0)</f>
        <v/>
      </c>
      <c r="CS33" s="14">
        <f>IF(CS8&lt;Inputs!$F$22,1,0)</f>
        <v/>
      </c>
      <c r="CT33" s="14">
        <f>IF(CT8&lt;Inputs!$F$22,1,0)</f>
        <v/>
      </c>
      <c r="CU33" s="14">
        <f>IF(CU8&lt;Inputs!$F$22,1,0)</f>
        <v/>
      </c>
      <c r="CV33" s="14">
        <f>IF(CV8&lt;Inputs!$F$22,1,0)</f>
        <v/>
      </c>
      <c r="CW33" s="14">
        <f>IF(CW8&lt;Inputs!$F$22,1,0)</f>
        <v/>
      </c>
      <c r="CX33" s="14">
        <f>IF(CX8&lt;Inputs!$F$22,1,0)</f>
        <v/>
      </c>
      <c r="CY33" s="14">
        <f>IF(CY8&lt;Inputs!$F$22,1,0)</f>
        <v/>
      </c>
      <c r="CZ33" s="14">
        <f>IF(CZ8&lt;Inputs!$F$22,1,0)</f>
        <v/>
      </c>
      <c r="DA33" s="14">
        <f>IF(DA8&lt;Inputs!$F$22,1,0)</f>
        <v/>
      </c>
      <c r="DB33" s="14">
        <f>IF(DB8&lt;Inputs!$F$22,1,0)</f>
        <v/>
      </c>
    </row>
    <row r="34">
      <c r="D34" t="inlineStr">
        <is>
          <t>Flag_Standstill</t>
        </is>
      </c>
      <c r="E34" t="inlineStr">
        <is>
          <t>flag</t>
        </is>
      </c>
      <c r="J34" s="14">
        <f>IF(AND(Inputs!$F$214=1,J8&gt;=Inputs!$F$22,J8&lt;=Inputs!$F$21),1,0)</f>
        <v/>
      </c>
      <c r="K34" s="14">
        <f>IF(AND(Inputs!$F$214=1,K8&gt;=Inputs!$F$22,K8&lt;=Inputs!$F$21),1,0)</f>
        <v/>
      </c>
      <c r="L34" s="14">
        <f>IF(AND(Inputs!$F$214=1,L8&gt;=Inputs!$F$22,L8&lt;=Inputs!$F$21),1,0)</f>
        <v/>
      </c>
      <c r="M34" s="14">
        <f>IF(AND(Inputs!$F$214=1,M8&gt;=Inputs!$F$22,M8&lt;=Inputs!$F$21),1,0)</f>
        <v/>
      </c>
      <c r="N34" s="14">
        <f>IF(AND(Inputs!$F$214=1,N8&gt;=Inputs!$F$22,N8&lt;=Inputs!$F$21),1,0)</f>
        <v/>
      </c>
      <c r="O34" s="14">
        <f>IF(AND(Inputs!$F$214=1,O8&gt;=Inputs!$F$22,O8&lt;=Inputs!$F$21),1,0)</f>
        <v/>
      </c>
      <c r="P34" s="14">
        <f>IF(AND(Inputs!$F$214=1,P8&gt;=Inputs!$F$22,P8&lt;=Inputs!$F$21),1,0)</f>
        <v/>
      </c>
      <c r="Q34" s="14">
        <f>IF(AND(Inputs!$F$214=1,Q8&gt;=Inputs!$F$22,Q8&lt;=Inputs!$F$21),1,0)</f>
        <v/>
      </c>
      <c r="R34" s="14">
        <f>IF(AND(Inputs!$F$214=1,R8&gt;=Inputs!$F$22,R8&lt;=Inputs!$F$21),1,0)</f>
        <v/>
      </c>
      <c r="S34" s="14">
        <f>IF(AND(Inputs!$F$214=1,S8&gt;=Inputs!$F$22,S8&lt;=Inputs!$F$21),1,0)</f>
        <v/>
      </c>
      <c r="T34" s="14">
        <f>IF(AND(Inputs!$F$214=1,T8&gt;=Inputs!$F$22,T8&lt;=Inputs!$F$21),1,0)</f>
        <v/>
      </c>
      <c r="U34" s="14">
        <f>IF(AND(Inputs!$F$214=1,U8&gt;=Inputs!$F$22,U8&lt;=Inputs!$F$21),1,0)</f>
        <v/>
      </c>
      <c r="V34" s="14">
        <f>IF(AND(Inputs!$F$214=1,V8&gt;=Inputs!$F$22,V8&lt;=Inputs!$F$21),1,0)</f>
        <v/>
      </c>
      <c r="W34" s="14">
        <f>IF(AND(Inputs!$F$214=1,W8&gt;=Inputs!$F$22,W8&lt;=Inputs!$F$21),1,0)</f>
        <v/>
      </c>
      <c r="X34" s="14">
        <f>IF(AND(Inputs!$F$214=1,X8&gt;=Inputs!$F$22,X8&lt;=Inputs!$F$21),1,0)</f>
        <v/>
      </c>
      <c r="Y34" s="14">
        <f>IF(AND(Inputs!$F$214=1,Y8&gt;=Inputs!$F$22,Y8&lt;=Inputs!$F$21),1,0)</f>
        <v/>
      </c>
      <c r="Z34" s="14">
        <f>IF(AND(Inputs!$F$214=1,Z8&gt;=Inputs!$F$22,Z8&lt;=Inputs!$F$21),1,0)</f>
        <v/>
      </c>
      <c r="AA34" s="14">
        <f>IF(AND(Inputs!$F$214=1,AA8&gt;=Inputs!$F$22,AA8&lt;=Inputs!$F$21),1,0)</f>
        <v/>
      </c>
      <c r="AB34" s="14">
        <f>IF(AND(Inputs!$F$214=1,AB8&gt;=Inputs!$F$22,AB8&lt;=Inputs!$F$21),1,0)</f>
        <v/>
      </c>
      <c r="AC34" s="14">
        <f>IF(AND(Inputs!$F$214=1,AC8&gt;=Inputs!$F$22,AC8&lt;=Inputs!$F$21),1,0)</f>
        <v/>
      </c>
      <c r="AD34" s="14">
        <f>IF(AND(Inputs!$F$214=1,AD8&gt;=Inputs!$F$22,AD8&lt;=Inputs!$F$21),1,0)</f>
        <v/>
      </c>
      <c r="AE34" s="14">
        <f>IF(AND(Inputs!$F$214=1,AE8&gt;=Inputs!$F$22,AE8&lt;=Inputs!$F$21),1,0)</f>
        <v/>
      </c>
      <c r="AF34" s="14">
        <f>IF(AND(Inputs!$F$214=1,AF8&gt;=Inputs!$F$22,AF8&lt;=Inputs!$F$21),1,0)</f>
        <v/>
      </c>
      <c r="AG34" s="14">
        <f>IF(AND(Inputs!$F$214=1,AG8&gt;=Inputs!$F$22,AG8&lt;=Inputs!$F$21),1,0)</f>
        <v/>
      </c>
      <c r="AH34" s="14">
        <f>IF(AND(Inputs!$F$214=1,AH8&gt;=Inputs!$F$22,AH8&lt;=Inputs!$F$21),1,0)</f>
        <v/>
      </c>
      <c r="AI34" s="14">
        <f>IF(AND(Inputs!$F$214=1,AI8&gt;=Inputs!$F$22,AI8&lt;=Inputs!$F$21),1,0)</f>
        <v/>
      </c>
      <c r="AJ34" s="14">
        <f>IF(AND(Inputs!$F$214=1,AJ8&gt;=Inputs!$F$22,AJ8&lt;=Inputs!$F$21),1,0)</f>
        <v/>
      </c>
      <c r="AK34" s="14">
        <f>IF(AND(Inputs!$F$214=1,AK8&gt;=Inputs!$F$22,AK8&lt;=Inputs!$F$21),1,0)</f>
        <v/>
      </c>
      <c r="AL34" s="14">
        <f>IF(AND(Inputs!$F$214=1,AL8&gt;=Inputs!$F$22,AL8&lt;=Inputs!$F$21),1,0)</f>
        <v/>
      </c>
      <c r="AM34" s="14">
        <f>IF(AND(Inputs!$F$214=1,AM8&gt;=Inputs!$F$22,AM8&lt;=Inputs!$F$21),1,0)</f>
        <v/>
      </c>
      <c r="AN34" s="14">
        <f>IF(AND(Inputs!$F$214=1,AN8&gt;=Inputs!$F$22,AN8&lt;=Inputs!$F$21),1,0)</f>
        <v/>
      </c>
      <c r="AO34" s="14">
        <f>IF(AND(Inputs!$F$214=1,AO8&gt;=Inputs!$F$22,AO8&lt;=Inputs!$F$21),1,0)</f>
        <v/>
      </c>
      <c r="AP34" s="14">
        <f>IF(AND(Inputs!$F$214=1,AP8&gt;=Inputs!$F$22,AP8&lt;=Inputs!$F$21),1,0)</f>
        <v/>
      </c>
      <c r="AQ34" s="14">
        <f>IF(AND(Inputs!$F$214=1,AQ8&gt;=Inputs!$F$22,AQ8&lt;=Inputs!$F$21),1,0)</f>
        <v/>
      </c>
      <c r="AR34" s="14">
        <f>IF(AND(Inputs!$F$214=1,AR8&gt;=Inputs!$F$22,AR8&lt;=Inputs!$F$21),1,0)</f>
        <v/>
      </c>
      <c r="AS34" s="14">
        <f>IF(AND(Inputs!$F$214=1,AS8&gt;=Inputs!$F$22,AS8&lt;=Inputs!$F$21),1,0)</f>
        <v/>
      </c>
      <c r="AT34" s="14">
        <f>IF(AND(Inputs!$F$214=1,AT8&gt;=Inputs!$F$22,AT8&lt;=Inputs!$F$21),1,0)</f>
        <v/>
      </c>
      <c r="AU34" s="14">
        <f>IF(AND(Inputs!$F$214=1,AU8&gt;=Inputs!$F$22,AU8&lt;=Inputs!$F$21),1,0)</f>
        <v/>
      </c>
      <c r="AV34" s="14">
        <f>IF(AND(Inputs!$F$214=1,AV8&gt;=Inputs!$F$22,AV8&lt;=Inputs!$F$21),1,0)</f>
        <v/>
      </c>
      <c r="AW34" s="14">
        <f>IF(AND(Inputs!$F$214=1,AW8&gt;=Inputs!$F$22,AW8&lt;=Inputs!$F$21),1,0)</f>
        <v/>
      </c>
      <c r="AX34" s="14">
        <f>IF(AND(Inputs!$F$214=1,AX8&gt;=Inputs!$F$22,AX8&lt;=Inputs!$F$21),1,0)</f>
        <v/>
      </c>
      <c r="AY34" s="14">
        <f>IF(AND(Inputs!$F$214=1,AY8&gt;=Inputs!$F$22,AY8&lt;=Inputs!$F$21),1,0)</f>
        <v/>
      </c>
      <c r="AZ34" s="14">
        <f>IF(AND(Inputs!$F$214=1,AZ8&gt;=Inputs!$F$22,AZ8&lt;=Inputs!$F$21),1,0)</f>
        <v/>
      </c>
      <c r="BA34" s="14">
        <f>IF(AND(Inputs!$F$214=1,BA8&gt;=Inputs!$F$22,BA8&lt;=Inputs!$F$21),1,0)</f>
        <v/>
      </c>
      <c r="BB34" s="14">
        <f>IF(AND(Inputs!$F$214=1,BB8&gt;=Inputs!$F$22,BB8&lt;=Inputs!$F$21),1,0)</f>
        <v/>
      </c>
      <c r="BC34" s="14">
        <f>IF(AND(Inputs!$F$214=1,BC8&gt;=Inputs!$F$22,BC8&lt;=Inputs!$F$21),1,0)</f>
        <v/>
      </c>
      <c r="BD34" s="14">
        <f>IF(AND(Inputs!$F$214=1,BD8&gt;=Inputs!$F$22,BD8&lt;=Inputs!$F$21),1,0)</f>
        <v/>
      </c>
      <c r="BE34" s="14">
        <f>IF(AND(Inputs!$F$214=1,BE8&gt;=Inputs!$F$22,BE8&lt;=Inputs!$F$21),1,0)</f>
        <v/>
      </c>
      <c r="BF34" s="14">
        <f>IF(AND(Inputs!$F$214=1,BF8&gt;=Inputs!$F$22,BF8&lt;=Inputs!$F$21),1,0)</f>
        <v/>
      </c>
      <c r="BG34" s="14">
        <f>IF(AND(Inputs!$F$214=1,BG8&gt;=Inputs!$F$22,BG8&lt;=Inputs!$F$21),1,0)</f>
        <v/>
      </c>
      <c r="BH34" s="14">
        <f>IF(AND(Inputs!$F$214=1,BH8&gt;=Inputs!$F$22,BH8&lt;=Inputs!$F$21),1,0)</f>
        <v/>
      </c>
      <c r="BI34" s="14">
        <f>IF(AND(Inputs!$F$214=1,BI8&gt;=Inputs!$F$22,BI8&lt;=Inputs!$F$21),1,0)</f>
        <v/>
      </c>
      <c r="BJ34" s="14">
        <f>IF(AND(Inputs!$F$214=1,BJ8&gt;=Inputs!$F$22,BJ8&lt;=Inputs!$F$21),1,0)</f>
        <v/>
      </c>
      <c r="BK34" s="14">
        <f>IF(AND(Inputs!$F$214=1,BK8&gt;=Inputs!$F$22,BK8&lt;=Inputs!$F$21),1,0)</f>
        <v/>
      </c>
      <c r="BL34" s="14">
        <f>IF(AND(Inputs!$F$214=1,BL8&gt;=Inputs!$F$22,BL8&lt;=Inputs!$F$21),1,0)</f>
        <v/>
      </c>
      <c r="BM34" s="14">
        <f>IF(AND(Inputs!$F$214=1,BM8&gt;=Inputs!$F$22,BM8&lt;=Inputs!$F$21),1,0)</f>
        <v/>
      </c>
      <c r="BN34" s="14">
        <f>IF(AND(Inputs!$F$214=1,BN8&gt;=Inputs!$F$22,BN8&lt;=Inputs!$F$21),1,0)</f>
        <v/>
      </c>
      <c r="BO34" s="14">
        <f>IF(AND(Inputs!$F$214=1,BO8&gt;=Inputs!$F$22,BO8&lt;=Inputs!$F$21),1,0)</f>
        <v/>
      </c>
      <c r="BP34" s="14">
        <f>IF(AND(Inputs!$F$214=1,BP8&gt;=Inputs!$F$22,BP8&lt;=Inputs!$F$21),1,0)</f>
        <v/>
      </c>
      <c r="BQ34" s="14">
        <f>IF(AND(Inputs!$F$214=1,BQ8&gt;=Inputs!$F$22,BQ8&lt;=Inputs!$F$21),1,0)</f>
        <v/>
      </c>
      <c r="BR34" s="14">
        <f>IF(AND(Inputs!$F$214=1,BR8&gt;=Inputs!$F$22,BR8&lt;=Inputs!$F$21),1,0)</f>
        <v/>
      </c>
      <c r="BS34" s="14">
        <f>IF(AND(Inputs!$F$214=1,BS8&gt;=Inputs!$F$22,BS8&lt;=Inputs!$F$21),1,0)</f>
        <v/>
      </c>
      <c r="BT34" s="14">
        <f>IF(AND(Inputs!$F$214=1,BT8&gt;=Inputs!$F$22,BT8&lt;=Inputs!$F$21),1,0)</f>
        <v/>
      </c>
      <c r="BU34" s="14">
        <f>IF(AND(Inputs!$F$214=1,BU8&gt;=Inputs!$F$22,BU8&lt;=Inputs!$F$21),1,0)</f>
        <v/>
      </c>
      <c r="BV34" s="14">
        <f>IF(AND(Inputs!$F$214=1,BV8&gt;=Inputs!$F$22,BV8&lt;=Inputs!$F$21),1,0)</f>
        <v/>
      </c>
      <c r="BW34" s="14">
        <f>IF(AND(Inputs!$F$214=1,BW8&gt;=Inputs!$F$22,BW8&lt;=Inputs!$F$21),1,0)</f>
        <v/>
      </c>
      <c r="BX34" s="14">
        <f>IF(AND(Inputs!$F$214=1,BX8&gt;=Inputs!$F$22,BX8&lt;=Inputs!$F$21),1,0)</f>
        <v/>
      </c>
      <c r="BY34" s="14">
        <f>IF(AND(Inputs!$F$214=1,BY8&gt;=Inputs!$F$22,BY8&lt;=Inputs!$F$21),1,0)</f>
        <v/>
      </c>
      <c r="BZ34" s="14">
        <f>IF(AND(Inputs!$F$214=1,BZ8&gt;=Inputs!$F$22,BZ8&lt;=Inputs!$F$21),1,0)</f>
        <v/>
      </c>
      <c r="CA34" s="14">
        <f>IF(AND(Inputs!$F$214=1,CA8&gt;=Inputs!$F$22,CA8&lt;=Inputs!$F$21),1,0)</f>
        <v/>
      </c>
      <c r="CB34" s="14">
        <f>IF(AND(Inputs!$F$214=1,CB8&gt;=Inputs!$F$22,CB8&lt;=Inputs!$F$21),1,0)</f>
        <v/>
      </c>
      <c r="CC34" s="14">
        <f>IF(AND(Inputs!$F$214=1,CC8&gt;=Inputs!$F$22,CC8&lt;=Inputs!$F$21),1,0)</f>
        <v/>
      </c>
      <c r="CD34" s="14">
        <f>IF(AND(Inputs!$F$214=1,CD8&gt;=Inputs!$F$22,CD8&lt;=Inputs!$F$21),1,0)</f>
        <v/>
      </c>
      <c r="CE34" s="14">
        <f>IF(AND(Inputs!$F$214=1,CE8&gt;=Inputs!$F$22,CE8&lt;=Inputs!$F$21),1,0)</f>
        <v/>
      </c>
      <c r="CF34" s="14">
        <f>IF(AND(Inputs!$F$214=1,CF8&gt;=Inputs!$F$22,CF8&lt;=Inputs!$F$21),1,0)</f>
        <v/>
      </c>
      <c r="CG34" s="14">
        <f>IF(AND(Inputs!$F$214=1,CG8&gt;=Inputs!$F$22,CG8&lt;=Inputs!$F$21),1,0)</f>
        <v/>
      </c>
      <c r="CH34" s="14">
        <f>IF(AND(Inputs!$F$214=1,CH8&gt;=Inputs!$F$22,CH8&lt;=Inputs!$F$21),1,0)</f>
        <v/>
      </c>
      <c r="CI34" s="14">
        <f>IF(AND(Inputs!$F$214=1,CI8&gt;=Inputs!$F$22,CI8&lt;=Inputs!$F$21),1,0)</f>
        <v/>
      </c>
      <c r="CJ34" s="14">
        <f>IF(AND(Inputs!$F$214=1,CJ8&gt;=Inputs!$F$22,CJ8&lt;=Inputs!$F$21),1,0)</f>
        <v/>
      </c>
      <c r="CK34" s="14">
        <f>IF(AND(Inputs!$F$214=1,CK8&gt;=Inputs!$F$22,CK8&lt;=Inputs!$F$21),1,0)</f>
        <v/>
      </c>
      <c r="CL34" s="14">
        <f>IF(AND(Inputs!$F$214=1,CL8&gt;=Inputs!$F$22,CL8&lt;=Inputs!$F$21),1,0)</f>
        <v/>
      </c>
      <c r="CM34" s="14">
        <f>IF(AND(Inputs!$F$214=1,CM8&gt;=Inputs!$F$22,CM8&lt;=Inputs!$F$21),1,0)</f>
        <v/>
      </c>
      <c r="CN34" s="14">
        <f>IF(AND(Inputs!$F$214=1,CN8&gt;=Inputs!$F$22,CN8&lt;=Inputs!$F$21),1,0)</f>
        <v/>
      </c>
      <c r="CO34" s="14">
        <f>IF(AND(Inputs!$F$214=1,CO8&gt;=Inputs!$F$22,CO8&lt;=Inputs!$F$21),1,0)</f>
        <v/>
      </c>
      <c r="CP34" s="14">
        <f>IF(AND(Inputs!$F$214=1,CP8&gt;=Inputs!$F$22,CP8&lt;=Inputs!$F$21),1,0)</f>
        <v/>
      </c>
      <c r="CQ34" s="14">
        <f>IF(AND(Inputs!$F$214=1,CQ8&gt;=Inputs!$F$22,CQ8&lt;=Inputs!$F$21),1,0)</f>
        <v/>
      </c>
      <c r="CR34" s="14">
        <f>IF(AND(Inputs!$F$214=1,CR8&gt;=Inputs!$F$22,CR8&lt;=Inputs!$F$21),1,0)</f>
        <v/>
      </c>
      <c r="CS34" s="14">
        <f>IF(AND(Inputs!$F$214=1,CS8&gt;=Inputs!$F$22,CS8&lt;=Inputs!$F$21),1,0)</f>
        <v/>
      </c>
      <c r="CT34" s="14">
        <f>IF(AND(Inputs!$F$214=1,CT8&gt;=Inputs!$F$22,CT8&lt;=Inputs!$F$21),1,0)</f>
        <v/>
      </c>
      <c r="CU34" s="14">
        <f>IF(AND(Inputs!$F$214=1,CU8&gt;=Inputs!$F$22,CU8&lt;=Inputs!$F$21),1,0)</f>
        <v/>
      </c>
      <c r="CV34" s="14">
        <f>IF(AND(Inputs!$F$214=1,CV8&gt;=Inputs!$F$22,CV8&lt;=Inputs!$F$21),1,0)</f>
        <v/>
      </c>
      <c r="CW34" s="14">
        <f>IF(AND(Inputs!$F$214=1,CW8&gt;=Inputs!$F$22,CW8&lt;=Inputs!$F$21),1,0)</f>
        <v/>
      </c>
      <c r="CX34" s="14">
        <f>IF(AND(Inputs!$F$214=1,CX8&gt;=Inputs!$F$22,CX8&lt;=Inputs!$F$21),1,0)</f>
        <v/>
      </c>
      <c r="CY34" s="14">
        <f>IF(AND(Inputs!$F$214=1,CY8&gt;=Inputs!$F$22,CY8&lt;=Inputs!$F$21),1,0)</f>
        <v/>
      </c>
      <c r="CZ34" s="14">
        <f>IF(AND(Inputs!$F$214=1,CZ8&gt;=Inputs!$F$22,CZ8&lt;=Inputs!$F$21),1,0)</f>
        <v/>
      </c>
      <c r="DA34" s="14">
        <f>IF(AND(Inputs!$F$214=1,DA8&gt;=Inputs!$F$22,DA8&lt;=Inputs!$F$21),1,0)</f>
        <v/>
      </c>
      <c r="DB34" s="14">
        <f>IF(AND(Inputs!$F$214=1,DB8&gt;=Inputs!$F$22,DB8&lt;=Inputs!$F$21),1,0)</f>
        <v/>
      </c>
    </row>
    <row r="35">
      <c r="D35" t="inlineStr">
        <is>
          <t>Flag_Restructuring</t>
        </is>
      </c>
      <c r="E35" t="inlineStr">
        <is>
          <t>flag</t>
        </is>
      </c>
      <c r="J35" s="14">
        <f>IF(AND(Inputs!$F$216=1,J8=Inputs!$F$21),1,0)</f>
        <v/>
      </c>
      <c r="K35" s="14">
        <f>IF(AND(Inputs!$F$216=1,K8=Inputs!$F$21),1,0)</f>
        <v/>
      </c>
      <c r="L35" s="14">
        <f>IF(AND(Inputs!$F$216=1,L8=Inputs!$F$21),1,0)</f>
        <v/>
      </c>
      <c r="M35" s="14">
        <f>IF(AND(Inputs!$F$216=1,M8=Inputs!$F$21),1,0)</f>
        <v/>
      </c>
      <c r="N35" s="14">
        <f>IF(AND(Inputs!$F$216=1,N8=Inputs!$F$21),1,0)</f>
        <v/>
      </c>
      <c r="O35" s="14">
        <f>IF(AND(Inputs!$F$216=1,O8=Inputs!$F$21),1,0)</f>
        <v/>
      </c>
      <c r="P35" s="14">
        <f>IF(AND(Inputs!$F$216=1,P8=Inputs!$F$21),1,0)</f>
        <v/>
      </c>
      <c r="Q35" s="14">
        <f>IF(AND(Inputs!$F$216=1,Q8=Inputs!$F$21),1,0)</f>
        <v/>
      </c>
      <c r="R35" s="14">
        <f>IF(AND(Inputs!$F$216=1,R8=Inputs!$F$21),1,0)</f>
        <v/>
      </c>
      <c r="S35" s="14">
        <f>IF(AND(Inputs!$F$216=1,S8=Inputs!$F$21),1,0)</f>
        <v/>
      </c>
      <c r="T35" s="14">
        <f>IF(AND(Inputs!$F$216=1,T8=Inputs!$F$21),1,0)</f>
        <v/>
      </c>
      <c r="U35" s="14">
        <f>IF(AND(Inputs!$F$216=1,U8=Inputs!$F$21),1,0)</f>
        <v/>
      </c>
      <c r="V35" s="14">
        <f>IF(AND(Inputs!$F$216=1,V8=Inputs!$F$21),1,0)</f>
        <v/>
      </c>
      <c r="W35" s="14">
        <f>IF(AND(Inputs!$F$216=1,W8=Inputs!$F$21),1,0)</f>
        <v/>
      </c>
      <c r="X35" s="14">
        <f>IF(AND(Inputs!$F$216=1,X8=Inputs!$F$21),1,0)</f>
        <v/>
      </c>
      <c r="Y35" s="14">
        <f>IF(AND(Inputs!$F$216=1,Y8=Inputs!$F$21),1,0)</f>
        <v/>
      </c>
      <c r="Z35" s="14">
        <f>IF(AND(Inputs!$F$216=1,Z8=Inputs!$F$21),1,0)</f>
        <v/>
      </c>
      <c r="AA35" s="14">
        <f>IF(AND(Inputs!$F$216=1,AA8=Inputs!$F$21),1,0)</f>
        <v/>
      </c>
      <c r="AB35" s="14">
        <f>IF(AND(Inputs!$F$216=1,AB8=Inputs!$F$21),1,0)</f>
        <v/>
      </c>
      <c r="AC35" s="14">
        <f>IF(AND(Inputs!$F$216=1,AC8=Inputs!$F$21),1,0)</f>
        <v/>
      </c>
      <c r="AD35" s="14">
        <f>IF(AND(Inputs!$F$216=1,AD8=Inputs!$F$21),1,0)</f>
        <v/>
      </c>
      <c r="AE35" s="14">
        <f>IF(AND(Inputs!$F$216=1,AE8=Inputs!$F$21),1,0)</f>
        <v/>
      </c>
      <c r="AF35" s="14">
        <f>IF(AND(Inputs!$F$216=1,AF8=Inputs!$F$21),1,0)</f>
        <v/>
      </c>
      <c r="AG35" s="14">
        <f>IF(AND(Inputs!$F$216=1,AG8=Inputs!$F$21),1,0)</f>
        <v/>
      </c>
      <c r="AH35" s="14">
        <f>IF(AND(Inputs!$F$216=1,AH8=Inputs!$F$21),1,0)</f>
        <v/>
      </c>
      <c r="AI35" s="14">
        <f>IF(AND(Inputs!$F$216=1,AI8=Inputs!$F$21),1,0)</f>
        <v/>
      </c>
      <c r="AJ35" s="14">
        <f>IF(AND(Inputs!$F$216=1,AJ8=Inputs!$F$21),1,0)</f>
        <v/>
      </c>
      <c r="AK35" s="14">
        <f>IF(AND(Inputs!$F$216=1,AK8=Inputs!$F$21),1,0)</f>
        <v/>
      </c>
      <c r="AL35" s="14">
        <f>IF(AND(Inputs!$F$216=1,AL8=Inputs!$F$21),1,0)</f>
        <v/>
      </c>
      <c r="AM35" s="14">
        <f>IF(AND(Inputs!$F$216=1,AM8=Inputs!$F$21),1,0)</f>
        <v/>
      </c>
      <c r="AN35" s="14">
        <f>IF(AND(Inputs!$F$216=1,AN8=Inputs!$F$21),1,0)</f>
        <v/>
      </c>
      <c r="AO35" s="14">
        <f>IF(AND(Inputs!$F$216=1,AO8=Inputs!$F$21),1,0)</f>
        <v/>
      </c>
      <c r="AP35" s="14">
        <f>IF(AND(Inputs!$F$216=1,AP8=Inputs!$F$21),1,0)</f>
        <v/>
      </c>
      <c r="AQ35" s="14">
        <f>IF(AND(Inputs!$F$216=1,AQ8=Inputs!$F$21),1,0)</f>
        <v/>
      </c>
      <c r="AR35" s="14">
        <f>IF(AND(Inputs!$F$216=1,AR8=Inputs!$F$21),1,0)</f>
        <v/>
      </c>
      <c r="AS35" s="14">
        <f>IF(AND(Inputs!$F$216=1,AS8=Inputs!$F$21),1,0)</f>
        <v/>
      </c>
      <c r="AT35" s="14">
        <f>IF(AND(Inputs!$F$216=1,AT8=Inputs!$F$21),1,0)</f>
        <v/>
      </c>
      <c r="AU35" s="14">
        <f>IF(AND(Inputs!$F$216=1,AU8=Inputs!$F$21),1,0)</f>
        <v/>
      </c>
      <c r="AV35" s="14">
        <f>IF(AND(Inputs!$F$216=1,AV8=Inputs!$F$21),1,0)</f>
        <v/>
      </c>
      <c r="AW35" s="14">
        <f>IF(AND(Inputs!$F$216=1,AW8=Inputs!$F$21),1,0)</f>
        <v/>
      </c>
      <c r="AX35" s="14">
        <f>IF(AND(Inputs!$F$216=1,AX8=Inputs!$F$21),1,0)</f>
        <v/>
      </c>
      <c r="AY35" s="14">
        <f>IF(AND(Inputs!$F$216=1,AY8=Inputs!$F$21),1,0)</f>
        <v/>
      </c>
      <c r="AZ35" s="14">
        <f>IF(AND(Inputs!$F$216=1,AZ8=Inputs!$F$21),1,0)</f>
        <v/>
      </c>
      <c r="BA35" s="14">
        <f>IF(AND(Inputs!$F$216=1,BA8=Inputs!$F$21),1,0)</f>
        <v/>
      </c>
      <c r="BB35" s="14">
        <f>IF(AND(Inputs!$F$216=1,BB8=Inputs!$F$21),1,0)</f>
        <v/>
      </c>
      <c r="BC35" s="14">
        <f>IF(AND(Inputs!$F$216=1,BC8=Inputs!$F$21),1,0)</f>
        <v/>
      </c>
      <c r="BD35" s="14">
        <f>IF(AND(Inputs!$F$216=1,BD8=Inputs!$F$21),1,0)</f>
        <v/>
      </c>
      <c r="BE35" s="14">
        <f>IF(AND(Inputs!$F$216=1,BE8=Inputs!$F$21),1,0)</f>
        <v/>
      </c>
      <c r="BF35" s="14">
        <f>IF(AND(Inputs!$F$216=1,BF8=Inputs!$F$21),1,0)</f>
        <v/>
      </c>
      <c r="BG35" s="14">
        <f>IF(AND(Inputs!$F$216=1,BG8=Inputs!$F$21),1,0)</f>
        <v/>
      </c>
      <c r="BH35" s="14">
        <f>IF(AND(Inputs!$F$216=1,BH8=Inputs!$F$21),1,0)</f>
        <v/>
      </c>
      <c r="BI35" s="14">
        <f>IF(AND(Inputs!$F$216=1,BI8=Inputs!$F$21),1,0)</f>
        <v/>
      </c>
      <c r="BJ35" s="14">
        <f>IF(AND(Inputs!$F$216=1,BJ8=Inputs!$F$21),1,0)</f>
        <v/>
      </c>
      <c r="BK35" s="14">
        <f>IF(AND(Inputs!$F$216=1,BK8=Inputs!$F$21),1,0)</f>
        <v/>
      </c>
      <c r="BL35" s="14">
        <f>IF(AND(Inputs!$F$216=1,BL8=Inputs!$F$21),1,0)</f>
        <v/>
      </c>
      <c r="BM35" s="14">
        <f>IF(AND(Inputs!$F$216=1,BM8=Inputs!$F$21),1,0)</f>
        <v/>
      </c>
      <c r="BN35" s="14">
        <f>IF(AND(Inputs!$F$216=1,BN8=Inputs!$F$21),1,0)</f>
        <v/>
      </c>
      <c r="BO35" s="14">
        <f>IF(AND(Inputs!$F$216=1,BO8=Inputs!$F$21),1,0)</f>
        <v/>
      </c>
      <c r="BP35" s="14">
        <f>IF(AND(Inputs!$F$216=1,BP8=Inputs!$F$21),1,0)</f>
        <v/>
      </c>
      <c r="BQ35" s="14">
        <f>IF(AND(Inputs!$F$216=1,BQ8=Inputs!$F$21),1,0)</f>
        <v/>
      </c>
      <c r="BR35" s="14">
        <f>IF(AND(Inputs!$F$216=1,BR8=Inputs!$F$21),1,0)</f>
        <v/>
      </c>
      <c r="BS35" s="14">
        <f>IF(AND(Inputs!$F$216=1,BS8=Inputs!$F$21),1,0)</f>
        <v/>
      </c>
      <c r="BT35" s="14">
        <f>IF(AND(Inputs!$F$216=1,BT8=Inputs!$F$21),1,0)</f>
        <v/>
      </c>
      <c r="BU35" s="14">
        <f>IF(AND(Inputs!$F$216=1,BU8=Inputs!$F$21),1,0)</f>
        <v/>
      </c>
      <c r="BV35" s="14">
        <f>IF(AND(Inputs!$F$216=1,BV8=Inputs!$F$21),1,0)</f>
        <v/>
      </c>
      <c r="BW35" s="14">
        <f>IF(AND(Inputs!$F$216=1,BW8=Inputs!$F$21),1,0)</f>
        <v/>
      </c>
      <c r="BX35" s="14">
        <f>IF(AND(Inputs!$F$216=1,BX8=Inputs!$F$21),1,0)</f>
        <v/>
      </c>
      <c r="BY35" s="14">
        <f>IF(AND(Inputs!$F$216=1,BY8=Inputs!$F$21),1,0)</f>
        <v/>
      </c>
      <c r="BZ35" s="14">
        <f>IF(AND(Inputs!$F$216=1,BZ8=Inputs!$F$21),1,0)</f>
        <v/>
      </c>
      <c r="CA35" s="14">
        <f>IF(AND(Inputs!$F$216=1,CA8=Inputs!$F$21),1,0)</f>
        <v/>
      </c>
      <c r="CB35" s="14">
        <f>IF(AND(Inputs!$F$216=1,CB8=Inputs!$F$21),1,0)</f>
        <v/>
      </c>
      <c r="CC35" s="14">
        <f>IF(AND(Inputs!$F$216=1,CC8=Inputs!$F$21),1,0)</f>
        <v/>
      </c>
      <c r="CD35" s="14">
        <f>IF(AND(Inputs!$F$216=1,CD8=Inputs!$F$21),1,0)</f>
        <v/>
      </c>
      <c r="CE35" s="14">
        <f>IF(AND(Inputs!$F$216=1,CE8=Inputs!$F$21),1,0)</f>
        <v/>
      </c>
      <c r="CF35" s="14">
        <f>IF(AND(Inputs!$F$216=1,CF8=Inputs!$F$21),1,0)</f>
        <v/>
      </c>
      <c r="CG35" s="14">
        <f>IF(AND(Inputs!$F$216=1,CG8=Inputs!$F$21),1,0)</f>
        <v/>
      </c>
      <c r="CH35" s="14">
        <f>IF(AND(Inputs!$F$216=1,CH8=Inputs!$F$21),1,0)</f>
        <v/>
      </c>
      <c r="CI35" s="14">
        <f>IF(AND(Inputs!$F$216=1,CI8=Inputs!$F$21),1,0)</f>
        <v/>
      </c>
      <c r="CJ35" s="14">
        <f>IF(AND(Inputs!$F$216=1,CJ8=Inputs!$F$21),1,0)</f>
        <v/>
      </c>
      <c r="CK35" s="14">
        <f>IF(AND(Inputs!$F$216=1,CK8=Inputs!$F$21),1,0)</f>
        <v/>
      </c>
      <c r="CL35" s="14">
        <f>IF(AND(Inputs!$F$216=1,CL8=Inputs!$F$21),1,0)</f>
        <v/>
      </c>
      <c r="CM35" s="14">
        <f>IF(AND(Inputs!$F$216=1,CM8=Inputs!$F$21),1,0)</f>
        <v/>
      </c>
      <c r="CN35" s="14">
        <f>IF(AND(Inputs!$F$216=1,CN8=Inputs!$F$21),1,0)</f>
        <v/>
      </c>
      <c r="CO35" s="14">
        <f>IF(AND(Inputs!$F$216=1,CO8=Inputs!$F$21),1,0)</f>
        <v/>
      </c>
      <c r="CP35" s="14">
        <f>IF(AND(Inputs!$F$216=1,CP8=Inputs!$F$21),1,0)</f>
        <v/>
      </c>
      <c r="CQ35" s="14">
        <f>IF(AND(Inputs!$F$216=1,CQ8=Inputs!$F$21),1,0)</f>
        <v/>
      </c>
      <c r="CR35" s="14">
        <f>IF(AND(Inputs!$F$216=1,CR8=Inputs!$F$21),1,0)</f>
        <v/>
      </c>
      <c r="CS35" s="14">
        <f>IF(AND(Inputs!$F$216=1,CS8=Inputs!$F$21),1,0)</f>
        <v/>
      </c>
      <c r="CT35" s="14">
        <f>IF(AND(Inputs!$F$216=1,CT8=Inputs!$F$21),1,0)</f>
        <v/>
      </c>
      <c r="CU35" s="14">
        <f>IF(AND(Inputs!$F$216=1,CU8=Inputs!$F$21),1,0)</f>
        <v/>
      </c>
      <c r="CV35" s="14">
        <f>IF(AND(Inputs!$F$216=1,CV8=Inputs!$F$21),1,0)</f>
        <v/>
      </c>
      <c r="CW35" s="14">
        <f>IF(AND(Inputs!$F$216=1,CW8=Inputs!$F$21),1,0)</f>
        <v/>
      </c>
      <c r="CX35" s="14">
        <f>IF(AND(Inputs!$F$216=1,CX8=Inputs!$F$21),1,0)</f>
        <v/>
      </c>
      <c r="CY35" s="14">
        <f>IF(AND(Inputs!$F$216=1,CY8=Inputs!$F$21),1,0)</f>
        <v/>
      </c>
      <c r="CZ35" s="14">
        <f>IF(AND(Inputs!$F$216=1,CZ8=Inputs!$F$21),1,0)</f>
        <v/>
      </c>
      <c r="DA35" s="14">
        <f>IF(AND(Inputs!$F$216=1,DA8=Inputs!$F$21),1,0)</f>
        <v/>
      </c>
      <c r="DB35" s="14">
        <f>IF(AND(Inputs!$F$216=1,DB8=Inputs!$F$21),1,0)</f>
        <v/>
      </c>
    </row>
    <row r="36">
      <c r="D36" t="inlineStr">
        <is>
          <t>Flag_FirstNotesPeriod</t>
        </is>
      </c>
      <c r="E36" t="inlineStr">
        <is>
          <t>flag</t>
        </is>
      </c>
      <c r="J36" s="14">
        <f>IF(AND(J23=1,I35=1),1,0)</f>
        <v/>
      </c>
      <c r="K36" s="14">
        <f>IF(AND(K23=1,J35=1),1,0)</f>
        <v/>
      </c>
      <c r="L36" s="14">
        <f>IF(AND(L23=1,K35=1),1,0)</f>
        <v/>
      </c>
      <c r="M36" s="14">
        <f>IF(AND(M23=1,L35=1),1,0)</f>
        <v/>
      </c>
      <c r="N36" s="14">
        <f>IF(AND(N23=1,M35=1),1,0)</f>
        <v/>
      </c>
      <c r="O36" s="14">
        <f>IF(AND(O23=1,N35=1),1,0)</f>
        <v/>
      </c>
      <c r="P36" s="14">
        <f>IF(AND(P23=1,O35=1),1,0)</f>
        <v/>
      </c>
      <c r="Q36" s="14">
        <f>IF(AND(Q23=1,P35=1),1,0)</f>
        <v/>
      </c>
      <c r="R36" s="14">
        <f>IF(AND(R23=1,Q35=1),1,0)</f>
        <v/>
      </c>
      <c r="S36" s="14">
        <f>IF(AND(S23=1,R35=1),1,0)</f>
        <v/>
      </c>
      <c r="T36" s="14">
        <f>IF(AND(T23=1,S35=1),1,0)</f>
        <v/>
      </c>
      <c r="U36" s="14">
        <f>IF(AND(U23=1,T35=1),1,0)</f>
        <v/>
      </c>
      <c r="V36" s="14">
        <f>IF(AND(V23=1,U35=1),1,0)</f>
        <v/>
      </c>
      <c r="W36" s="14">
        <f>IF(AND(W23=1,V35=1),1,0)</f>
        <v/>
      </c>
      <c r="X36" s="14">
        <f>IF(AND(X23=1,W35=1),1,0)</f>
        <v/>
      </c>
      <c r="Y36" s="14">
        <f>IF(AND(Y23=1,X35=1),1,0)</f>
        <v/>
      </c>
      <c r="Z36" s="14">
        <f>IF(AND(Z23=1,Y35=1),1,0)</f>
        <v/>
      </c>
      <c r="AA36" s="14">
        <f>IF(AND(AA23=1,Z35=1),1,0)</f>
        <v/>
      </c>
      <c r="AB36" s="14">
        <f>IF(AND(AB23=1,AA35=1),1,0)</f>
        <v/>
      </c>
      <c r="AC36" s="14">
        <f>IF(AND(AC23=1,AB35=1),1,0)</f>
        <v/>
      </c>
      <c r="AD36" s="14">
        <f>IF(AND(AD23=1,AC35=1),1,0)</f>
        <v/>
      </c>
      <c r="AE36" s="14">
        <f>IF(AND(AE23=1,AD35=1),1,0)</f>
        <v/>
      </c>
      <c r="AF36" s="14">
        <f>IF(AND(AF23=1,AE35=1),1,0)</f>
        <v/>
      </c>
      <c r="AG36" s="14">
        <f>IF(AND(AG23=1,AF35=1),1,0)</f>
        <v/>
      </c>
      <c r="AH36" s="14">
        <f>IF(AND(AH23=1,AG35=1),1,0)</f>
        <v/>
      </c>
      <c r="AI36" s="14">
        <f>IF(AND(AI23=1,AH35=1),1,0)</f>
        <v/>
      </c>
      <c r="AJ36" s="14">
        <f>IF(AND(AJ23=1,AI35=1),1,0)</f>
        <v/>
      </c>
      <c r="AK36" s="14">
        <f>IF(AND(AK23=1,AJ35=1),1,0)</f>
        <v/>
      </c>
      <c r="AL36" s="14">
        <f>IF(AND(AL23=1,AK35=1),1,0)</f>
        <v/>
      </c>
      <c r="AM36" s="14">
        <f>IF(AND(AM23=1,AL35=1),1,0)</f>
        <v/>
      </c>
      <c r="AN36" s="14">
        <f>IF(AND(AN23=1,AM35=1),1,0)</f>
        <v/>
      </c>
      <c r="AO36" s="14">
        <f>IF(AND(AO23=1,AN35=1),1,0)</f>
        <v/>
      </c>
      <c r="AP36" s="14">
        <f>IF(AND(AP23=1,AO35=1),1,0)</f>
        <v/>
      </c>
      <c r="AQ36" s="14">
        <f>IF(AND(AQ23=1,AP35=1),1,0)</f>
        <v/>
      </c>
      <c r="AR36" s="14">
        <f>IF(AND(AR23=1,AQ35=1),1,0)</f>
        <v/>
      </c>
      <c r="AS36" s="14">
        <f>IF(AND(AS23=1,AR35=1),1,0)</f>
        <v/>
      </c>
      <c r="AT36" s="14">
        <f>IF(AND(AT23=1,AS35=1),1,0)</f>
        <v/>
      </c>
      <c r="AU36" s="14">
        <f>IF(AND(AU23=1,AT35=1),1,0)</f>
        <v/>
      </c>
      <c r="AV36" s="14">
        <f>IF(AND(AV23=1,AU35=1),1,0)</f>
        <v/>
      </c>
      <c r="AW36" s="14">
        <f>IF(AND(AW23=1,AV35=1),1,0)</f>
        <v/>
      </c>
      <c r="AX36" s="14">
        <f>IF(AND(AX23=1,AW35=1),1,0)</f>
        <v/>
      </c>
      <c r="AY36" s="14">
        <f>IF(AND(AY23=1,AX35=1),1,0)</f>
        <v/>
      </c>
      <c r="AZ36" s="14">
        <f>IF(AND(AZ23=1,AY35=1),1,0)</f>
        <v/>
      </c>
      <c r="BA36" s="14">
        <f>IF(AND(BA23=1,AZ35=1),1,0)</f>
        <v/>
      </c>
      <c r="BB36" s="14">
        <f>IF(AND(BB23=1,BA35=1),1,0)</f>
        <v/>
      </c>
      <c r="BC36" s="14">
        <f>IF(AND(BC23=1,BB35=1),1,0)</f>
        <v/>
      </c>
      <c r="BD36" s="14">
        <f>IF(AND(BD23=1,BC35=1),1,0)</f>
        <v/>
      </c>
      <c r="BE36" s="14">
        <f>IF(AND(BE23=1,BD35=1),1,0)</f>
        <v/>
      </c>
      <c r="BF36" s="14">
        <f>IF(AND(BF23=1,BE35=1),1,0)</f>
        <v/>
      </c>
      <c r="BG36" s="14">
        <f>IF(AND(BG23=1,BF35=1),1,0)</f>
        <v/>
      </c>
      <c r="BH36" s="14">
        <f>IF(AND(BH23=1,BG35=1),1,0)</f>
        <v/>
      </c>
      <c r="BI36" s="14">
        <f>IF(AND(BI23=1,BH35=1),1,0)</f>
        <v/>
      </c>
      <c r="BJ36" s="14">
        <f>IF(AND(BJ23=1,BI35=1),1,0)</f>
        <v/>
      </c>
      <c r="BK36" s="14">
        <f>IF(AND(BK23=1,BJ35=1),1,0)</f>
        <v/>
      </c>
      <c r="BL36" s="14">
        <f>IF(AND(BL23=1,BK35=1),1,0)</f>
        <v/>
      </c>
      <c r="BM36" s="14">
        <f>IF(AND(BM23=1,BL35=1),1,0)</f>
        <v/>
      </c>
      <c r="BN36" s="14">
        <f>IF(AND(BN23=1,BM35=1),1,0)</f>
        <v/>
      </c>
      <c r="BO36" s="14">
        <f>IF(AND(BO23=1,BN35=1),1,0)</f>
        <v/>
      </c>
      <c r="BP36" s="14">
        <f>IF(AND(BP23=1,BO35=1),1,0)</f>
        <v/>
      </c>
      <c r="BQ36" s="14">
        <f>IF(AND(BQ23=1,BP35=1),1,0)</f>
        <v/>
      </c>
      <c r="BR36" s="14">
        <f>IF(AND(BR23=1,BQ35=1),1,0)</f>
        <v/>
      </c>
      <c r="BS36" s="14">
        <f>IF(AND(BS23=1,BR35=1),1,0)</f>
        <v/>
      </c>
      <c r="BT36" s="14">
        <f>IF(AND(BT23=1,BS35=1),1,0)</f>
        <v/>
      </c>
      <c r="BU36" s="14">
        <f>IF(AND(BU23=1,BT35=1),1,0)</f>
        <v/>
      </c>
      <c r="BV36" s="14">
        <f>IF(AND(BV23=1,BU35=1),1,0)</f>
        <v/>
      </c>
      <c r="BW36" s="14">
        <f>IF(AND(BW23=1,BV35=1),1,0)</f>
        <v/>
      </c>
      <c r="BX36" s="14">
        <f>IF(AND(BX23=1,BW35=1),1,0)</f>
        <v/>
      </c>
      <c r="BY36" s="14">
        <f>IF(AND(BY23=1,BX35=1),1,0)</f>
        <v/>
      </c>
      <c r="BZ36" s="14">
        <f>IF(AND(BZ23=1,BY35=1),1,0)</f>
        <v/>
      </c>
      <c r="CA36" s="14">
        <f>IF(AND(CA23=1,BZ35=1),1,0)</f>
        <v/>
      </c>
      <c r="CB36" s="14">
        <f>IF(AND(CB23=1,CA35=1),1,0)</f>
        <v/>
      </c>
      <c r="CC36" s="14">
        <f>IF(AND(CC23=1,CB35=1),1,0)</f>
        <v/>
      </c>
      <c r="CD36" s="14">
        <f>IF(AND(CD23=1,CC35=1),1,0)</f>
        <v/>
      </c>
      <c r="CE36" s="14">
        <f>IF(AND(CE23=1,CD35=1),1,0)</f>
        <v/>
      </c>
      <c r="CF36" s="14">
        <f>IF(AND(CF23=1,CE35=1),1,0)</f>
        <v/>
      </c>
      <c r="CG36" s="14">
        <f>IF(AND(CG23=1,CF35=1),1,0)</f>
        <v/>
      </c>
      <c r="CH36" s="14">
        <f>IF(AND(CH23=1,CG35=1),1,0)</f>
        <v/>
      </c>
      <c r="CI36" s="14">
        <f>IF(AND(CI23=1,CH35=1),1,0)</f>
        <v/>
      </c>
      <c r="CJ36" s="14">
        <f>IF(AND(CJ23=1,CI35=1),1,0)</f>
        <v/>
      </c>
      <c r="CK36" s="14">
        <f>IF(AND(CK23=1,CJ35=1),1,0)</f>
        <v/>
      </c>
      <c r="CL36" s="14">
        <f>IF(AND(CL23=1,CK35=1),1,0)</f>
        <v/>
      </c>
      <c r="CM36" s="14">
        <f>IF(AND(CM23=1,CL35=1),1,0)</f>
        <v/>
      </c>
      <c r="CN36" s="14">
        <f>IF(AND(CN23=1,CM35=1),1,0)</f>
        <v/>
      </c>
      <c r="CO36" s="14">
        <f>IF(AND(CO23=1,CN35=1),1,0)</f>
        <v/>
      </c>
      <c r="CP36" s="14">
        <f>IF(AND(CP23=1,CO35=1),1,0)</f>
        <v/>
      </c>
      <c r="CQ36" s="14">
        <f>IF(AND(CQ23=1,CP35=1),1,0)</f>
        <v/>
      </c>
      <c r="CR36" s="14">
        <f>IF(AND(CR23=1,CQ35=1),1,0)</f>
        <v/>
      </c>
      <c r="CS36" s="14">
        <f>IF(AND(CS23=1,CR35=1),1,0)</f>
        <v/>
      </c>
      <c r="CT36" s="14">
        <f>IF(AND(CT23=1,CS35=1),1,0)</f>
        <v/>
      </c>
      <c r="CU36" s="14">
        <f>IF(AND(CU23=1,CT35=1),1,0)</f>
        <v/>
      </c>
      <c r="CV36" s="14">
        <f>IF(AND(CV23=1,CU35=1),1,0)</f>
        <v/>
      </c>
      <c r="CW36" s="14">
        <f>IF(AND(CW23=1,CV35=1),1,0)</f>
        <v/>
      </c>
      <c r="CX36" s="14">
        <f>IF(AND(CX23=1,CW35=1),1,0)</f>
        <v/>
      </c>
      <c r="CY36" s="14">
        <f>IF(AND(CY23=1,CX35=1),1,0)</f>
        <v/>
      </c>
      <c r="CZ36" s="14">
        <f>IF(AND(CZ23=1,CY35=1),1,0)</f>
        <v/>
      </c>
      <c r="DA36" s="14">
        <f>IF(AND(DA23=1,CZ35=1),1,0)</f>
        <v/>
      </c>
      <c r="DB36" s="14">
        <f>IF(AND(DB23=1,DA35=1),1,0)</f>
        <v/>
      </c>
    </row>
    <row r="37">
      <c r="D37" t="inlineStr">
        <is>
          <t>Flag_NotesRepayment</t>
        </is>
      </c>
      <c r="E37" t="inlineStr">
        <is>
          <t>flag</t>
        </is>
      </c>
      <c r="J37" s="14">
        <f>IF(AND(J23=1,J8&lt;=Inputs!$F$33),1,0)</f>
        <v/>
      </c>
      <c r="K37" s="14">
        <f>IF(AND(K23=1,K8&lt;=Inputs!$F$33),1,0)</f>
        <v/>
      </c>
      <c r="L37" s="14">
        <f>IF(AND(L23=1,L8&lt;=Inputs!$F$33),1,0)</f>
        <v/>
      </c>
      <c r="M37" s="14">
        <f>IF(AND(M23=1,M8&lt;=Inputs!$F$33),1,0)</f>
        <v/>
      </c>
      <c r="N37" s="14">
        <f>IF(AND(N23=1,N8&lt;=Inputs!$F$33),1,0)</f>
        <v/>
      </c>
      <c r="O37" s="14">
        <f>IF(AND(O23=1,O8&lt;=Inputs!$F$33),1,0)</f>
        <v/>
      </c>
      <c r="P37" s="14">
        <f>IF(AND(P23=1,P8&lt;=Inputs!$F$33),1,0)</f>
        <v/>
      </c>
      <c r="Q37" s="14">
        <f>IF(AND(Q23=1,Q8&lt;=Inputs!$F$33),1,0)</f>
        <v/>
      </c>
      <c r="R37" s="14">
        <f>IF(AND(R23=1,R8&lt;=Inputs!$F$33),1,0)</f>
        <v/>
      </c>
      <c r="S37" s="14">
        <f>IF(AND(S23=1,S8&lt;=Inputs!$F$33),1,0)</f>
        <v/>
      </c>
      <c r="T37" s="14">
        <f>IF(AND(T23=1,T8&lt;=Inputs!$F$33),1,0)</f>
        <v/>
      </c>
      <c r="U37" s="14">
        <f>IF(AND(U23=1,U8&lt;=Inputs!$F$33),1,0)</f>
        <v/>
      </c>
      <c r="V37" s="14">
        <f>IF(AND(V23=1,V8&lt;=Inputs!$F$33),1,0)</f>
        <v/>
      </c>
      <c r="W37" s="14">
        <f>IF(AND(W23=1,W8&lt;=Inputs!$F$33),1,0)</f>
        <v/>
      </c>
      <c r="X37" s="14">
        <f>IF(AND(X23=1,X8&lt;=Inputs!$F$33),1,0)</f>
        <v/>
      </c>
      <c r="Y37" s="14">
        <f>IF(AND(Y23=1,Y8&lt;=Inputs!$F$33),1,0)</f>
        <v/>
      </c>
      <c r="Z37" s="14">
        <f>IF(AND(Z23=1,Z8&lt;=Inputs!$F$33),1,0)</f>
        <v/>
      </c>
      <c r="AA37" s="14">
        <f>IF(AND(AA23=1,AA8&lt;=Inputs!$F$33),1,0)</f>
        <v/>
      </c>
      <c r="AB37" s="14">
        <f>IF(AND(AB23=1,AB8&lt;=Inputs!$F$33),1,0)</f>
        <v/>
      </c>
      <c r="AC37" s="14">
        <f>IF(AND(AC23=1,AC8&lt;=Inputs!$F$33),1,0)</f>
        <v/>
      </c>
      <c r="AD37" s="14">
        <f>IF(AND(AD23=1,AD8&lt;=Inputs!$F$33),1,0)</f>
        <v/>
      </c>
      <c r="AE37" s="14">
        <f>IF(AND(AE23=1,AE8&lt;=Inputs!$F$33),1,0)</f>
        <v/>
      </c>
      <c r="AF37" s="14">
        <f>IF(AND(AF23=1,AF8&lt;=Inputs!$F$33),1,0)</f>
        <v/>
      </c>
      <c r="AG37" s="14">
        <f>IF(AND(AG23=1,AG8&lt;=Inputs!$F$33),1,0)</f>
        <v/>
      </c>
      <c r="AH37" s="14">
        <f>IF(AND(AH23=1,AH8&lt;=Inputs!$F$33),1,0)</f>
        <v/>
      </c>
      <c r="AI37" s="14">
        <f>IF(AND(AI23=1,AI8&lt;=Inputs!$F$33),1,0)</f>
        <v/>
      </c>
      <c r="AJ37" s="14">
        <f>IF(AND(AJ23=1,AJ8&lt;=Inputs!$F$33),1,0)</f>
        <v/>
      </c>
      <c r="AK37" s="14">
        <f>IF(AND(AK23=1,AK8&lt;=Inputs!$F$33),1,0)</f>
        <v/>
      </c>
      <c r="AL37" s="14">
        <f>IF(AND(AL23=1,AL8&lt;=Inputs!$F$33),1,0)</f>
        <v/>
      </c>
      <c r="AM37" s="14">
        <f>IF(AND(AM23=1,AM8&lt;=Inputs!$F$33),1,0)</f>
        <v/>
      </c>
      <c r="AN37" s="14">
        <f>IF(AND(AN23=1,AN8&lt;=Inputs!$F$33),1,0)</f>
        <v/>
      </c>
      <c r="AO37" s="14">
        <f>IF(AND(AO23=1,AO8&lt;=Inputs!$F$33),1,0)</f>
        <v/>
      </c>
      <c r="AP37" s="14">
        <f>IF(AND(AP23=1,AP8&lt;=Inputs!$F$33),1,0)</f>
        <v/>
      </c>
      <c r="AQ37" s="14">
        <f>IF(AND(AQ23=1,AQ8&lt;=Inputs!$F$33),1,0)</f>
        <v/>
      </c>
      <c r="AR37" s="14">
        <f>IF(AND(AR23=1,AR8&lt;=Inputs!$F$33),1,0)</f>
        <v/>
      </c>
      <c r="AS37" s="14">
        <f>IF(AND(AS23=1,AS8&lt;=Inputs!$F$33),1,0)</f>
        <v/>
      </c>
      <c r="AT37" s="14">
        <f>IF(AND(AT23=1,AT8&lt;=Inputs!$F$33),1,0)</f>
        <v/>
      </c>
      <c r="AU37" s="14">
        <f>IF(AND(AU23=1,AU8&lt;=Inputs!$F$33),1,0)</f>
        <v/>
      </c>
      <c r="AV37" s="14">
        <f>IF(AND(AV23=1,AV8&lt;=Inputs!$F$33),1,0)</f>
        <v/>
      </c>
      <c r="AW37" s="14">
        <f>IF(AND(AW23=1,AW8&lt;=Inputs!$F$33),1,0)</f>
        <v/>
      </c>
      <c r="AX37" s="14">
        <f>IF(AND(AX23=1,AX8&lt;=Inputs!$F$33),1,0)</f>
        <v/>
      </c>
      <c r="AY37" s="14">
        <f>IF(AND(AY23=1,AY8&lt;=Inputs!$F$33),1,0)</f>
        <v/>
      </c>
      <c r="AZ37" s="14">
        <f>IF(AND(AZ23=1,AZ8&lt;=Inputs!$F$33),1,0)</f>
        <v/>
      </c>
      <c r="BA37" s="14">
        <f>IF(AND(BA23=1,BA8&lt;=Inputs!$F$33),1,0)</f>
        <v/>
      </c>
      <c r="BB37" s="14">
        <f>IF(AND(BB23=1,BB8&lt;=Inputs!$F$33),1,0)</f>
        <v/>
      </c>
      <c r="BC37" s="14">
        <f>IF(AND(BC23=1,BC8&lt;=Inputs!$F$33),1,0)</f>
        <v/>
      </c>
      <c r="BD37" s="14">
        <f>IF(AND(BD23=1,BD8&lt;=Inputs!$F$33),1,0)</f>
        <v/>
      </c>
      <c r="BE37" s="14">
        <f>IF(AND(BE23=1,BE8&lt;=Inputs!$F$33),1,0)</f>
        <v/>
      </c>
      <c r="BF37" s="14">
        <f>IF(AND(BF23=1,BF8&lt;=Inputs!$F$33),1,0)</f>
        <v/>
      </c>
      <c r="BG37" s="14">
        <f>IF(AND(BG23=1,BG8&lt;=Inputs!$F$33),1,0)</f>
        <v/>
      </c>
      <c r="BH37" s="14">
        <f>IF(AND(BH23=1,BH8&lt;=Inputs!$F$33),1,0)</f>
        <v/>
      </c>
      <c r="BI37" s="14">
        <f>IF(AND(BI23=1,BI8&lt;=Inputs!$F$33),1,0)</f>
        <v/>
      </c>
      <c r="BJ37" s="14">
        <f>IF(AND(BJ23=1,BJ8&lt;=Inputs!$F$33),1,0)</f>
        <v/>
      </c>
      <c r="BK37" s="14">
        <f>IF(AND(BK23=1,BK8&lt;=Inputs!$F$33),1,0)</f>
        <v/>
      </c>
      <c r="BL37" s="14">
        <f>IF(AND(BL23=1,BL8&lt;=Inputs!$F$33),1,0)</f>
        <v/>
      </c>
      <c r="BM37" s="14">
        <f>IF(AND(BM23=1,BM8&lt;=Inputs!$F$33),1,0)</f>
        <v/>
      </c>
      <c r="BN37" s="14">
        <f>IF(AND(BN23=1,BN8&lt;=Inputs!$F$33),1,0)</f>
        <v/>
      </c>
      <c r="BO37" s="14">
        <f>IF(AND(BO23=1,BO8&lt;=Inputs!$F$33),1,0)</f>
        <v/>
      </c>
      <c r="BP37" s="14">
        <f>IF(AND(BP23=1,BP8&lt;=Inputs!$F$33),1,0)</f>
        <v/>
      </c>
      <c r="BQ37" s="14">
        <f>IF(AND(BQ23=1,BQ8&lt;=Inputs!$F$33),1,0)</f>
        <v/>
      </c>
      <c r="BR37" s="14">
        <f>IF(AND(BR23=1,BR8&lt;=Inputs!$F$33),1,0)</f>
        <v/>
      </c>
      <c r="BS37" s="14">
        <f>IF(AND(BS23=1,BS8&lt;=Inputs!$F$33),1,0)</f>
        <v/>
      </c>
      <c r="BT37" s="14">
        <f>IF(AND(BT23=1,BT8&lt;=Inputs!$F$33),1,0)</f>
        <v/>
      </c>
      <c r="BU37" s="14">
        <f>IF(AND(BU23=1,BU8&lt;=Inputs!$F$33),1,0)</f>
        <v/>
      </c>
      <c r="BV37" s="14">
        <f>IF(AND(BV23=1,BV8&lt;=Inputs!$F$33),1,0)</f>
        <v/>
      </c>
      <c r="BW37" s="14">
        <f>IF(AND(BW23=1,BW8&lt;=Inputs!$F$33),1,0)</f>
        <v/>
      </c>
      <c r="BX37" s="14">
        <f>IF(AND(BX23=1,BX8&lt;=Inputs!$F$33),1,0)</f>
        <v/>
      </c>
      <c r="BY37" s="14">
        <f>IF(AND(BY23=1,BY8&lt;=Inputs!$F$33),1,0)</f>
        <v/>
      </c>
      <c r="BZ37" s="14">
        <f>IF(AND(BZ23=1,BZ8&lt;=Inputs!$F$33),1,0)</f>
        <v/>
      </c>
      <c r="CA37" s="14">
        <f>IF(AND(CA23=1,CA8&lt;=Inputs!$F$33),1,0)</f>
        <v/>
      </c>
      <c r="CB37" s="14">
        <f>IF(AND(CB23=1,CB8&lt;=Inputs!$F$33),1,0)</f>
        <v/>
      </c>
      <c r="CC37" s="14">
        <f>IF(AND(CC23=1,CC8&lt;=Inputs!$F$33),1,0)</f>
        <v/>
      </c>
      <c r="CD37" s="14">
        <f>IF(AND(CD23=1,CD8&lt;=Inputs!$F$33),1,0)</f>
        <v/>
      </c>
      <c r="CE37" s="14">
        <f>IF(AND(CE23=1,CE8&lt;=Inputs!$F$33),1,0)</f>
        <v/>
      </c>
      <c r="CF37" s="14">
        <f>IF(AND(CF23=1,CF8&lt;=Inputs!$F$33),1,0)</f>
        <v/>
      </c>
      <c r="CG37" s="14">
        <f>IF(AND(CG23=1,CG8&lt;=Inputs!$F$33),1,0)</f>
        <v/>
      </c>
      <c r="CH37" s="14">
        <f>IF(AND(CH23=1,CH8&lt;=Inputs!$F$33),1,0)</f>
        <v/>
      </c>
      <c r="CI37" s="14">
        <f>IF(AND(CI23=1,CI8&lt;=Inputs!$F$33),1,0)</f>
        <v/>
      </c>
      <c r="CJ37" s="14">
        <f>IF(AND(CJ23=1,CJ8&lt;=Inputs!$F$33),1,0)</f>
        <v/>
      </c>
      <c r="CK37" s="14">
        <f>IF(AND(CK23=1,CK8&lt;=Inputs!$F$33),1,0)</f>
        <v/>
      </c>
      <c r="CL37" s="14">
        <f>IF(AND(CL23=1,CL8&lt;=Inputs!$F$33),1,0)</f>
        <v/>
      </c>
      <c r="CM37" s="14">
        <f>IF(AND(CM23=1,CM8&lt;=Inputs!$F$33),1,0)</f>
        <v/>
      </c>
      <c r="CN37" s="14">
        <f>IF(AND(CN23=1,CN8&lt;=Inputs!$F$33),1,0)</f>
        <v/>
      </c>
      <c r="CO37" s="14">
        <f>IF(AND(CO23=1,CO8&lt;=Inputs!$F$33),1,0)</f>
        <v/>
      </c>
      <c r="CP37" s="14">
        <f>IF(AND(CP23=1,CP8&lt;=Inputs!$F$33),1,0)</f>
        <v/>
      </c>
      <c r="CQ37" s="14">
        <f>IF(AND(CQ23=1,CQ8&lt;=Inputs!$F$33),1,0)</f>
        <v/>
      </c>
      <c r="CR37" s="14">
        <f>IF(AND(CR23=1,CR8&lt;=Inputs!$F$33),1,0)</f>
        <v/>
      </c>
      <c r="CS37" s="14">
        <f>IF(AND(CS23=1,CS8&lt;=Inputs!$F$33),1,0)</f>
        <v/>
      </c>
      <c r="CT37" s="14">
        <f>IF(AND(CT23=1,CT8&lt;=Inputs!$F$33),1,0)</f>
        <v/>
      </c>
      <c r="CU37" s="14">
        <f>IF(AND(CU23=1,CU8&lt;=Inputs!$F$33),1,0)</f>
        <v/>
      </c>
      <c r="CV37" s="14">
        <f>IF(AND(CV23=1,CV8&lt;=Inputs!$F$33),1,0)</f>
        <v/>
      </c>
      <c r="CW37" s="14">
        <f>IF(AND(CW23=1,CW8&lt;=Inputs!$F$33),1,0)</f>
        <v/>
      </c>
      <c r="CX37" s="14">
        <f>IF(AND(CX23=1,CX8&lt;=Inputs!$F$33),1,0)</f>
        <v/>
      </c>
      <c r="CY37" s="14">
        <f>IF(AND(CY23=1,CY8&lt;=Inputs!$F$33),1,0)</f>
        <v/>
      </c>
      <c r="CZ37" s="14">
        <f>IF(AND(CZ23=1,CZ8&lt;=Inputs!$F$33),1,0)</f>
        <v/>
      </c>
      <c r="DA37" s="14">
        <f>IF(AND(DA23=1,DA8&lt;=Inputs!$F$33),1,0)</f>
        <v/>
      </c>
      <c r="DB37" s="14">
        <f>IF(AND(DB23=1,DB8&lt;=Inputs!$F$33),1,0)</f>
        <v/>
      </c>
    </row>
    <row r="38">
      <c r="D38" t="inlineStr">
        <is>
          <t>Flag_NotesSweep</t>
        </is>
      </c>
      <c r="E38" t="inlineStr">
        <is>
          <t>flag</t>
        </is>
      </c>
      <c r="J38" s="14">
        <f>IF(AND(J23=1,J8&lt;=Inputs!$F$34),1,0)</f>
        <v/>
      </c>
      <c r="K38" s="14">
        <f>IF(AND(K23=1,K8&lt;=Inputs!$F$34),1,0)</f>
        <v/>
      </c>
      <c r="L38" s="14">
        <f>IF(AND(L23=1,L8&lt;=Inputs!$F$34),1,0)</f>
        <v/>
      </c>
      <c r="M38" s="14">
        <f>IF(AND(M23=1,M8&lt;=Inputs!$F$34),1,0)</f>
        <v/>
      </c>
      <c r="N38" s="14">
        <f>IF(AND(N23=1,N8&lt;=Inputs!$F$34),1,0)</f>
        <v/>
      </c>
      <c r="O38" s="14">
        <f>IF(AND(O23=1,O8&lt;=Inputs!$F$34),1,0)</f>
        <v/>
      </c>
      <c r="P38" s="14">
        <f>IF(AND(P23=1,P8&lt;=Inputs!$F$34),1,0)</f>
        <v/>
      </c>
      <c r="Q38" s="14">
        <f>IF(AND(Q23=1,Q8&lt;=Inputs!$F$34),1,0)</f>
        <v/>
      </c>
      <c r="R38" s="14">
        <f>IF(AND(R23=1,R8&lt;=Inputs!$F$34),1,0)</f>
        <v/>
      </c>
      <c r="S38" s="14">
        <f>IF(AND(S23=1,S8&lt;=Inputs!$F$34),1,0)</f>
        <v/>
      </c>
      <c r="T38" s="14">
        <f>IF(AND(T23=1,T8&lt;=Inputs!$F$34),1,0)</f>
        <v/>
      </c>
      <c r="U38" s="14">
        <f>IF(AND(U23=1,U8&lt;=Inputs!$F$34),1,0)</f>
        <v/>
      </c>
      <c r="V38" s="14">
        <f>IF(AND(V23=1,V8&lt;=Inputs!$F$34),1,0)</f>
        <v/>
      </c>
      <c r="W38" s="14">
        <f>IF(AND(W23=1,W8&lt;=Inputs!$F$34),1,0)</f>
        <v/>
      </c>
      <c r="X38" s="14">
        <f>IF(AND(X23=1,X8&lt;=Inputs!$F$34),1,0)</f>
        <v/>
      </c>
      <c r="Y38" s="14">
        <f>IF(AND(Y23=1,Y8&lt;=Inputs!$F$34),1,0)</f>
        <v/>
      </c>
      <c r="Z38" s="14">
        <f>IF(AND(Z23=1,Z8&lt;=Inputs!$F$34),1,0)</f>
        <v/>
      </c>
      <c r="AA38" s="14">
        <f>IF(AND(AA23=1,AA8&lt;=Inputs!$F$34),1,0)</f>
        <v/>
      </c>
      <c r="AB38" s="14">
        <f>IF(AND(AB23=1,AB8&lt;=Inputs!$F$34),1,0)</f>
        <v/>
      </c>
      <c r="AC38" s="14">
        <f>IF(AND(AC23=1,AC8&lt;=Inputs!$F$34),1,0)</f>
        <v/>
      </c>
      <c r="AD38" s="14">
        <f>IF(AND(AD23=1,AD8&lt;=Inputs!$F$34),1,0)</f>
        <v/>
      </c>
      <c r="AE38" s="14">
        <f>IF(AND(AE23=1,AE8&lt;=Inputs!$F$34),1,0)</f>
        <v/>
      </c>
      <c r="AF38" s="14">
        <f>IF(AND(AF23=1,AF8&lt;=Inputs!$F$34),1,0)</f>
        <v/>
      </c>
      <c r="AG38" s="14">
        <f>IF(AND(AG23=1,AG8&lt;=Inputs!$F$34),1,0)</f>
        <v/>
      </c>
      <c r="AH38" s="14">
        <f>IF(AND(AH23=1,AH8&lt;=Inputs!$F$34),1,0)</f>
        <v/>
      </c>
      <c r="AI38" s="14">
        <f>IF(AND(AI23=1,AI8&lt;=Inputs!$F$34),1,0)</f>
        <v/>
      </c>
      <c r="AJ38" s="14">
        <f>IF(AND(AJ23=1,AJ8&lt;=Inputs!$F$34),1,0)</f>
        <v/>
      </c>
      <c r="AK38" s="14">
        <f>IF(AND(AK23=1,AK8&lt;=Inputs!$F$34),1,0)</f>
        <v/>
      </c>
      <c r="AL38" s="14">
        <f>IF(AND(AL23=1,AL8&lt;=Inputs!$F$34),1,0)</f>
        <v/>
      </c>
      <c r="AM38" s="14">
        <f>IF(AND(AM23=1,AM8&lt;=Inputs!$F$34),1,0)</f>
        <v/>
      </c>
      <c r="AN38" s="14">
        <f>IF(AND(AN23=1,AN8&lt;=Inputs!$F$34),1,0)</f>
        <v/>
      </c>
      <c r="AO38" s="14">
        <f>IF(AND(AO23=1,AO8&lt;=Inputs!$F$34),1,0)</f>
        <v/>
      </c>
      <c r="AP38" s="14">
        <f>IF(AND(AP23=1,AP8&lt;=Inputs!$F$34),1,0)</f>
        <v/>
      </c>
      <c r="AQ38" s="14">
        <f>IF(AND(AQ23=1,AQ8&lt;=Inputs!$F$34),1,0)</f>
        <v/>
      </c>
      <c r="AR38" s="14">
        <f>IF(AND(AR23=1,AR8&lt;=Inputs!$F$34),1,0)</f>
        <v/>
      </c>
      <c r="AS38" s="14">
        <f>IF(AND(AS23=1,AS8&lt;=Inputs!$F$34),1,0)</f>
        <v/>
      </c>
      <c r="AT38" s="14">
        <f>IF(AND(AT23=1,AT8&lt;=Inputs!$F$34),1,0)</f>
        <v/>
      </c>
      <c r="AU38" s="14">
        <f>IF(AND(AU23=1,AU8&lt;=Inputs!$F$34),1,0)</f>
        <v/>
      </c>
      <c r="AV38" s="14">
        <f>IF(AND(AV23=1,AV8&lt;=Inputs!$F$34),1,0)</f>
        <v/>
      </c>
      <c r="AW38" s="14">
        <f>IF(AND(AW23=1,AW8&lt;=Inputs!$F$34),1,0)</f>
        <v/>
      </c>
      <c r="AX38" s="14">
        <f>IF(AND(AX23=1,AX8&lt;=Inputs!$F$34),1,0)</f>
        <v/>
      </c>
      <c r="AY38" s="14">
        <f>IF(AND(AY23=1,AY8&lt;=Inputs!$F$34),1,0)</f>
        <v/>
      </c>
      <c r="AZ38" s="14">
        <f>IF(AND(AZ23=1,AZ8&lt;=Inputs!$F$34),1,0)</f>
        <v/>
      </c>
      <c r="BA38" s="14">
        <f>IF(AND(BA23=1,BA8&lt;=Inputs!$F$34),1,0)</f>
        <v/>
      </c>
      <c r="BB38" s="14">
        <f>IF(AND(BB23=1,BB8&lt;=Inputs!$F$34),1,0)</f>
        <v/>
      </c>
      <c r="BC38" s="14">
        <f>IF(AND(BC23=1,BC8&lt;=Inputs!$F$34),1,0)</f>
        <v/>
      </c>
      <c r="BD38" s="14">
        <f>IF(AND(BD23=1,BD8&lt;=Inputs!$F$34),1,0)</f>
        <v/>
      </c>
      <c r="BE38" s="14">
        <f>IF(AND(BE23=1,BE8&lt;=Inputs!$F$34),1,0)</f>
        <v/>
      </c>
      <c r="BF38" s="14">
        <f>IF(AND(BF23=1,BF8&lt;=Inputs!$F$34),1,0)</f>
        <v/>
      </c>
      <c r="BG38" s="14">
        <f>IF(AND(BG23=1,BG8&lt;=Inputs!$F$34),1,0)</f>
        <v/>
      </c>
      <c r="BH38" s="14">
        <f>IF(AND(BH23=1,BH8&lt;=Inputs!$F$34),1,0)</f>
        <v/>
      </c>
      <c r="BI38" s="14">
        <f>IF(AND(BI23=1,BI8&lt;=Inputs!$F$34),1,0)</f>
        <v/>
      </c>
      <c r="BJ38" s="14">
        <f>IF(AND(BJ23=1,BJ8&lt;=Inputs!$F$34),1,0)</f>
        <v/>
      </c>
      <c r="BK38" s="14">
        <f>IF(AND(BK23=1,BK8&lt;=Inputs!$F$34),1,0)</f>
        <v/>
      </c>
      <c r="BL38" s="14">
        <f>IF(AND(BL23=1,BL8&lt;=Inputs!$F$34),1,0)</f>
        <v/>
      </c>
      <c r="BM38" s="14">
        <f>IF(AND(BM23=1,BM8&lt;=Inputs!$F$34),1,0)</f>
        <v/>
      </c>
      <c r="BN38" s="14">
        <f>IF(AND(BN23=1,BN8&lt;=Inputs!$F$34),1,0)</f>
        <v/>
      </c>
      <c r="BO38" s="14">
        <f>IF(AND(BO23=1,BO8&lt;=Inputs!$F$34),1,0)</f>
        <v/>
      </c>
      <c r="BP38" s="14">
        <f>IF(AND(BP23=1,BP8&lt;=Inputs!$F$34),1,0)</f>
        <v/>
      </c>
      <c r="BQ38" s="14">
        <f>IF(AND(BQ23=1,BQ8&lt;=Inputs!$F$34),1,0)</f>
        <v/>
      </c>
      <c r="BR38" s="14">
        <f>IF(AND(BR23=1,BR8&lt;=Inputs!$F$34),1,0)</f>
        <v/>
      </c>
      <c r="BS38" s="14">
        <f>IF(AND(BS23=1,BS8&lt;=Inputs!$F$34),1,0)</f>
        <v/>
      </c>
      <c r="BT38" s="14">
        <f>IF(AND(BT23=1,BT8&lt;=Inputs!$F$34),1,0)</f>
        <v/>
      </c>
      <c r="BU38" s="14">
        <f>IF(AND(BU23=1,BU8&lt;=Inputs!$F$34),1,0)</f>
        <v/>
      </c>
      <c r="BV38" s="14">
        <f>IF(AND(BV23=1,BV8&lt;=Inputs!$F$34),1,0)</f>
        <v/>
      </c>
      <c r="BW38" s="14">
        <f>IF(AND(BW23=1,BW8&lt;=Inputs!$F$34),1,0)</f>
        <v/>
      </c>
      <c r="BX38" s="14">
        <f>IF(AND(BX23=1,BX8&lt;=Inputs!$F$34),1,0)</f>
        <v/>
      </c>
      <c r="BY38" s="14">
        <f>IF(AND(BY23=1,BY8&lt;=Inputs!$F$34),1,0)</f>
        <v/>
      </c>
      <c r="BZ38" s="14">
        <f>IF(AND(BZ23=1,BZ8&lt;=Inputs!$F$34),1,0)</f>
        <v/>
      </c>
      <c r="CA38" s="14">
        <f>IF(AND(CA23=1,CA8&lt;=Inputs!$F$34),1,0)</f>
        <v/>
      </c>
      <c r="CB38" s="14">
        <f>IF(AND(CB23=1,CB8&lt;=Inputs!$F$34),1,0)</f>
        <v/>
      </c>
      <c r="CC38" s="14">
        <f>IF(AND(CC23=1,CC8&lt;=Inputs!$F$34),1,0)</f>
        <v/>
      </c>
      <c r="CD38" s="14">
        <f>IF(AND(CD23=1,CD8&lt;=Inputs!$F$34),1,0)</f>
        <v/>
      </c>
      <c r="CE38" s="14">
        <f>IF(AND(CE23=1,CE8&lt;=Inputs!$F$34),1,0)</f>
        <v/>
      </c>
      <c r="CF38" s="14">
        <f>IF(AND(CF23=1,CF8&lt;=Inputs!$F$34),1,0)</f>
        <v/>
      </c>
      <c r="CG38" s="14">
        <f>IF(AND(CG23=1,CG8&lt;=Inputs!$F$34),1,0)</f>
        <v/>
      </c>
      <c r="CH38" s="14">
        <f>IF(AND(CH23=1,CH8&lt;=Inputs!$F$34),1,0)</f>
        <v/>
      </c>
      <c r="CI38" s="14">
        <f>IF(AND(CI23=1,CI8&lt;=Inputs!$F$34),1,0)</f>
        <v/>
      </c>
      <c r="CJ38" s="14">
        <f>IF(AND(CJ23=1,CJ8&lt;=Inputs!$F$34),1,0)</f>
        <v/>
      </c>
      <c r="CK38" s="14">
        <f>IF(AND(CK23=1,CK8&lt;=Inputs!$F$34),1,0)</f>
        <v/>
      </c>
      <c r="CL38" s="14">
        <f>IF(AND(CL23=1,CL8&lt;=Inputs!$F$34),1,0)</f>
        <v/>
      </c>
      <c r="CM38" s="14">
        <f>IF(AND(CM23=1,CM8&lt;=Inputs!$F$34),1,0)</f>
        <v/>
      </c>
      <c r="CN38" s="14">
        <f>IF(AND(CN23=1,CN8&lt;=Inputs!$F$34),1,0)</f>
        <v/>
      </c>
      <c r="CO38" s="14">
        <f>IF(AND(CO23=1,CO8&lt;=Inputs!$F$34),1,0)</f>
        <v/>
      </c>
      <c r="CP38" s="14">
        <f>IF(AND(CP23=1,CP8&lt;=Inputs!$F$34),1,0)</f>
        <v/>
      </c>
      <c r="CQ38" s="14">
        <f>IF(AND(CQ23=1,CQ8&lt;=Inputs!$F$34),1,0)</f>
        <v/>
      </c>
      <c r="CR38" s="14">
        <f>IF(AND(CR23=1,CR8&lt;=Inputs!$F$34),1,0)</f>
        <v/>
      </c>
      <c r="CS38" s="14">
        <f>IF(AND(CS23=1,CS8&lt;=Inputs!$F$34),1,0)</f>
        <v/>
      </c>
      <c r="CT38" s="14">
        <f>IF(AND(CT23=1,CT8&lt;=Inputs!$F$34),1,0)</f>
        <v/>
      </c>
      <c r="CU38" s="14">
        <f>IF(AND(CU23=1,CU8&lt;=Inputs!$F$34),1,0)</f>
        <v/>
      </c>
      <c r="CV38" s="14">
        <f>IF(AND(CV23=1,CV8&lt;=Inputs!$F$34),1,0)</f>
        <v/>
      </c>
      <c r="CW38" s="14">
        <f>IF(AND(CW23=1,CW8&lt;=Inputs!$F$34),1,0)</f>
        <v/>
      </c>
      <c r="CX38" s="14">
        <f>IF(AND(CX23=1,CX8&lt;=Inputs!$F$34),1,0)</f>
        <v/>
      </c>
      <c r="CY38" s="14">
        <f>IF(AND(CY23=1,CY8&lt;=Inputs!$F$34),1,0)</f>
        <v/>
      </c>
      <c r="CZ38" s="14">
        <f>IF(AND(CZ23=1,CZ8&lt;=Inputs!$F$34),1,0)</f>
        <v/>
      </c>
      <c r="DA38" s="14">
        <f>IF(AND(DA23=1,DA8&lt;=Inputs!$F$34),1,0)</f>
        <v/>
      </c>
      <c r="DB38" s="14">
        <f>IF(AND(DB23=1,DB8&lt;=Inputs!$F$34),1,0)</f>
        <v/>
      </c>
    </row>
    <row r="39">
      <c r="D39" t="inlineStr">
        <is>
          <t>Flag_ActualTraffic</t>
        </is>
      </c>
      <c r="E39" t="inlineStr">
        <is>
          <t>flag</t>
        </is>
      </c>
      <c r="J39" s="14">
        <f>IF(AND(Inputs!$F$214=1,J26=1,J8&lt;=Inputs!$F$215),1,0)</f>
        <v/>
      </c>
      <c r="K39" s="14">
        <f>IF(AND(Inputs!$F$214=1,K26=1,K8&lt;=Inputs!$F$215),1,0)</f>
        <v/>
      </c>
      <c r="L39" s="14">
        <f>IF(AND(Inputs!$F$214=1,L26=1,L8&lt;=Inputs!$F$215),1,0)</f>
        <v/>
      </c>
      <c r="M39" s="14">
        <f>IF(AND(Inputs!$F$214=1,M26=1,M8&lt;=Inputs!$F$215),1,0)</f>
        <v/>
      </c>
      <c r="N39" s="14">
        <f>IF(AND(Inputs!$F$214=1,N26=1,N8&lt;=Inputs!$F$215),1,0)</f>
        <v/>
      </c>
      <c r="O39" s="14">
        <f>IF(AND(Inputs!$F$214=1,O26=1,O8&lt;=Inputs!$F$215),1,0)</f>
        <v/>
      </c>
      <c r="P39" s="14">
        <f>IF(AND(Inputs!$F$214=1,P26=1,P8&lt;=Inputs!$F$215),1,0)</f>
        <v/>
      </c>
      <c r="Q39" s="14">
        <f>IF(AND(Inputs!$F$214=1,Q26=1,Q8&lt;=Inputs!$F$215),1,0)</f>
        <v/>
      </c>
      <c r="R39" s="14">
        <f>IF(AND(Inputs!$F$214=1,R26=1,R8&lt;=Inputs!$F$215),1,0)</f>
        <v/>
      </c>
      <c r="S39" s="14">
        <f>IF(AND(Inputs!$F$214=1,S26=1,S8&lt;=Inputs!$F$215),1,0)</f>
        <v/>
      </c>
      <c r="T39" s="14">
        <f>IF(AND(Inputs!$F$214=1,T26=1,T8&lt;=Inputs!$F$215),1,0)</f>
        <v/>
      </c>
      <c r="U39" s="14">
        <f>IF(AND(Inputs!$F$214=1,U26=1,U8&lt;=Inputs!$F$215),1,0)</f>
        <v/>
      </c>
      <c r="V39" s="14">
        <f>IF(AND(Inputs!$F$214=1,V26=1,V8&lt;=Inputs!$F$215),1,0)</f>
        <v/>
      </c>
      <c r="W39" s="14">
        <f>IF(AND(Inputs!$F$214=1,W26=1,W8&lt;=Inputs!$F$215),1,0)</f>
        <v/>
      </c>
      <c r="X39" s="14">
        <f>IF(AND(Inputs!$F$214=1,X26=1,X8&lt;=Inputs!$F$215),1,0)</f>
        <v/>
      </c>
      <c r="Y39" s="14">
        <f>IF(AND(Inputs!$F$214=1,Y26=1,Y8&lt;=Inputs!$F$215),1,0)</f>
        <v/>
      </c>
      <c r="Z39" s="14">
        <f>IF(AND(Inputs!$F$214=1,Z26=1,Z8&lt;=Inputs!$F$215),1,0)</f>
        <v/>
      </c>
      <c r="AA39" s="14">
        <f>IF(AND(Inputs!$F$214=1,AA26=1,AA8&lt;=Inputs!$F$215),1,0)</f>
        <v/>
      </c>
      <c r="AB39" s="14">
        <f>IF(AND(Inputs!$F$214=1,AB26=1,AB8&lt;=Inputs!$F$215),1,0)</f>
        <v/>
      </c>
      <c r="AC39" s="14">
        <f>IF(AND(Inputs!$F$214=1,AC26=1,AC8&lt;=Inputs!$F$215),1,0)</f>
        <v/>
      </c>
      <c r="AD39" s="14">
        <f>IF(AND(Inputs!$F$214=1,AD26=1,AD8&lt;=Inputs!$F$215),1,0)</f>
        <v/>
      </c>
      <c r="AE39" s="14">
        <f>IF(AND(Inputs!$F$214=1,AE26=1,AE8&lt;=Inputs!$F$215),1,0)</f>
        <v/>
      </c>
      <c r="AF39" s="14">
        <f>IF(AND(Inputs!$F$214=1,AF26=1,AF8&lt;=Inputs!$F$215),1,0)</f>
        <v/>
      </c>
      <c r="AG39" s="14">
        <f>IF(AND(Inputs!$F$214=1,AG26=1,AG8&lt;=Inputs!$F$215),1,0)</f>
        <v/>
      </c>
      <c r="AH39" s="14">
        <f>IF(AND(Inputs!$F$214=1,AH26=1,AH8&lt;=Inputs!$F$215),1,0)</f>
        <v/>
      </c>
      <c r="AI39" s="14">
        <f>IF(AND(Inputs!$F$214=1,AI26=1,AI8&lt;=Inputs!$F$215),1,0)</f>
        <v/>
      </c>
      <c r="AJ39" s="14">
        <f>IF(AND(Inputs!$F$214=1,AJ26=1,AJ8&lt;=Inputs!$F$215),1,0)</f>
        <v/>
      </c>
      <c r="AK39" s="14">
        <f>IF(AND(Inputs!$F$214=1,AK26=1,AK8&lt;=Inputs!$F$215),1,0)</f>
        <v/>
      </c>
      <c r="AL39" s="14">
        <f>IF(AND(Inputs!$F$214=1,AL26=1,AL8&lt;=Inputs!$F$215),1,0)</f>
        <v/>
      </c>
      <c r="AM39" s="14">
        <f>IF(AND(Inputs!$F$214=1,AM26=1,AM8&lt;=Inputs!$F$215),1,0)</f>
        <v/>
      </c>
      <c r="AN39" s="14">
        <f>IF(AND(Inputs!$F$214=1,AN26=1,AN8&lt;=Inputs!$F$215),1,0)</f>
        <v/>
      </c>
      <c r="AO39" s="14">
        <f>IF(AND(Inputs!$F$214=1,AO26=1,AO8&lt;=Inputs!$F$215),1,0)</f>
        <v/>
      </c>
      <c r="AP39" s="14">
        <f>IF(AND(Inputs!$F$214=1,AP26=1,AP8&lt;=Inputs!$F$215),1,0)</f>
        <v/>
      </c>
      <c r="AQ39" s="14">
        <f>IF(AND(Inputs!$F$214=1,AQ26=1,AQ8&lt;=Inputs!$F$215),1,0)</f>
        <v/>
      </c>
      <c r="AR39" s="14">
        <f>IF(AND(Inputs!$F$214=1,AR26=1,AR8&lt;=Inputs!$F$215),1,0)</f>
        <v/>
      </c>
      <c r="AS39" s="14">
        <f>IF(AND(Inputs!$F$214=1,AS26=1,AS8&lt;=Inputs!$F$215),1,0)</f>
        <v/>
      </c>
      <c r="AT39" s="14">
        <f>IF(AND(Inputs!$F$214=1,AT26=1,AT8&lt;=Inputs!$F$215),1,0)</f>
        <v/>
      </c>
      <c r="AU39" s="14">
        <f>IF(AND(Inputs!$F$214=1,AU26=1,AU8&lt;=Inputs!$F$215),1,0)</f>
        <v/>
      </c>
      <c r="AV39" s="14">
        <f>IF(AND(Inputs!$F$214=1,AV26=1,AV8&lt;=Inputs!$F$215),1,0)</f>
        <v/>
      </c>
      <c r="AW39" s="14">
        <f>IF(AND(Inputs!$F$214=1,AW26=1,AW8&lt;=Inputs!$F$215),1,0)</f>
        <v/>
      </c>
      <c r="AX39" s="14">
        <f>IF(AND(Inputs!$F$214=1,AX26=1,AX8&lt;=Inputs!$F$215),1,0)</f>
        <v/>
      </c>
      <c r="AY39" s="14">
        <f>IF(AND(Inputs!$F$214=1,AY26=1,AY8&lt;=Inputs!$F$215),1,0)</f>
        <v/>
      </c>
      <c r="AZ39" s="14">
        <f>IF(AND(Inputs!$F$214=1,AZ26=1,AZ8&lt;=Inputs!$F$215),1,0)</f>
        <v/>
      </c>
      <c r="BA39" s="14">
        <f>IF(AND(Inputs!$F$214=1,BA26=1,BA8&lt;=Inputs!$F$215),1,0)</f>
        <v/>
      </c>
      <c r="BB39" s="14">
        <f>IF(AND(Inputs!$F$214=1,BB26=1,BB8&lt;=Inputs!$F$215),1,0)</f>
        <v/>
      </c>
      <c r="BC39" s="14">
        <f>IF(AND(Inputs!$F$214=1,BC26=1,BC8&lt;=Inputs!$F$215),1,0)</f>
        <v/>
      </c>
      <c r="BD39" s="14">
        <f>IF(AND(Inputs!$F$214=1,BD26=1,BD8&lt;=Inputs!$F$215),1,0)</f>
        <v/>
      </c>
      <c r="BE39" s="14">
        <f>IF(AND(Inputs!$F$214=1,BE26=1,BE8&lt;=Inputs!$F$215),1,0)</f>
        <v/>
      </c>
      <c r="BF39" s="14">
        <f>IF(AND(Inputs!$F$214=1,BF26=1,BF8&lt;=Inputs!$F$215),1,0)</f>
        <v/>
      </c>
      <c r="BG39" s="14">
        <f>IF(AND(Inputs!$F$214=1,BG26=1,BG8&lt;=Inputs!$F$215),1,0)</f>
        <v/>
      </c>
      <c r="BH39" s="14">
        <f>IF(AND(Inputs!$F$214=1,BH26=1,BH8&lt;=Inputs!$F$215),1,0)</f>
        <v/>
      </c>
      <c r="BI39" s="14">
        <f>IF(AND(Inputs!$F$214=1,BI26=1,BI8&lt;=Inputs!$F$215),1,0)</f>
        <v/>
      </c>
      <c r="BJ39" s="14">
        <f>IF(AND(Inputs!$F$214=1,BJ26=1,BJ8&lt;=Inputs!$F$215),1,0)</f>
        <v/>
      </c>
      <c r="BK39" s="14">
        <f>IF(AND(Inputs!$F$214=1,BK26=1,BK8&lt;=Inputs!$F$215),1,0)</f>
        <v/>
      </c>
      <c r="BL39" s="14">
        <f>IF(AND(Inputs!$F$214=1,BL26=1,BL8&lt;=Inputs!$F$215),1,0)</f>
        <v/>
      </c>
      <c r="BM39" s="14">
        <f>IF(AND(Inputs!$F$214=1,BM26=1,BM8&lt;=Inputs!$F$215),1,0)</f>
        <v/>
      </c>
      <c r="BN39" s="14">
        <f>IF(AND(Inputs!$F$214=1,BN26=1,BN8&lt;=Inputs!$F$215),1,0)</f>
        <v/>
      </c>
      <c r="BO39" s="14">
        <f>IF(AND(Inputs!$F$214=1,BO26=1,BO8&lt;=Inputs!$F$215),1,0)</f>
        <v/>
      </c>
      <c r="BP39" s="14">
        <f>IF(AND(Inputs!$F$214=1,BP26=1,BP8&lt;=Inputs!$F$215),1,0)</f>
        <v/>
      </c>
      <c r="BQ39" s="14">
        <f>IF(AND(Inputs!$F$214=1,BQ26=1,BQ8&lt;=Inputs!$F$215),1,0)</f>
        <v/>
      </c>
      <c r="BR39" s="14">
        <f>IF(AND(Inputs!$F$214=1,BR26=1,BR8&lt;=Inputs!$F$215),1,0)</f>
        <v/>
      </c>
      <c r="BS39" s="14">
        <f>IF(AND(Inputs!$F$214=1,BS26=1,BS8&lt;=Inputs!$F$215),1,0)</f>
        <v/>
      </c>
      <c r="BT39" s="14">
        <f>IF(AND(Inputs!$F$214=1,BT26=1,BT8&lt;=Inputs!$F$215),1,0)</f>
        <v/>
      </c>
      <c r="BU39" s="14">
        <f>IF(AND(Inputs!$F$214=1,BU26=1,BU8&lt;=Inputs!$F$215),1,0)</f>
        <v/>
      </c>
      <c r="BV39" s="14">
        <f>IF(AND(Inputs!$F$214=1,BV26=1,BV8&lt;=Inputs!$F$215),1,0)</f>
        <v/>
      </c>
      <c r="BW39" s="14">
        <f>IF(AND(Inputs!$F$214=1,BW26=1,BW8&lt;=Inputs!$F$215),1,0)</f>
        <v/>
      </c>
      <c r="BX39" s="14">
        <f>IF(AND(Inputs!$F$214=1,BX26=1,BX8&lt;=Inputs!$F$215),1,0)</f>
        <v/>
      </c>
      <c r="BY39" s="14">
        <f>IF(AND(Inputs!$F$214=1,BY26=1,BY8&lt;=Inputs!$F$215),1,0)</f>
        <v/>
      </c>
      <c r="BZ39" s="14">
        <f>IF(AND(Inputs!$F$214=1,BZ26=1,BZ8&lt;=Inputs!$F$215),1,0)</f>
        <v/>
      </c>
      <c r="CA39" s="14">
        <f>IF(AND(Inputs!$F$214=1,CA26=1,CA8&lt;=Inputs!$F$215),1,0)</f>
        <v/>
      </c>
      <c r="CB39" s="14">
        <f>IF(AND(Inputs!$F$214=1,CB26=1,CB8&lt;=Inputs!$F$215),1,0)</f>
        <v/>
      </c>
      <c r="CC39" s="14">
        <f>IF(AND(Inputs!$F$214=1,CC26=1,CC8&lt;=Inputs!$F$215),1,0)</f>
        <v/>
      </c>
      <c r="CD39" s="14">
        <f>IF(AND(Inputs!$F$214=1,CD26=1,CD8&lt;=Inputs!$F$215),1,0)</f>
        <v/>
      </c>
      <c r="CE39" s="14">
        <f>IF(AND(Inputs!$F$214=1,CE26=1,CE8&lt;=Inputs!$F$215),1,0)</f>
        <v/>
      </c>
      <c r="CF39" s="14">
        <f>IF(AND(Inputs!$F$214=1,CF26=1,CF8&lt;=Inputs!$F$215),1,0)</f>
        <v/>
      </c>
      <c r="CG39" s="14">
        <f>IF(AND(Inputs!$F$214=1,CG26=1,CG8&lt;=Inputs!$F$215),1,0)</f>
        <v/>
      </c>
      <c r="CH39" s="14">
        <f>IF(AND(Inputs!$F$214=1,CH26=1,CH8&lt;=Inputs!$F$215),1,0)</f>
        <v/>
      </c>
      <c r="CI39" s="14">
        <f>IF(AND(Inputs!$F$214=1,CI26=1,CI8&lt;=Inputs!$F$215),1,0)</f>
        <v/>
      </c>
      <c r="CJ39" s="14">
        <f>IF(AND(Inputs!$F$214=1,CJ26=1,CJ8&lt;=Inputs!$F$215),1,0)</f>
        <v/>
      </c>
      <c r="CK39" s="14">
        <f>IF(AND(Inputs!$F$214=1,CK26=1,CK8&lt;=Inputs!$F$215),1,0)</f>
        <v/>
      </c>
      <c r="CL39" s="14">
        <f>IF(AND(Inputs!$F$214=1,CL26=1,CL8&lt;=Inputs!$F$215),1,0)</f>
        <v/>
      </c>
      <c r="CM39" s="14">
        <f>IF(AND(Inputs!$F$214=1,CM26=1,CM8&lt;=Inputs!$F$215),1,0)</f>
        <v/>
      </c>
      <c r="CN39" s="14">
        <f>IF(AND(Inputs!$F$214=1,CN26=1,CN8&lt;=Inputs!$F$215),1,0)</f>
        <v/>
      </c>
      <c r="CO39" s="14">
        <f>IF(AND(Inputs!$F$214=1,CO26=1,CO8&lt;=Inputs!$F$215),1,0)</f>
        <v/>
      </c>
      <c r="CP39" s="14">
        <f>IF(AND(Inputs!$F$214=1,CP26=1,CP8&lt;=Inputs!$F$215),1,0)</f>
        <v/>
      </c>
      <c r="CQ39" s="14">
        <f>IF(AND(Inputs!$F$214=1,CQ26=1,CQ8&lt;=Inputs!$F$215),1,0)</f>
        <v/>
      </c>
      <c r="CR39" s="14">
        <f>IF(AND(Inputs!$F$214=1,CR26=1,CR8&lt;=Inputs!$F$215),1,0)</f>
        <v/>
      </c>
      <c r="CS39" s="14">
        <f>IF(AND(Inputs!$F$214=1,CS26=1,CS8&lt;=Inputs!$F$215),1,0)</f>
        <v/>
      </c>
      <c r="CT39" s="14">
        <f>IF(AND(Inputs!$F$214=1,CT26=1,CT8&lt;=Inputs!$F$215),1,0)</f>
        <v/>
      </c>
      <c r="CU39" s="14">
        <f>IF(AND(Inputs!$F$214=1,CU26=1,CU8&lt;=Inputs!$F$215),1,0)</f>
        <v/>
      </c>
      <c r="CV39" s="14">
        <f>IF(AND(Inputs!$F$214=1,CV26=1,CV8&lt;=Inputs!$F$215),1,0)</f>
        <v/>
      </c>
      <c r="CW39" s="14">
        <f>IF(AND(Inputs!$F$214=1,CW26=1,CW8&lt;=Inputs!$F$215),1,0)</f>
        <v/>
      </c>
      <c r="CX39" s="14">
        <f>IF(AND(Inputs!$F$214=1,CX26=1,CX8&lt;=Inputs!$F$215),1,0)</f>
        <v/>
      </c>
      <c r="CY39" s="14">
        <f>IF(AND(Inputs!$F$214=1,CY26=1,CY8&lt;=Inputs!$F$215),1,0)</f>
        <v/>
      </c>
      <c r="CZ39" s="14">
        <f>IF(AND(Inputs!$F$214=1,CZ26=1,CZ8&lt;=Inputs!$F$215),1,0)</f>
        <v/>
      </c>
      <c r="DA39" s="14">
        <f>IF(AND(Inputs!$F$214=1,DA26=1,DA8&lt;=Inputs!$F$215),1,0)</f>
        <v/>
      </c>
      <c r="DB39" s="14">
        <f>IF(AND(Inputs!$F$214=1,DB26=1,DB8&lt;=Inputs!$F$215),1,0)</f>
        <v/>
      </c>
    </row>
    <row r="40">
      <c r="D40" t="inlineStr">
        <is>
          <t>Share of period before margin step</t>
        </is>
      </c>
      <c r="E40" t="inlineStr">
        <is>
          <t>factor</t>
        </is>
      </c>
      <c r="J40" s="16">
        <f>MIN(1,MAX(0,(MIN(J8,Inputs!$F$24)-J7)/J9))</f>
        <v/>
      </c>
      <c r="K40" s="16">
        <f>MIN(1,MAX(0,(MIN(K8,Inputs!$F$24)-K7)/K9))</f>
        <v/>
      </c>
      <c r="L40" s="16">
        <f>MIN(1,MAX(0,(MIN(L8,Inputs!$F$24)-L7)/L9))</f>
        <v/>
      </c>
      <c r="M40" s="16">
        <f>MIN(1,MAX(0,(MIN(M8,Inputs!$F$24)-M7)/M9))</f>
        <v/>
      </c>
      <c r="N40" s="16">
        <f>MIN(1,MAX(0,(MIN(N8,Inputs!$F$24)-N7)/N9))</f>
        <v/>
      </c>
      <c r="O40" s="16">
        <f>MIN(1,MAX(0,(MIN(O8,Inputs!$F$24)-O7)/O9))</f>
        <v/>
      </c>
      <c r="P40" s="16">
        <f>MIN(1,MAX(0,(MIN(P8,Inputs!$F$24)-P7)/P9))</f>
        <v/>
      </c>
      <c r="Q40" s="16">
        <f>MIN(1,MAX(0,(MIN(Q8,Inputs!$F$24)-Q7)/Q9))</f>
        <v/>
      </c>
      <c r="R40" s="16">
        <f>MIN(1,MAX(0,(MIN(R8,Inputs!$F$24)-R7)/R9))</f>
        <v/>
      </c>
      <c r="S40" s="16">
        <f>MIN(1,MAX(0,(MIN(S8,Inputs!$F$24)-S7)/S9))</f>
        <v/>
      </c>
      <c r="T40" s="16">
        <f>MIN(1,MAX(0,(MIN(T8,Inputs!$F$24)-T7)/T9))</f>
        <v/>
      </c>
      <c r="U40" s="16">
        <f>MIN(1,MAX(0,(MIN(U8,Inputs!$F$24)-U7)/U9))</f>
        <v/>
      </c>
      <c r="V40" s="16">
        <f>MIN(1,MAX(0,(MIN(V8,Inputs!$F$24)-V7)/V9))</f>
        <v/>
      </c>
      <c r="W40" s="16">
        <f>MIN(1,MAX(0,(MIN(W8,Inputs!$F$24)-W7)/W9))</f>
        <v/>
      </c>
      <c r="X40" s="16">
        <f>MIN(1,MAX(0,(MIN(X8,Inputs!$F$24)-X7)/X9))</f>
        <v/>
      </c>
      <c r="Y40" s="16">
        <f>MIN(1,MAX(0,(MIN(Y8,Inputs!$F$24)-Y7)/Y9))</f>
        <v/>
      </c>
      <c r="Z40" s="16">
        <f>MIN(1,MAX(0,(MIN(Z8,Inputs!$F$24)-Z7)/Z9))</f>
        <v/>
      </c>
      <c r="AA40" s="16">
        <f>MIN(1,MAX(0,(MIN(AA8,Inputs!$F$24)-AA7)/AA9))</f>
        <v/>
      </c>
      <c r="AB40" s="16">
        <f>MIN(1,MAX(0,(MIN(AB8,Inputs!$F$24)-AB7)/AB9))</f>
        <v/>
      </c>
      <c r="AC40" s="16">
        <f>MIN(1,MAX(0,(MIN(AC8,Inputs!$F$24)-AC7)/AC9))</f>
        <v/>
      </c>
      <c r="AD40" s="16">
        <f>MIN(1,MAX(0,(MIN(AD8,Inputs!$F$24)-AD7)/AD9))</f>
        <v/>
      </c>
      <c r="AE40" s="16">
        <f>MIN(1,MAX(0,(MIN(AE8,Inputs!$F$24)-AE7)/AE9))</f>
        <v/>
      </c>
      <c r="AF40" s="16">
        <f>MIN(1,MAX(0,(MIN(AF8,Inputs!$F$24)-AF7)/AF9))</f>
        <v/>
      </c>
      <c r="AG40" s="16">
        <f>MIN(1,MAX(0,(MIN(AG8,Inputs!$F$24)-AG7)/AG9))</f>
        <v/>
      </c>
      <c r="AH40" s="16">
        <f>MIN(1,MAX(0,(MIN(AH8,Inputs!$F$24)-AH7)/AH9))</f>
        <v/>
      </c>
      <c r="AI40" s="16">
        <f>MIN(1,MAX(0,(MIN(AI8,Inputs!$F$24)-AI7)/AI9))</f>
        <v/>
      </c>
      <c r="AJ40" s="16">
        <f>MIN(1,MAX(0,(MIN(AJ8,Inputs!$F$24)-AJ7)/AJ9))</f>
        <v/>
      </c>
      <c r="AK40" s="16">
        <f>MIN(1,MAX(0,(MIN(AK8,Inputs!$F$24)-AK7)/AK9))</f>
        <v/>
      </c>
      <c r="AL40" s="16">
        <f>MIN(1,MAX(0,(MIN(AL8,Inputs!$F$24)-AL7)/AL9))</f>
        <v/>
      </c>
      <c r="AM40" s="16">
        <f>MIN(1,MAX(0,(MIN(AM8,Inputs!$F$24)-AM7)/AM9))</f>
        <v/>
      </c>
      <c r="AN40" s="16">
        <f>MIN(1,MAX(0,(MIN(AN8,Inputs!$F$24)-AN7)/AN9))</f>
        <v/>
      </c>
      <c r="AO40" s="16">
        <f>MIN(1,MAX(0,(MIN(AO8,Inputs!$F$24)-AO7)/AO9))</f>
        <v/>
      </c>
      <c r="AP40" s="16">
        <f>MIN(1,MAX(0,(MIN(AP8,Inputs!$F$24)-AP7)/AP9))</f>
        <v/>
      </c>
      <c r="AQ40" s="16">
        <f>MIN(1,MAX(0,(MIN(AQ8,Inputs!$F$24)-AQ7)/AQ9))</f>
        <v/>
      </c>
      <c r="AR40" s="16">
        <f>MIN(1,MAX(0,(MIN(AR8,Inputs!$F$24)-AR7)/AR9))</f>
        <v/>
      </c>
      <c r="AS40" s="16">
        <f>MIN(1,MAX(0,(MIN(AS8,Inputs!$F$24)-AS7)/AS9))</f>
        <v/>
      </c>
      <c r="AT40" s="16">
        <f>MIN(1,MAX(0,(MIN(AT8,Inputs!$F$24)-AT7)/AT9))</f>
        <v/>
      </c>
      <c r="AU40" s="16">
        <f>MIN(1,MAX(0,(MIN(AU8,Inputs!$F$24)-AU7)/AU9))</f>
        <v/>
      </c>
      <c r="AV40" s="16">
        <f>MIN(1,MAX(0,(MIN(AV8,Inputs!$F$24)-AV7)/AV9))</f>
        <v/>
      </c>
      <c r="AW40" s="16">
        <f>MIN(1,MAX(0,(MIN(AW8,Inputs!$F$24)-AW7)/AW9))</f>
        <v/>
      </c>
      <c r="AX40" s="16">
        <f>MIN(1,MAX(0,(MIN(AX8,Inputs!$F$24)-AX7)/AX9))</f>
        <v/>
      </c>
      <c r="AY40" s="16">
        <f>MIN(1,MAX(0,(MIN(AY8,Inputs!$F$24)-AY7)/AY9))</f>
        <v/>
      </c>
      <c r="AZ40" s="16">
        <f>MIN(1,MAX(0,(MIN(AZ8,Inputs!$F$24)-AZ7)/AZ9))</f>
        <v/>
      </c>
      <c r="BA40" s="16">
        <f>MIN(1,MAX(0,(MIN(BA8,Inputs!$F$24)-BA7)/BA9))</f>
        <v/>
      </c>
      <c r="BB40" s="16">
        <f>MIN(1,MAX(0,(MIN(BB8,Inputs!$F$24)-BB7)/BB9))</f>
        <v/>
      </c>
      <c r="BC40" s="16">
        <f>MIN(1,MAX(0,(MIN(BC8,Inputs!$F$24)-BC7)/BC9))</f>
        <v/>
      </c>
      <c r="BD40" s="16">
        <f>MIN(1,MAX(0,(MIN(BD8,Inputs!$F$24)-BD7)/BD9))</f>
        <v/>
      </c>
      <c r="BE40" s="16">
        <f>MIN(1,MAX(0,(MIN(BE8,Inputs!$F$24)-BE7)/BE9))</f>
        <v/>
      </c>
      <c r="BF40" s="16">
        <f>MIN(1,MAX(0,(MIN(BF8,Inputs!$F$24)-BF7)/BF9))</f>
        <v/>
      </c>
      <c r="BG40" s="16">
        <f>MIN(1,MAX(0,(MIN(BG8,Inputs!$F$24)-BG7)/BG9))</f>
        <v/>
      </c>
      <c r="BH40" s="16">
        <f>MIN(1,MAX(0,(MIN(BH8,Inputs!$F$24)-BH7)/BH9))</f>
        <v/>
      </c>
      <c r="BI40" s="16">
        <f>MIN(1,MAX(0,(MIN(BI8,Inputs!$F$24)-BI7)/BI9))</f>
        <v/>
      </c>
      <c r="BJ40" s="16">
        <f>MIN(1,MAX(0,(MIN(BJ8,Inputs!$F$24)-BJ7)/BJ9))</f>
        <v/>
      </c>
      <c r="BK40" s="16">
        <f>MIN(1,MAX(0,(MIN(BK8,Inputs!$F$24)-BK7)/BK9))</f>
        <v/>
      </c>
      <c r="BL40" s="16">
        <f>MIN(1,MAX(0,(MIN(BL8,Inputs!$F$24)-BL7)/BL9))</f>
        <v/>
      </c>
      <c r="BM40" s="16">
        <f>MIN(1,MAX(0,(MIN(BM8,Inputs!$F$24)-BM7)/BM9))</f>
        <v/>
      </c>
      <c r="BN40" s="16">
        <f>MIN(1,MAX(0,(MIN(BN8,Inputs!$F$24)-BN7)/BN9))</f>
        <v/>
      </c>
      <c r="BO40" s="16">
        <f>MIN(1,MAX(0,(MIN(BO8,Inputs!$F$24)-BO7)/BO9))</f>
        <v/>
      </c>
      <c r="BP40" s="16">
        <f>MIN(1,MAX(0,(MIN(BP8,Inputs!$F$24)-BP7)/BP9))</f>
        <v/>
      </c>
      <c r="BQ40" s="16">
        <f>MIN(1,MAX(0,(MIN(BQ8,Inputs!$F$24)-BQ7)/BQ9))</f>
        <v/>
      </c>
      <c r="BR40" s="16">
        <f>MIN(1,MAX(0,(MIN(BR8,Inputs!$F$24)-BR7)/BR9))</f>
        <v/>
      </c>
      <c r="BS40" s="16">
        <f>MIN(1,MAX(0,(MIN(BS8,Inputs!$F$24)-BS7)/BS9))</f>
        <v/>
      </c>
      <c r="BT40" s="16">
        <f>MIN(1,MAX(0,(MIN(BT8,Inputs!$F$24)-BT7)/BT9))</f>
        <v/>
      </c>
      <c r="BU40" s="16">
        <f>MIN(1,MAX(0,(MIN(BU8,Inputs!$F$24)-BU7)/BU9))</f>
        <v/>
      </c>
      <c r="BV40" s="16">
        <f>MIN(1,MAX(0,(MIN(BV8,Inputs!$F$24)-BV7)/BV9))</f>
        <v/>
      </c>
      <c r="BW40" s="16">
        <f>MIN(1,MAX(0,(MIN(BW8,Inputs!$F$24)-BW7)/BW9))</f>
        <v/>
      </c>
      <c r="BX40" s="16">
        <f>MIN(1,MAX(0,(MIN(BX8,Inputs!$F$24)-BX7)/BX9))</f>
        <v/>
      </c>
      <c r="BY40" s="16">
        <f>MIN(1,MAX(0,(MIN(BY8,Inputs!$F$24)-BY7)/BY9))</f>
        <v/>
      </c>
      <c r="BZ40" s="16">
        <f>MIN(1,MAX(0,(MIN(BZ8,Inputs!$F$24)-BZ7)/BZ9))</f>
        <v/>
      </c>
      <c r="CA40" s="16">
        <f>MIN(1,MAX(0,(MIN(CA8,Inputs!$F$24)-CA7)/CA9))</f>
        <v/>
      </c>
      <c r="CB40" s="16">
        <f>MIN(1,MAX(0,(MIN(CB8,Inputs!$F$24)-CB7)/CB9))</f>
        <v/>
      </c>
      <c r="CC40" s="16">
        <f>MIN(1,MAX(0,(MIN(CC8,Inputs!$F$24)-CC7)/CC9))</f>
        <v/>
      </c>
      <c r="CD40" s="16">
        <f>MIN(1,MAX(0,(MIN(CD8,Inputs!$F$24)-CD7)/CD9))</f>
        <v/>
      </c>
      <c r="CE40" s="16">
        <f>MIN(1,MAX(0,(MIN(CE8,Inputs!$F$24)-CE7)/CE9))</f>
        <v/>
      </c>
      <c r="CF40" s="16">
        <f>MIN(1,MAX(0,(MIN(CF8,Inputs!$F$24)-CF7)/CF9))</f>
        <v/>
      </c>
      <c r="CG40" s="16">
        <f>MIN(1,MAX(0,(MIN(CG8,Inputs!$F$24)-CG7)/CG9))</f>
        <v/>
      </c>
      <c r="CH40" s="16">
        <f>MIN(1,MAX(0,(MIN(CH8,Inputs!$F$24)-CH7)/CH9))</f>
        <v/>
      </c>
      <c r="CI40" s="16">
        <f>MIN(1,MAX(0,(MIN(CI8,Inputs!$F$24)-CI7)/CI9))</f>
        <v/>
      </c>
      <c r="CJ40" s="16">
        <f>MIN(1,MAX(0,(MIN(CJ8,Inputs!$F$24)-CJ7)/CJ9))</f>
        <v/>
      </c>
      <c r="CK40" s="16">
        <f>MIN(1,MAX(0,(MIN(CK8,Inputs!$F$24)-CK7)/CK9))</f>
        <v/>
      </c>
      <c r="CL40" s="16">
        <f>MIN(1,MAX(0,(MIN(CL8,Inputs!$F$24)-CL7)/CL9))</f>
        <v/>
      </c>
      <c r="CM40" s="16">
        <f>MIN(1,MAX(0,(MIN(CM8,Inputs!$F$24)-CM7)/CM9))</f>
        <v/>
      </c>
      <c r="CN40" s="16">
        <f>MIN(1,MAX(0,(MIN(CN8,Inputs!$F$24)-CN7)/CN9))</f>
        <v/>
      </c>
      <c r="CO40" s="16">
        <f>MIN(1,MAX(0,(MIN(CO8,Inputs!$F$24)-CO7)/CO9))</f>
        <v/>
      </c>
      <c r="CP40" s="16">
        <f>MIN(1,MAX(0,(MIN(CP8,Inputs!$F$24)-CP7)/CP9))</f>
        <v/>
      </c>
      <c r="CQ40" s="16">
        <f>MIN(1,MAX(0,(MIN(CQ8,Inputs!$F$24)-CQ7)/CQ9))</f>
        <v/>
      </c>
      <c r="CR40" s="16">
        <f>MIN(1,MAX(0,(MIN(CR8,Inputs!$F$24)-CR7)/CR9))</f>
        <v/>
      </c>
      <c r="CS40" s="16">
        <f>MIN(1,MAX(0,(MIN(CS8,Inputs!$F$24)-CS7)/CS9))</f>
        <v/>
      </c>
      <c r="CT40" s="16">
        <f>MIN(1,MAX(0,(MIN(CT8,Inputs!$F$24)-CT7)/CT9))</f>
        <v/>
      </c>
      <c r="CU40" s="16">
        <f>MIN(1,MAX(0,(MIN(CU8,Inputs!$F$24)-CU7)/CU9))</f>
        <v/>
      </c>
      <c r="CV40" s="16">
        <f>MIN(1,MAX(0,(MIN(CV8,Inputs!$F$24)-CV7)/CV9))</f>
        <v/>
      </c>
      <c r="CW40" s="16">
        <f>MIN(1,MAX(0,(MIN(CW8,Inputs!$F$24)-CW7)/CW9))</f>
        <v/>
      </c>
      <c r="CX40" s="16">
        <f>MIN(1,MAX(0,(MIN(CX8,Inputs!$F$24)-CX7)/CX9))</f>
        <v/>
      </c>
      <c r="CY40" s="16">
        <f>MIN(1,MAX(0,(MIN(CY8,Inputs!$F$24)-CY7)/CY9))</f>
        <v/>
      </c>
      <c r="CZ40" s="16">
        <f>MIN(1,MAX(0,(MIN(CZ8,Inputs!$F$24)-CZ7)/CZ9))</f>
        <v/>
      </c>
      <c r="DA40" s="16">
        <f>MIN(1,MAX(0,(MIN(DA8,Inputs!$F$24)-DA7)/DA9))</f>
        <v/>
      </c>
      <c r="DB40" s="16">
        <f>MIN(1,MAX(0,(MIN(DB8,Inputs!$F$24)-DB7)/DB9))</f>
        <v/>
      </c>
    </row>
    <row r="41">
      <c r="D41" t="inlineStr">
        <is>
          <t>Share of period before mini-perm maturity</t>
        </is>
      </c>
      <c r="E41" t="inlineStr">
        <is>
          <t>factor</t>
        </is>
      </c>
      <c r="J41" s="16">
        <f>MIN(1,MAX(0,(MIN(J8,Inputs!$F$25)-J7)/J9))</f>
        <v/>
      </c>
      <c r="K41" s="16">
        <f>MIN(1,MAX(0,(MIN(K8,Inputs!$F$25)-K7)/K9))</f>
        <v/>
      </c>
      <c r="L41" s="16">
        <f>MIN(1,MAX(0,(MIN(L8,Inputs!$F$25)-L7)/L9))</f>
        <v/>
      </c>
      <c r="M41" s="16">
        <f>MIN(1,MAX(0,(MIN(M8,Inputs!$F$25)-M7)/M9))</f>
        <v/>
      </c>
      <c r="N41" s="16">
        <f>MIN(1,MAX(0,(MIN(N8,Inputs!$F$25)-N7)/N9))</f>
        <v/>
      </c>
      <c r="O41" s="16">
        <f>MIN(1,MAX(0,(MIN(O8,Inputs!$F$25)-O7)/O9))</f>
        <v/>
      </c>
      <c r="P41" s="16">
        <f>MIN(1,MAX(0,(MIN(P8,Inputs!$F$25)-P7)/P9))</f>
        <v/>
      </c>
      <c r="Q41" s="16">
        <f>MIN(1,MAX(0,(MIN(Q8,Inputs!$F$25)-Q7)/Q9))</f>
        <v/>
      </c>
      <c r="R41" s="16">
        <f>MIN(1,MAX(0,(MIN(R8,Inputs!$F$25)-R7)/R9))</f>
        <v/>
      </c>
      <c r="S41" s="16">
        <f>MIN(1,MAX(0,(MIN(S8,Inputs!$F$25)-S7)/S9))</f>
        <v/>
      </c>
      <c r="T41" s="16">
        <f>MIN(1,MAX(0,(MIN(T8,Inputs!$F$25)-T7)/T9))</f>
        <v/>
      </c>
      <c r="U41" s="16">
        <f>MIN(1,MAX(0,(MIN(U8,Inputs!$F$25)-U7)/U9))</f>
        <v/>
      </c>
      <c r="V41" s="16">
        <f>MIN(1,MAX(0,(MIN(V8,Inputs!$F$25)-V7)/V9))</f>
        <v/>
      </c>
      <c r="W41" s="16">
        <f>MIN(1,MAX(0,(MIN(W8,Inputs!$F$25)-W7)/W9))</f>
        <v/>
      </c>
      <c r="X41" s="16">
        <f>MIN(1,MAX(0,(MIN(X8,Inputs!$F$25)-X7)/X9))</f>
        <v/>
      </c>
      <c r="Y41" s="16">
        <f>MIN(1,MAX(0,(MIN(Y8,Inputs!$F$25)-Y7)/Y9))</f>
        <v/>
      </c>
      <c r="Z41" s="16">
        <f>MIN(1,MAX(0,(MIN(Z8,Inputs!$F$25)-Z7)/Z9))</f>
        <v/>
      </c>
      <c r="AA41" s="16">
        <f>MIN(1,MAX(0,(MIN(AA8,Inputs!$F$25)-AA7)/AA9))</f>
        <v/>
      </c>
      <c r="AB41" s="16">
        <f>MIN(1,MAX(0,(MIN(AB8,Inputs!$F$25)-AB7)/AB9))</f>
        <v/>
      </c>
      <c r="AC41" s="16">
        <f>MIN(1,MAX(0,(MIN(AC8,Inputs!$F$25)-AC7)/AC9))</f>
        <v/>
      </c>
      <c r="AD41" s="16">
        <f>MIN(1,MAX(0,(MIN(AD8,Inputs!$F$25)-AD7)/AD9))</f>
        <v/>
      </c>
      <c r="AE41" s="16">
        <f>MIN(1,MAX(0,(MIN(AE8,Inputs!$F$25)-AE7)/AE9))</f>
        <v/>
      </c>
      <c r="AF41" s="16">
        <f>MIN(1,MAX(0,(MIN(AF8,Inputs!$F$25)-AF7)/AF9))</f>
        <v/>
      </c>
      <c r="AG41" s="16">
        <f>MIN(1,MAX(0,(MIN(AG8,Inputs!$F$25)-AG7)/AG9))</f>
        <v/>
      </c>
      <c r="AH41" s="16">
        <f>MIN(1,MAX(0,(MIN(AH8,Inputs!$F$25)-AH7)/AH9))</f>
        <v/>
      </c>
      <c r="AI41" s="16">
        <f>MIN(1,MAX(0,(MIN(AI8,Inputs!$F$25)-AI7)/AI9))</f>
        <v/>
      </c>
      <c r="AJ41" s="16">
        <f>MIN(1,MAX(0,(MIN(AJ8,Inputs!$F$25)-AJ7)/AJ9))</f>
        <v/>
      </c>
      <c r="AK41" s="16">
        <f>MIN(1,MAX(0,(MIN(AK8,Inputs!$F$25)-AK7)/AK9))</f>
        <v/>
      </c>
      <c r="AL41" s="16">
        <f>MIN(1,MAX(0,(MIN(AL8,Inputs!$F$25)-AL7)/AL9))</f>
        <v/>
      </c>
      <c r="AM41" s="16">
        <f>MIN(1,MAX(0,(MIN(AM8,Inputs!$F$25)-AM7)/AM9))</f>
        <v/>
      </c>
      <c r="AN41" s="16">
        <f>MIN(1,MAX(0,(MIN(AN8,Inputs!$F$25)-AN7)/AN9))</f>
        <v/>
      </c>
      <c r="AO41" s="16">
        <f>MIN(1,MAX(0,(MIN(AO8,Inputs!$F$25)-AO7)/AO9))</f>
        <v/>
      </c>
      <c r="AP41" s="16">
        <f>MIN(1,MAX(0,(MIN(AP8,Inputs!$F$25)-AP7)/AP9))</f>
        <v/>
      </c>
      <c r="AQ41" s="16">
        <f>MIN(1,MAX(0,(MIN(AQ8,Inputs!$F$25)-AQ7)/AQ9))</f>
        <v/>
      </c>
      <c r="AR41" s="16">
        <f>MIN(1,MAX(0,(MIN(AR8,Inputs!$F$25)-AR7)/AR9))</f>
        <v/>
      </c>
      <c r="AS41" s="16">
        <f>MIN(1,MAX(0,(MIN(AS8,Inputs!$F$25)-AS7)/AS9))</f>
        <v/>
      </c>
      <c r="AT41" s="16">
        <f>MIN(1,MAX(0,(MIN(AT8,Inputs!$F$25)-AT7)/AT9))</f>
        <v/>
      </c>
      <c r="AU41" s="16">
        <f>MIN(1,MAX(0,(MIN(AU8,Inputs!$F$25)-AU7)/AU9))</f>
        <v/>
      </c>
      <c r="AV41" s="16">
        <f>MIN(1,MAX(0,(MIN(AV8,Inputs!$F$25)-AV7)/AV9))</f>
        <v/>
      </c>
      <c r="AW41" s="16">
        <f>MIN(1,MAX(0,(MIN(AW8,Inputs!$F$25)-AW7)/AW9))</f>
        <v/>
      </c>
      <c r="AX41" s="16">
        <f>MIN(1,MAX(0,(MIN(AX8,Inputs!$F$25)-AX7)/AX9))</f>
        <v/>
      </c>
      <c r="AY41" s="16">
        <f>MIN(1,MAX(0,(MIN(AY8,Inputs!$F$25)-AY7)/AY9))</f>
        <v/>
      </c>
      <c r="AZ41" s="16">
        <f>MIN(1,MAX(0,(MIN(AZ8,Inputs!$F$25)-AZ7)/AZ9))</f>
        <v/>
      </c>
      <c r="BA41" s="16">
        <f>MIN(1,MAX(0,(MIN(BA8,Inputs!$F$25)-BA7)/BA9))</f>
        <v/>
      </c>
      <c r="BB41" s="16">
        <f>MIN(1,MAX(0,(MIN(BB8,Inputs!$F$25)-BB7)/BB9))</f>
        <v/>
      </c>
      <c r="BC41" s="16">
        <f>MIN(1,MAX(0,(MIN(BC8,Inputs!$F$25)-BC7)/BC9))</f>
        <v/>
      </c>
      <c r="BD41" s="16">
        <f>MIN(1,MAX(0,(MIN(BD8,Inputs!$F$25)-BD7)/BD9))</f>
        <v/>
      </c>
      <c r="BE41" s="16">
        <f>MIN(1,MAX(0,(MIN(BE8,Inputs!$F$25)-BE7)/BE9))</f>
        <v/>
      </c>
      <c r="BF41" s="16">
        <f>MIN(1,MAX(0,(MIN(BF8,Inputs!$F$25)-BF7)/BF9))</f>
        <v/>
      </c>
      <c r="BG41" s="16">
        <f>MIN(1,MAX(0,(MIN(BG8,Inputs!$F$25)-BG7)/BG9))</f>
        <v/>
      </c>
      <c r="BH41" s="16">
        <f>MIN(1,MAX(0,(MIN(BH8,Inputs!$F$25)-BH7)/BH9))</f>
        <v/>
      </c>
      <c r="BI41" s="16">
        <f>MIN(1,MAX(0,(MIN(BI8,Inputs!$F$25)-BI7)/BI9))</f>
        <v/>
      </c>
      <c r="BJ41" s="16">
        <f>MIN(1,MAX(0,(MIN(BJ8,Inputs!$F$25)-BJ7)/BJ9))</f>
        <v/>
      </c>
      <c r="BK41" s="16">
        <f>MIN(1,MAX(0,(MIN(BK8,Inputs!$F$25)-BK7)/BK9))</f>
        <v/>
      </c>
      <c r="BL41" s="16">
        <f>MIN(1,MAX(0,(MIN(BL8,Inputs!$F$25)-BL7)/BL9))</f>
        <v/>
      </c>
      <c r="BM41" s="16">
        <f>MIN(1,MAX(0,(MIN(BM8,Inputs!$F$25)-BM7)/BM9))</f>
        <v/>
      </c>
      <c r="BN41" s="16">
        <f>MIN(1,MAX(0,(MIN(BN8,Inputs!$F$25)-BN7)/BN9))</f>
        <v/>
      </c>
      <c r="BO41" s="16">
        <f>MIN(1,MAX(0,(MIN(BO8,Inputs!$F$25)-BO7)/BO9))</f>
        <v/>
      </c>
      <c r="BP41" s="16">
        <f>MIN(1,MAX(0,(MIN(BP8,Inputs!$F$25)-BP7)/BP9))</f>
        <v/>
      </c>
      <c r="BQ41" s="16">
        <f>MIN(1,MAX(0,(MIN(BQ8,Inputs!$F$25)-BQ7)/BQ9))</f>
        <v/>
      </c>
      <c r="BR41" s="16">
        <f>MIN(1,MAX(0,(MIN(BR8,Inputs!$F$25)-BR7)/BR9))</f>
        <v/>
      </c>
      <c r="BS41" s="16">
        <f>MIN(1,MAX(0,(MIN(BS8,Inputs!$F$25)-BS7)/BS9))</f>
        <v/>
      </c>
      <c r="BT41" s="16">
        <f>MIN(1,MAX(0,(MIN(BT8,Inputs!$F$25)-BT7)/BT9))</f>
        <v/>
      </c>
      <c r="BU41" s="16">
        <f>MIN(1,MAX(0,(MIN(BU8,Inputs!$F$25)-BU7)/BU9))</f>
        <v/>
      </c>
      <c r="BV41" s="16">
        <f>MIN(1,MAX(0,(MIN(BV8,Inputs!$F$25)-BV7)/BV9))</f>
        <v/>
      </c>
      <c r="BW41" s="16">
        <f>MIN(1,MAX(0,(MIN(BW8,Inputs!$F$25)-BW7)/BW9))</f>
        <v/>
      </c>
      <c r="BX41" s="16">
        <f>MIN(1,MAX(0,(MIN(BX8,Inputs!$F$25)-BX7)/BX9))</f>
        <v/>
      </c>
      <c r="BY41" s="16">
        <f>MIN(1,MAX(0,(MIN(BY8,Inputs!$F$25)-BY7)/BY9))</f>
        <v/>
      </c>
      <c r="BZ41" s="16">
        <f>MIN(1,MAX(0,(MIN(BZ8,Inputs!$F$25)-BZ7)/BZ9))</f>
        <v/>
      </c>
      <c r="CA41" s="16">
        <f>MIN(1,MAX(0,(MIN(CA8,Inputs!$F$25)-CA7)/CA9))</f>
        <v/>
      </c>
      <c r="CB41" s="16">
        <f>MIN(1,MAX(0,(MIN(CB8,Inputs!$F$25)-CB7)/CB9))</f>
        <v/>
      </c>
      <c r="CC41" s="16">
        <f>MIN(1,MAX(0,(MIN(CC8,Inputs!$F$25)-CC7)/CC9))</f>
        <v/>
      </c>
      <c r="CD41" s="16">
        <f>MIN(1,MAX(0,(MIN(CD8,Inputs!$F$25)-CD7)/CD9))</f>
        <v/>
      </c>
      <c r="CE41" s="16">
        <f>MIN(1,MAX(0,(MIN(CE8,Inputs!$F$25)-CE7)/CE9))</f>
        <v/>
      </c>
      <c r="CF41" s="16">
        <f>MIN(1,MAX(0,(MIN(CF8,Inputs!$F$25)-CF7)/CF9))</f>
        <v/>
      </c>
      <c r="CG41" s="16">
        <f>MIN(1,MAX(0,(MIN(CG8,Inputs!$F$25)-CG7)/CG9))</f>
        <v/>
      </c>
      <c r="CH41" s="16">
        <f>MIN(1,MAX(0,(MIN(CH8,Inputs!$F$25)-CH7)/CH9))</f>
        <v/>
      </c>
      <c r="CI41" s="16">
        <f>MIN(1,MAX(0,(MIN(CI8,Inputs!$F$25)-CI7)/CI9))</f>
        <v/>
      </c>
      <c r="CJ41" s="16">
        <f>MIN(1,MAX(0,(MIN(CJ8,Inputs!$F$25)-CJ7)/CJ9))</f>
        <v/>
      </c>
      <c r="CK41" s="16">
        <f>MIN(1,MAX(0,(MIN(CK8,Inputs!$F$25)-CK7)/CK9))</f>
        <v/>
      </c>
      <c r="CL41" s="16">
        <f>MIN(1,MAX(0,(MIN(CL8,Inputs!$F$25)-CL7)/CL9))</f>
        <v/>
      </c>
      <c r="CM41" s="16">
        <f>MIN(1,MAX(0,(MIN(CM8,Inputs!$F$25)-CM7)/CM9))</f>
        <v/>
      </c>
      <c r="CN41" s="16">
        <f>MIN(1,MAX(0,(MIN(CN8,Inputs!$F$25)-CN7)/CN9))</f>
        <v/>
      </c>
      <c r="CO41" s="16">
        <f>MIN(1,MAX(0,(MIN(CO8,Inputs!$F$25)-CO7)/CO9))</f>
        <v/>
      </c>
      <c r="CP41" s="16">
        <f>MIN(1,MAX(0,(MIN(CP8,Inputs!$F$25)-CP7)/CP9))</f>
        <v/>
      </c>
      <c r="CQ41" s="16">
        <f>MIN(1,MAX(0,(MIN(CQ8,Inputs!$F$25)-CQ7)/CQ9))</f>
        <v/>
      </c>
      <c r="CR41" s="16">
        <f>MIN(1,MAX(0,(MIN(CR8,Inputs!$F$25)-CR7)/CR9))</f>
        <v/>
      </c>
      <c r="CS41" s="16">
        <f>MIN(1,MAX(0,(MIN(CS8,Inputs!$F$25)-CS7)/CS9))</f>
        <v/>
      </c>
      <c r="CT41" s="16">
        <f>MIN(1,MAX(0,(MIN(CT8,Inputs!$F$25)-CT7)/CT9))</f>
        <v/>
      </c>
      <c r="CU41" s="16">
        <f>MIN(1,MAX(0,(MIN(CU8,Inputs!$F$25)-CU7)/CU9))</f>
        <v/>
      </c>
      <c r="CV41" s="16">
        <f>MIN(1,MAX(0,(MIN(CV8,Inputs!$F$25)-CV7)/CV9))</f>
        <v/>
      </c>
      <c r="CW41" s="16">
        <f>MIN(1,MAX(0,(MIN(CW8,Inputs!$F$25)-CW7)/CW9))</f>
        <v/>
      </c>
      <c r="CX41" s="16">
        <f>MIN(1,MAX(0,(MIN(CX8,Inputs!$F$25)-CX7)/CX9))</f>
        <v/>
      </c>
      <c r="CY41" s="16">
        <f>MIN(1,MAX(0,(MIN(CY8,Inputs!$F$25)-CY7)/CY9))</f>
        <v/>
      </c>
      <c r="CZ41" s="16">
        <f>MIN(1,MAX(0,(MIN(CZ8,Inputs!$F$25)-CZ7)/CZ9))</f>
        <v/>
      </c>
      <c r="DA41" s="16">
        <f>MIN(1,MAX(0,(MIN(DA8,Inputs!$F$25)-DA7)/DA9))</f>
        <v/>
      </c>
      <c r="DB41" s="16">
        <f>MIN(1,MAX(0,(MIN(DB8,Inputs!$F$25)-DB7)/DB9))</f>
        <v/>
      </c>
    </row>
    <row r="42">
      <c r="D42" t="inlineStr">
        <is>
          <t>Flag_MiniPermMaturity</t>
        </is>
      </c>
      <c r="E42" t="inlineStr">
        <is>
          <t>flag</t>
        </is>
      </c>
      <c r="J42" s="14">
        <f>IF(AND(J7&lt;Inputs!$F$25,Inputs!$F$25&lt;=J8),1,0)</f>
        <v/>
      </c>
      <c r="K42" s="14">
        <f>IF(AND(K7&lt;Inputs!$F$25,Inputs!$F$25&lt;=K8),1,0)</f>
        <v/>
      </c>
      <c r="L42" s="14">
        <f>IF(AND(L7&lt;Inputs!$F$25,Inputs!$F$25&lt;=L8),1,0)</f>
        <v/>
      </c>
      <c r="M42" s="14">
        <f>IF(AND(M7&lt;Inputs!$F$25,Inputs!$F$25&lt;=M8),1,0)</f>
        <v/>
      </c>
      <c r="N42" s="14">
        <f>IF(AND(N7&lt;Inputs!$F$25,Inputs!$F$25&lt;=N8),1,0)</f>
        <v/>
      </c>
      <c r="O42" s="14">
        <f>IF(AND(O7&lt;Inputs!$F$25,Inputs!$F$25&lt;=O8),1,0)</f>
        <v/>
      </c>
      <c r="P42" s="14">
        <f>IF(AND(P7&lt;Inputs!$F$25,Inputs!$F$25&lt;=P8),1,0)</f>
        <v/>
      </c>
      <c r="Q42" s="14">
        <f>IF(AND(Q7&lt;Inputs!$F$25,Inputs!$F$25&lt;=Q8),1,0)</f>
        <v/>
      </c>
      <c r="R42" s="14">
        <f>IF(AND(R7&lt;Inputs!$F$25,Inputs!$F$25&lt;=R8),1,0)</f>
        <v/>
      </c>
      <c r="S42" s="14">
        <f>IF(AND(S7&lt;Inputs!$F$25,Inputs!$F$25&lt;=S8),1,0)</f>
        <v/>
      </c>
      <c r="T42" s="14">
        <f>IF(AND(T7&lt;Inputs!$F$25,Inputs!$F$25&lt;=T8),1,0)</f>
        <v/>
      </c>
      <c r="U42" s="14">
        <f>IF(AND(U7&lt;Inputs!$F$25,Inputs!$F$25&lt;=U8),1,0)</f>
        <v/>
      </c>
      <c r="V42" s="14">
        <f>IF(AND(V7&lt;Inputs!$F$25,Inputs!$F$25&lt;=V8),1,0)</f>
        <v/>
      </c>
      <c r="W42" s="14">
        <f>IF(AND(W7&lt;Inputs!$F$25,Inputs!$F$25&lt;=W8),1,0)</f>
        <v/>
      </c>
      <c r="X42" s="14">
        <f>IF(AND(X7&lt;Inputs!$F$25,Inputs!$F$25&lt;=X8),1,0)</f>
        <v/>
      </c>
      <c r="Y42" s="14">
        <f>IF(AND(Y7&lt;Inputs!$F$25,Inputs!$F$25&lt;=Y8),1,0)</f>
        <v/>
      </c>
      <c r="Z42" s="14">
        <f>IF(AND(Z7&lt;Inputs!$F$25,Inputs!$F$25&lt;=Z8),1,0)</f>
        <v/>
      </c>
      <c r="AA42" s="14">
        <f>IF(AND(AA7&lt;Inputs!$F$25,Inputs!$F$25&lt;=AA8),1,0)</f>
        <v/>
      </c>
      <c r="AB42" s="14">
        <f>IF(AND(AB7&lt;Inputs!$F$25,Inputs!$F$25&lt;=AB8),1,0)</f>
        <v/>
      </c>
      <c r="AC42" s="14">
        <f>IF(AND(AC7&lt;Inputs!$F$25,Inputs!$F$25&lt;=AC8),1,0)</f>
        <v/>
      </c>
      <c r="AD42" s="14">
        <f>IF(AND(AD7&lt;Inputs!$F$25,Inputs!$F$25&lt;=AD8),1,0)</f>
        <v/>
      </c>
      <c r="AE42" s="14">
        <f>IF(AND(AE7&lt;Inputs!$F$25,Inputs!$F$25&lt;=AE8),1,0)</f>
        <v/>
      </c>
      <c r="AF42" s="14">
        <f>IF(AND(AF7&lt;Inputs!$F$25,Inputs!$F$25&lt;=AF8),1,0)</f>
        <v/>
      </c>
      <c r="AG42" s="14">
        <f>IF(AND(AG7&lt;Inputs!$F$25,Inputs!$F$25&lt;=AG8),1,0)</f>
        <v/>
      </c>
      <c r="AH42" s="14">
        <f>IF(AND(AH7&lt;Inputs!$F$25,Inputs!$F$25&lt;=AH8),1,0)</f>
        <v/>
      </c>
      <c r="AI42" s="14">
        <f>IF(AND(AI7&lt;Inputs!$F$25,Inputs!$F$25&lt;=AI8),1,0)</f>
        <v/>
      </c>
      <c r="AJ42" s="14">
        <f>IF(AND(AJ7&lt;Inputs!$F$25,Inputs!$F$25&lt;=AJ8),1,0)</f>
        <v/>
      </c>
      <c r="AK42" s="14">
        <f>IF(AND(AK7&lt;Inputs!$F$25,Inputs!$F$25&lt;=AK8),1,0)</f>
        <v/>
      </c>
      <c r="AL42" s="14">
        <f>IF(AND(AL7&lt;Inputs!$F$25,Inputs!$F$25&lt;=AL8),1,0)</f>
        <v/>
      </c>
      <c r="AM42" s="14">
        <f>IF(AND(AM7&lt;Inputs!$F$25,Inputs!$F$25&lt;=AM8),1,0)</f>
        <v/>
      </c>
      <c r="AN42" s="14">
        <f>IF(AND(AN7&lt;Inputs!$F$25,Inputs!$F$25&lt;=AN8),1,0)</f>
        <v/>
      </c>
      <c r="AO42" s="14">
        <f>IF(AND(AO7&lt;Inputs!$F$25,Inputs!$F$25&lt;=AO8),1,0)</f>
        <v/>
      </c>
      <c r="AP42" s="14">
        <f>IF(AND(AP7&lt;Inputs!$F$25,Inputs!$F$25&lt;=AP8),1,0)</f>
        <v/>
      </c>
      <c r="AQ42" s="14">
        <f>IF(AND(AQ7&lt;Inputs!$F$25,Inputs!$F$25&lt;=AQ8),1,0)</f>
        <v/>
      </c>
      <c r="AR42" s="14">
        <f>IF(AND(AR7&lt;Inputs!$F$25,Inputs!$F$25&lt;=AR8),1,0)</f>
        <v/>
      </c>
      <c r="AS42" s="14">
        <f>IF(AND(AS7&lt;Inputs!$F$25,Inputs!$F$25&lt;=AS8),1,0)</f>
        <v/>
      </c>
      <c r="AT42" s="14">
        <f>IF(AND(AT7&lt;Inputs!$F$25,Inputs!$F$25&lt;=AT8),1,0)</f>
        <v/>
      </c>
      <c r="AU42" s="14">
        <f>IF(AND(AU7&lt;Inputs!$F$25,Inputs!$F$25&lt;=AU8),1,0)</f>
        <v/>
      </c>
      <c r="AV42" s="14">
        <f>IF(AND(AV7&lt;Inputs!$F$25,Inputs!$F$25&lt;=AV8),1,0)</f>
        <v/>
      </c>
      <c r="AW42" s="14">
        <f>IF(AND(AW7&lt;Inputs!$F$25,Inputs!$F$25&lt;=AW8),1,0)</f>
        <v/>
      </c>
      <c r="AX42" s="14">
        <f>IF(AND(AX7&lt;Inputs!$F$25,Inputs!$F$25&lt;=AX8),1,0)</f>
        <v/>
      </c>
      <c r="AY42" s="14">
        <f>IF(AND(AY7&lt;Inputs!$F$25,Inputs!$F$25&lt;=AY8),1,0)</f>
        <v/>
      </c>
      <c r="AZ42" s="14">
        <f>IF(AND(AZ7&lt;Inputs!$F$25,Inputs!$F$25&lt;=AZ8),1,0)</f>
        <v/>
      </c>
      <c r="BA42" s="14">
        <f>IF(AND(BA7&lt;Inputs!$F$25,Inputs!$F$25&lt;=BA8),1,0)</f>
        <v/>
      </c>
      <c r="BB42" s="14">
        <f>IF(AND(BB7&lt;Inputs!$F$25,Inputs!$F$25&lt;=BB8),1,0)</f>
        <v/>
      </c>
      <c r="BC42" s="14">
        <f>IF(AND(BC7&lt;Inputs!$F$25,Inputs!$F$25&lt;=BC8),1,0)</f>
        <v/>
      </c>
      <c r="BD42" s="14">
        <f>IF(AND(BD7&lt;Inputs!$F$25,Inputs!$F$25&lt;=BD8),1,0)</f>
        <v/>
      </c>
      <c r="BE42" s="14">
        <f>IF(AND(BE7&lt;Inputs!$F$25,Inputs!$F$25&lt;=BE8),1,0)</f>
        <v/>
      </c>
      <c r="BF42" s="14">
        <f>IF(AND(BF7&lt;Inputs!$F$25,Inputs!$F$25&lt;=BF8),1,0)</f>
        <v/>
      </c>
      <c r="BG42" s="14">
        <f>IF(AND(BG7&lt;Inputs!$F$25,Inputs!$F$25&lt;=BG8),1,0)</f>
        <v/>
      </c>
      <c r="BH42" s="14">
        <f>IF(AND(BH7&lt;Inputs!$F$25,Inputs!$F$25&lt;=BH8),1,0)</f>
        <v/>
      </c>
      <c r="BI42" s="14">
        <f>IF(AND(BI7&lt;Inputs!$F$25,Inputs!$F$25&lt;=BI8),1,0)</f>
        <v/>
      </c>
      <c r="BJ42" s="14">
        <f>IF(AND(BJ7&lt;Inputs!$F$25,Inputs!$F$25&lt;=BJ8),1,0)</f>
        <v/>
      </c>
      <c r="BK42" s="14">
        <f>IF(AND(BK7&lt;Inputs!$F$25,Inputs!$F$25&lt;=BK8),1,0)</f>
        <v/>
      </c>
      <c r="BL42" s="14">
        <f>IF(AND(BL7&lt;Inputs!$F$25,Inputs!$F$25&lt;=BL8),1,0)</f>
        <v/>
      </c>
      <c r="BM42" s="14">
        <f>IF(AND(BM7&lt;Inputs!$F$25,Inputs!$F$25&lt;=BM8),1,0)</f>
        <v/>
      </c>
      <c r="BN42" s="14">
        <f>IF(AND(BN7&lt;Inputs!$F$25,Inputs!$F$25&lt;=BN8),1,0)</f>
        <v/>
      </c>
      <c r="BO42" s="14">
        <f>IF(AND(BO7&lt;Inputs!$F$25,Inputs!$F$25&lt;=BO8),1,0)</f>
        <v/>
      </c>
      <c r="BP42" s="14">
        <f>IF(AND(BP7&lt;Inputs!$F$25,Inputs!$F$25&lt;=BP8),1,0)</f>
        <v/>
      </c>
      <c r="BQ42" s="14">
        <f>IF(AND(BQ7&lt;Inputs!$F$25,Inputs!$F$25&lt;=BQ8),1,0)</f>
        <v/>
      </c>
      <c r="BR42" s="14">
        <f>IF(AND(BR7&lt;Inputs!$F$25,Inputs!$F$25&lt;=BR8),1,0)</f>
        <v/>
      </c>
      <c r="BS42" s="14">
        <f>IF(AND(BS7&lt;Inputs!$F$25,Inputs!$F$25&lt;=BS8),1,0)</f>
        <v/>
      </c>
      <c r="BT42" s="14">
        <f>IF(AND(BT7&lt;Inputs!$F$25,Inputs!$F$25&lt;=BT8),1,0)</f>
        <v/>
      </c>
      <c r="BU42" s="14">
        <f>IF(AND(BU7&lt;Inputs!$F$25,Inputs!$F$25&lt;=BU8),1,0)</f>
        <v/>
      </c>
      <c r="BV42" s="14">
        <f>IF(AND(BV7&lt;Inputs!$F$25,Inputs!$F$25&lt;=BV8),1,0)</f>
        <v/>
      </c>
      <c r="BW42" s="14">
        <f>IF(AND(BW7&lt;Inputs!$F$25,Inputs!$F$25&lt;=BW8),1,0)</f>
        <v/>
      </c>
      <c r="BX42" s="14">
        <f>IF(AND(BX7&lt;Inputs!$F$25,Inputs!$F$25&lt;=BX8),1,0)</f>
        <v/>
      </c>
      <c r="BY42" s="14">
        <f>IF(AND(BY7&lt;Inputs!$F$25,Inputs!$F$25&lt;=BY8),1,0)</f>
        <v/>
      </c>
      <c r="BZ42" s="14">
        <f>IF(AND(BZ7&lt;Inputs!$F$25,Inputs!$F$25&lt;=BZ8),1,0)</f>
        <v/>
      </c>
      <c r="CA42" s="14">
        <f>IF(AND(CA7&lt;Inputs!$F$25,Inputs!$F$25&lt;=CA8),1,0)</f>
        <v/>
      </c>
      <c r="CB42" s="14">
        <f>IF(AND(CB7&lt;Inputs!$F$25,Inputs!$F$25&lt;=CB8),1,0)</f>
        <v/>
      </c>
      <c r="CC42" s="14">
        <f>IF(AND(CC7&lt;Inputs!$F$25,Inputs!$F$25&lt;=CC8),1,0)</f>
        <v/>
      </c>
      <c r="CD42" s="14">
        <f>IF(AND(CD7&lt;Inputs!$F$25,Inputs!$F$25&lt;=CD8),1,0)</f>
        <v/>
      </c>
      <c r="CE42" s="14">
        <f>IF(AND(CE7&lt;Inputs!$F$25,Inputs!$F$25&lt;=CE8),1,0)</f>
        <v/>
      </c>
      <c r="CF42" s="14">
        <f>IF(AND(CF7&lt;Inputs!$F$25,Inputs!$F$25&lt;=CF8),1,0)</f>
        <v/>
      </c>
      <c r="CG42" s="14">
        <f>IF(AND(CG7&lt;Inputs!$F$25,Inputs!$F$25&lt;=CG8),1,0)</f>
        <v/>
      </c>
      <c r="CH42" s="14">
        <f>IF(AND(CH7&lt;Inputs!$F$25,Inputs!$F$25&lt;=CH8),1,0)</f>
        <v/>
      </c>
      <c r="CI42" s="14">
        <f>IF(AND(CI7&lt;Inputs!$F$25,Inputs!$F$25&lt;=CI8),1,0)</f>
        <v/>
      </c>
      <c r="CJ42" s="14">
        <f>IF(AND(CJ7&lt;Inputs!$F$25,Inputs!$F$25&lt;=CJ8),1,0)</f>
        <v/>
      </c>
      <c r="CK42" s="14">
        <f>IF(AND(CK7&lt;Inputs!$F$25,Inputs!$F$25&lt;=CK8),1,0)</f>
        <v/>
      </c>
      <c r="CL42" s="14">
        <f>IF(AND(CL7&lt;Inputs!$F$25,Inputs!$F$25&lt;=CL8),1,0)</f>
        <v/>
      </c>
      <c r="CM42" s="14">
        <f>IF(AND(CM7&lt;Inputs!$F$25,Inputs!$F$25&lt;=CM8),1,0)</f>
        <v/>
      </c>
      <c r="CN42" s="14">
        <f>IF(AND(CN7&lt;Inputs!$F$25,Inputs!$F$25&lt;=CN8),1,0)</f>
        <v/>
      </c>
      <c r="CO42" s="14">
        <f>IF(AND(CO7&lt;Inputs!$F$25,Inputs!$F$25&lt;=CO8),1,0)</f>
        <v/>
      </c>
      <c r="CP42" s="14">
        <f>IF(AND(CP7&lt;Inputs!$F$25,Inputs!$F$25&lt;=CP8),1,0)</f>
        <v/>
      </c>
      <c r="CQ42" s="14">
        <f>IF(AND(CQ7&lt;Inputs!$F$25,Inputs!$F$25&lt;=CQ8),1,0)</f>
        <v/>
      </c>
      <c r="CR42" s="14">
        <f>IF(AND(CR7&lt;Inputs!$F$25,Inputs!$F$25&lt;=CR8),1,0)</f>
        <v/>
      </c>
      <c r="CS42" s="14">
        <f>IF(AND(CS7&lt;Inputs!$F$25,Inputs!$F$25&lt;=CS8),1,0)</f>
        <v/>
      </c>
      <c r="CT42" s="14">
        <f>IF(AND(CT7&lt;Inputs!$F$25,Inputs!$F$25&lt;=CT8),1,0)</f>
        <v/>
      </c>
      <c r="CU42" s="14">
        <f>IF(AND(CU7&lt;Inputs!$F$25,Inputs!$F$25&lt;=CU8),1,0)</f>
        <v/>
      </c>
      <c r="CV42" s="14">
        <f>IF(AND(CV7&lt;Inputs!$F$25,Inputs!$F$25&lt;=CV8),1,0)</f>
        <v/>
      </c>
      <c r="CW42" s="14">
        <f>IF(AND(CW7&lt;Inputs!$F$25,Inputs!$F$25&lt;=CW8),1,0)</f>
        <v/>
      </c>
      <c r="CX42" s="14">
        <f>IF(AND(CX7&lt;Inputs!$F$25,Inputs!$F$25&lt;=CX8),1,0)</f>
        <v/>
      </c>
      <c r="CY42" s="14">
        <f>IF(AND(CY7&lt;Inputs!$F$25,Inputs!$F$25&lt;=CY8),1,0)</f>
        <v/>
      </c>
      <c r="CZ42" s="14">
        <f>IF(AND(CZ7&lt;Inputs!$F$25,Inputs!$F$25&lt;=CZ8),1,0)</f>
        <v/>
      </c>
      <c r="DA42" s="14">
        <f>IF(AND(DA7&lt;Inputs!$F$25,Inputs!$F$25&lt;=DA8),1,0)</f>
        <v/>
      </c>
      <c r="DB42" s="14">
        <f>IF(AND(DB7&lt;Inputs!$F$25,Inputs!$F$25&lt;=DB8),1,0)</f>
        <v/>
      </c>
    </row>
    <row r="43">
      <c r="D43" t="inlineStr">
        <is>
          <t>Flag_Hedged</t>
        </is>
      </c>
      <c r="E43" t="inlineStr">
        <is>
          <t>flag</t>
        </is>
      </c>
      <c r="J43" s="14">
        <f>IF(J8&lt;=Inputs!$F$26,1,0)</f>
        <v/>
      </c>
      <c r="K43" s="14">
        <f>IF(K8&lt;=Inputs!$F$26,1,0)</f>
        <v/>
      </c>
      <c r="L43" s="14">
        <f>IF(L8&lt;=Inputs!$F$26,1,0)</f>
        <v/>
      </c>
      <c r="M43" s="14">
        <f>IF(M8&lt;=Inputs!$F$26,1,0)</f>
        <v/>
      </c>
      <c r="N43" s="14">
        <f>IF(N8&lt;=Inputs!$F$26,1,0)</f>
        <v/>
      </c>
      <c r="O43" s="14">
        <f>IF(O8&lt;=Inputs!$F$26,1,0)</f>
        <v/>
      </c>
      <c r="P43" s="14">
        <f>IF(P8&lt;=Inputs!$F$26,1,0)</f>
        <v/>
      </c>
      <c r="Q43" s="14">
        <f>IF(Q8&lt;=Inputs!$F$26,1,0)</f>
        <v/>
      </c>
      <c r="R43" s="14">
        <f>IF(R8&lt;=Inputs!$F$26,1,0)</f>
        <v/>
      </c>
      <c r="S43" s="14">
        <f>IF(S8&lt;=Inputs!$F$26,1,0)</f>
        <v/>
      </c>
      <c r="T43" s="14">
        <f>IF(T8&lt;=Inputs!$F$26,1,0)</f>
        <v/>
      </c>
      <c r="U43" s="14">
        <f>IF(U8&lt;=Inputs!$F$26,1,0)</f>
        <v/>
      </c>
      <c r="V43" s="14">
        <f>IF(V8&lt;=Inputs!$F$26,1,0)</f>
        <v/>
      </c>
      <c r="W43" s="14">
        <f>IF(W8&lt;=Inputs!$F$26,1,0)</f>
        <v/>
      </c>
      <c r="X43" s="14">
        <f>IF(X8&lt;=Inputs!$F$26,1,0)</f>
        <v/>
      </c>
      <c r="Y43" s="14">
        <f>IF(Y8&lt;=Inputs!$F$26,1,0)</f>
        <v/>
      </c>
      <c r="Z43" s="14">
        <f>IF(Z8&lt;=Inputs!$F$26,1,0)</f>
        <v/>
      </c>
      <c r="AA43" s="14">
        <f>IF(AA8&lt;=Inputs!$F$26,1,0)</f>
        <v/>
      </c>
      <c r="AB43" s="14">
        <f>IF(AB8&lt;=Inputs!$F$26,1,0)</f>
        <v/>
      </c>
      <c r="AC43" s="14">
        <f>IF(AC8&lt;=Inputs!$F$26,1,0)</f>
        <v/>
      </c>
      <c r="AD43" s="14">
        <f>IF(AD8&lt;=Inputs!$F$26,1,0)</f>
        <v/>
      </c>
      <c r="AE43" s="14">
        <f>IF(AE8&lt;=Inputs!$F$26,1,0)</f>
        <v/>
      </c>
      <c r="AF43" s="14">
        <f>IF(AF8&lt;=Inputs!$F$26,1,0)</f>
        <v/>
      </c>
      <c r="AG43" s="14">
        <f>IF(AG8&lt;=Inputs!$F$26,1,0)</f>
        <v/>
      </c>
      <c r="AH43" s="14">
        <f>IF(AH8&lt;=Inputs!$F$26,1,0)</f>
        <v/>
      </c>
      <c r="AI43" s="14">
        <f>IF(AI8&lt;=Inputs!$F$26,1,0)</f>
        <v/>
      </c>
      <c r="AJ43" s="14">
        <f>IF(AJ8&lt;=Inputs!$F$26,1,0)</f>
        <v/>
      </c>
      <c r="AK43" s="14">
        <f>IF(AK8&lt;=Inputs!$F$26,1,0)</f>
        <v/>
      </c>
      <c r="AL43" s="14">
        <f>IF(AL8&lt;=Inputs!$F$26,1,0)</f>
        <v/>
      </c>
      <c r="AM43" s="14">
        <f>IF(AM8&lt;=Inputs!$F$26,1,0)</f>
        <v/>
      </c>
      <c r="AN43" s="14">
        <f>IF(AN8&lt;=Inputs!$F$26,1,0)</f>
        <v/>
      </c>
      <c r="AO43" s="14">
        <f>IF(AO8&lt;=Inputs!$F$26,1,0)</f>
        <v/>
      </c>
      <c r="AP43" s="14">
        <f>IF(AP8&lt;=Inputs!$F$26,1,0)</f>
        <v/>
      </c>
      <c r="AQ43" s="14">
        <f>IF(AQ8&lt;=Inputs!$F$26,1,0)</f>
        <v/>
      </c>
      <c r="AR43" s="14">
        <f>IF(AR8&lt;=Inputs!$F$26,1,0)</f>
        <v/>
      </c>
      <c r="AS43" s="14">
        <f>IF(AS8&lt;=Inputs!$F$26,1,0)</f>
        <v/>
      </c>
      <c r="AT43" s="14">
        <f>IF(AT8&lt;=Inputs!$F$26,1,0)</f>
        <v/>
      </c>
      <c r="AU43" s="14">
        <f>IF(AU8&lt;=Inputs!$F$26,1,0)</f>
        <v/>
      </c>
      <c r="AV43" s="14">
        <f>IF(AV8&lt;=Inputs!$F$26,1,0)</f>
        <v/>
      </c>
      <c r="AW43" s="14">
        <f>IF(AW8&lt;=Inputs!$F$26,1,0)</f>
        <v/>
      </c>
      <c r="AX43" s="14">
        <f>IF(AX8&lt;=Inputs!$F$26,1,0)</f>
        <v/>
      </c>
      <c r="AY43" s="14">
        <f>IF(AY8&lt;=Inputs!$F$26,1,0)</f>
        <v/>
      </c>
      <c r="AZ43" s="14">
        <f>IF(AZ8&lt;=Inputs!$F$26,1,0)</f>
        <v/>
      </c>
      <c r="BA43" s="14">
        <f>IF(BA8&lt;=Inputs!$F$26,1,0)</f>
        <v/>
      </c>
      <c r="BB43" s="14">
        <f>IF(BB8&lt;=Inputs!$F$26,1,0)</f>
        <v/>
      </c>
      <c r="BC43" s="14">
        <f>IF(BC8&lt;=Inputs!$F$26,1,0)</f>
        <v/>
      </c>
      <c r="BD43" s="14">
        <f>IF(BD8&lt;=Inputs!$F$26,1,0)</f>
        <v/>
      </c>
      <c r="BE43" s="14">
        <f>IF(BE8&lt;=Inputs!$F$26,1,0)</f>
        <v/>
      </c>
      <c r="BF43" s="14">
        <f>IF(BF8&lt;=Inputs!$F$26,1,0)</f>
        <v/>
      </c>
      <c r="BG43" s="14">
        <f>IF(BG8&lt;=Inputs!$F$26,1,0)</f>
        <v/>
      </c>
      <c r="BH43" s="14">
        <f>IF(BH8&lt;=Inputs!$F$26,1,0)</f>
        <v/>
      </c>
      <c r="BI43" s="14">
        <f>IF(BI8&lt;=Inputs!$F$26,1,0)</f>
        <v/>
      </c>
      <c r="BJ43" s="14">
        <f>IF(BJ8&lt;=Inputs!$F$26,1,0)</f>
        <v/>
      </c>
      <c r="BK43" s="14">
        <f>IF(BK8&lt;=Inputs!$F$26,1,0)</f>
        <v/>
      </c>
      <c r="BL43" s="14">
        <f>IF(BL8&lt;=Inputs!$F$26,1,0)</f>
        <v/>
      </c>
      <c r="BM43" s="14">
        <f>IF(BM8&lt;=Inputs!$F$26,1,0)</f>
        <v/>
      </c>
      <c r="BN43" s="14">
        <f>IF(BN8&lt;=Inputs!$F$26,1,0)</f>
        <v/>
      </c>
      <c r="BO43" s="14">
        <f>IF(BO8&lt;=Inputs!$F$26,1,0)</f>
        <v/>
      </c>
      <c r="BP43" s="14">
        <f>IF(BP8&lt;=Inputs!$F$26,1,0)</f>
        <v/>
      </c>
      <c r="BQ43" s="14">
        <f>IF(BQ8&lt;=Inputs!$F$26,1,0)</f>
        <v/>
      </c>
      <c r="BR43" s="14">
        <f>IF(BR8&lt;=Inputs!$F$26,1,0)</f>
        <v/>
      </c>
      <c r="BS43" s="14">
        <f>IF(BS8&lt;=Inputs!$F$26,1,0)</f>
        <v/>
      </c>
      <c r="BT43" s="14">
        <f>IF(BT8&lt;=Inputs!$F$26,1,0)</f>
        <v/>
      </c>
      <c r="BU43" s="14">
        <f>IF(BU8&lt;=Inputs!$F$26,1,0)</f>
        <v/>
      </c>
      <c r="BV43" s="14">
        <f>IF(BV8&lt;=Inputs!$F$26,1,0)</f>
        <v/>
      </c>
      <c r="BW43" s="14">
        <f>IF(BW8&lt;=Inputs!$F$26,1,0)</f>
        <v/>
      </c>
      <c r="BX43" s="14">
        <f>IF(BX8&lt;=Inputs!$F$26,1,0)</f>
        <v/>
      </c>
      <c r="BY43" s="14">
        <f>IF(BY8&lt;=Inputs!$F$26,1,0)</f>
        <v/>
      </c>
      <c r="BZ43" s="14">
        <f>IF(BZ8&lt;=Inputs!$F$26,1,0)</f>
        <v/>
      </c>
      <c r="CA43" s="14">
        <f>IF(CA8&lt;=Inputs!$F$26,1,0)</f>
        <v/>
      </c>
      <c r="CB43" s="14">
        <f>IF(CB8&lt;=Inputs!$F$26,1,0)</f>
        <v/>
      </c>
      <c r="CC43" s="14">
        <f>IF(CC8&lt;=Inputs!$F$26,1,0)</f>
        <v/>
      </c>
      <c r="CD43" s="14">
        <f>IF(CD8&lt;=Inputs!$F$26,1,0)</f>
        <v/>
      </c>
      <c r="CE43" s="14">
        <f>IF(CE8&lt;=Inputs!$F$26,1,0)</f>
        <v/>
      </c>
      <c r="CF43" s="14">
        <f>IF(CF8&lt;=Inputs!$F$26,1,0)</f>
        <v/>
      </c>
      <c r="CG43" s="14">
        <f>IF(CG8&lt;=Inputs!$F$26,1,0)</f>
        <v/>
      </c>
      <c r="CH43" s="14">
        <f>IF(CH8&lt;=Inputs!$F$26,1,0)</f>
        <v/>
      </c>
      <c r="CI43" s="14">
        <f>IF(CI8&lt;=Inputs!$F$26,1,0)</f>
        <v/>
      </c>
      <c r="CJ43" s="14">
        <f>IF(CJ8&lt;=Inputs!$F$26,1,0)</f>
        <v/>
      </c>
      <c r="CK43" s="14">
        <f>IF(CK8&lt;=Inputs!$F$26,1,0)</f>
        <v/>
      </c>
      <c r="CL43" s="14">
        <f>IF(CL8&lt;=Inputs!$F$26,1,0)</f>
        <v/>
      </c>
      <c r="CM43" s="14">
        <f>IF(CM8&lt;=Inputs!$F$26,1,0)</f>
        <v/>
      </c>
      <c r="CN43" s="14">
        <f>IF(CN8&lt;=Inputs!$F$26,1,0)</f>
        <v/>
      </c>
      <c r="CO43" s="14">
        <f>IF(CO8&lt;=Inputs!$F$26,1,0)</f>
        <v/>
      </c>
      <c r="CP43" s="14">
        <f>IF(CP8&lt;=Inputs!$F$26,1,0)</f>
        <v/>
      </c>
      <c r="CQ43" s="14">
        <f>IF(CQ8&lt;=Inputs!$F$26,1,0)</f>
        <v/>
      </c>
      <c r="CR43" s="14">
        <f>IF(CR8&lt;=Inputs!$F$26,1,0)</f>
        <v/>
      </c>
      <c r="CS43" s="14">
        <f>IF(CS8&lt;=Inputs!$F$26,1,0)</f>
        <v/>
      </c>
      <c r="CT43" s="14">
        <f>IF(CT8&lt;=Inputs!$F$26,1,0)</f>
        <v/>
      </c>
      <c r="CU43" s="14">
        <f>IF(CU8&lt;=Inputs!$F$26,1,0)</f>
        <v/>
      </c>
      <c r="CV43" s="14">
        <f>IF(CV8&lt;=Inputs!$F$26,1,0)</f>
        <v/>
      </c>
      <c r="CW43" s="14">
        <f>IF(CW8&lt;=Inputs!$F$26,1,0)</f>
        <v/>
      </c>
      <c r="CX43" s="14">
        <f>IF(CX8&lt;=Inputs!$F$26,1,0)</f>
        <v/>
      </c>
      <c r="CY43" s="14">
        <f>IF(CY8&lt;=Inputs!$F$26,1,0)</f>
        <v/>
      </c>
      <c r="CZ43" s="14">
        <f>IF(CZ8&lt;=Inputs!$F$26,1,0)</f>
        <v/>
      </c>
      <c r="DA43" s="14">
        <f>IF(DA8&lt;=Inputs!$F$26,1,0)</f>
        <v/>
      </c>
      <c r="DB43" s="14">
        <f>IF(DB8&lt;=Inputs!$F$26,1,0)</f>
        <v/>
      </c>
    </row>
    <row r="44">
      <c r="D44" t="inlineStr">
        <is>
          <t>Flag_DSCRTest</t>
        </is>
      </c>
      <c r="E44" t="inlineStr">
        <is>
          <t>flag</t>
        </is>
      </c>
      <c r="J44" s="14">
        <f>IF(AND(J26=1,J8&gt;=Inputs!$F$35),1,0)</f>
        <v/>
      </c>
      <c r="K44" s="14">
        <f>IF(AND(K26=1,K8&gt;=Inputs!$F$35),1,0)</f>
        <v/>
      </c>
      <c r="L44" s="14">
        <f>IF(AND(L26=1,L8&gt;=Inputs!$F$35),1,0)</f>
        <v/>
      </c>
      <c r="M44" s="14">
        <f>IF(AND(M26=1,M8&gt;=Inputs!$F$35),1,0)</f>
        <v/>
      </c>
      <c r="N44" s="14">
        <f>IF(AND(N26=1,N8&gt;=Inputs!$F$35),1,0)</f>
        <v/>
      </c>
      <c r="O44" s="14">
        <f>IF(AND(O26=1,O8&gt;=Inputs!$F$35),1,0)</f>
        <v/>
      </c>
      <c r="P44" s="14">
        <f>IF(AND(P26=1,P8&gt;=Inputs!$F$35),1,0)</f>
        <v/>
      </c>
      <c r="Q44" s="14">
        <f>IF(AND(Q26=1,Q8&gt;=Inputs!$F$35),1,0)</f>
        <v/>
      </c>
      <c r="R44" s="14">
        <f>IF(AND(R26=1,R8&gt;=Inputs!$F$35),1,0)</f>
        <v/>
      </c>
      <c r="S44" s="14">
        <f>IF(AND(S26=1,S8&gt;=Inputs!$F$35),1,0)</f>
        <v/>
      </c>
      <c r="T44" s="14">
        <f>IF(AND(T26=1,T8&gt;=Inputs!$F$35),1,0)</f>
        <v/>
      </c>
      <c r="U44" s="14">
        <f>IF(AND(U26=1,U8&gt;=Inputs!$F$35),1,0)</f>
        <v/>
      </c>
      <c r="V44" s="14">
        <f>IF(AND(V26=1,V8&gt;=Inputs!$F$35),1,0)</f>
        <v/>
      </c>
      <c r="W44" s="14">
        <f>IF(AND(W26=1,W8&gt;=Inputs!$F$35),1,0)</f>
        <v/>
      </c>
      <c r="X44" s="14">
        <f>IF(AND(X26=1,X8&gt;=Inputs!$F$35),1,0)</f>
        <v/>
      </c>
      <c r="Y44" s="14">
        <f>IF(AND(Y26=1,Y8&gt;=Inputs!$F$35),1,0)</f>
        <v/>
      </c>
      <c r="Z44" s="14">
        <f>IF(AND(Z26=1,Z8&gt;=Inputs!$F$35),1,0)</f>
        <v/>
      </c>
      <c r="AA44" s="14">
        <f>IF(AND(AA26=1,AA8&gt;=Inputs!$F$35),1,0)</f>
        <v/>
      </c>
      <c r="AB44" s="14">
        <f>IF(AND(AB26=1,AB8&gt;=Inputs!$F$35),1,0)</f>
        <v/>
      </c>
      <c r="AC44" s="14">
        <f>IF(AND(AC26=1,AC8&gt;=Inputs!$F$35),1,0)</f>
        <v/>
      </c>
      <c r="AD44" s="14">
        <f>IF(AND(AD26=1,AD8&gt;=Inputs!$F$35),1,0)</f>
        <v/>
      </c>
      <c r="AE44" s="14">
        <f>IF(AND(AE26=1,AE8&gt;=Inputs!$F$35),1,0)</f>
        <v/>
      </c>
      <c r="AF44" s="14">
        <f>IF(AND(AF26=1,AF8&gt;=Inputs!$F$35),1,0)</f>
        <v/>
      </c>
      <c r="AG44" s="14">
        <f>IF(AND(AG26=1,AG8&gt;=Inputs!$F$35),1,0)</f>
        <v/>
      </c>
      <c r="AH44" s="14">
        <f>IF(AND(AH26=1,AH8&gt;=Inputs!$F$35),1,0)</f>
        <v/>
      </c>
      <c r="AI44" s="14">
        <f>IF(AND(AI26=1,AI8&gt;=Inputs!$F$35),1,0)</f>
        <v/>
      </c>
      <c r="AJ44" s="14">
        <f>IF(AND(AJ26=1,AJ8&gt;=Inputs!$F$35),1,0)</f>
        <v/>
      </c>
      <c r="AK44" s="14">
        <f>IF(AND(AK26=1,AK8&gt;=Inputs!$F$35),1,0)</f>
        <v/>
      </c>
      <c r="AL44" s="14">
        <f>IF(AND(AL26=1,AL8&gt;=Inputs!$F$35),1,0)</f>
        <v/>
      </c>
      <c r="AM44" s="14">
        <f>IF(AND(AM26=1,AM8&gt;=Inputs!$F$35),1,0)</f>
        <v/>
      </c>
      <c r="AN44" s="14">
        <f>IF(AND(AN26=1,AN8&gt;=Inputs!$F$35),1,0)</f>
        <v/>
      </c>
      <c r="AO44" s="14">
        <f>IF(AND(AO26=1,AO8&gt;=Inputs!$F$35),1,0)</f>
        <v/>
      </c>
      <c r="AP44" s="14">
        <f>IF(AND(AP26=1,AP8&gt;=Inputs!$F$35),1,0)</f>
        <v/>
      </c>
      <c r="AQ44" s="14">
        <f>IF(AND(AQ26=1,AQ8&gt;=Inputs!$F$35),1,0)</f>
        <v/>
      </c>
      <c r="AR44" s="14">
        <f>IF(AND(AR26=1,AR8&gt;=Inputs!$F$35),1,0)</f>
        <v/>
      </c>
      <c r="AS44" s="14">
        <f>IF(AND(AS26=1,AS8&gt;=Inputs!$F$35),1,0)</f>
        <v/>
      </c>
      <c r="AT44" s="14">
        <f>IF(AND(AT26=1,AT8&gt;=Inputs!$F$35),1,0)</f>
        <v/>
      </c>
      <c r="AU44" s="14">
        <f>IF(AND(AU26=1,AU8&gt;=Inputs!$F$35),1,0)</f>
        <v/>
      </c>
      <c r="AV44" s="14">
        <f>IF(AND(AV26=1,AV8&gt;=Inputs!$F$35),1,0)</f>
        <v/>
      </c>
      <c r="AW44" s="14">
        <f>IF(AND(AW26=1,AW8&gt;=Inputs!$F$35),1,0)</f>
        <v/>
      </c>
      <c r="AX44" s="14">
        <f>IF(AND(AX26=1,AX8&gt;=Inputs!$F$35),1,0)</f>
        <v/>
      </c>
      <c r="AY44" s="14">
        <f>IF(AND(AY26=1,AY8&gt;=Inputs!$F$35),1,0)</f>
        <v/>
      </c>
      <c r="AZ44" s="14">
        <f>IF(AND(AZ26=1,AZ8&gt;=Inputs!$F$35),1,0)</f>
        <v/>
      </c>
      <c r="BA44" s="14">
        <f>IF(AND(BA26=1,BA8&gt;=Inputs!$F$35),1,0)</f>
        <v/>
      </c>
      <c r="BB44" s="14">
        <f>IF(AND(BB26=1,BB8&gt;=Inputs!$F$35),1,0)</f>
        <v/>
      </c>
      <c r="BC44" s="14">
        <f>IF(AND(BC26=1,BC8&gt;=Inputs!$F$35),1,0)</f>
        <v/>
      </c>
      <c r="BD44" s="14">
        <f>IF(AND(BD26=1,BD8&gt;=Inputs!$F$35),1,0)</f>
        <v/>
      </c>
      <c r="BE44" s="14">
        <f>IF(AND(BE26=1,BE8&gt;=Inputs!$F$35),1,0)</f>
        <v/>
      </c>
      <c r="BF44" s="14">
        <f>IF(AND(BF26=1,BF8&gt;=Inputs!$F$35),1,0)</f>
        <v/>
      </c>
      <c r="BG44" s="14">
        <f>IF(AND(BG26=1,BG8&gt;=Inputs!$F$35),1,0)</f>
        <v/>
      </c>
      <c r="BH44" s="14">
        <f>IF(AND(BH26=1,BH8&gt;=Inputs!$F$35),1,0)</f>
        <v/>
      </c>
      <c r="BI44" s="14">
        <f>IF(AND(BI26=1,BI8&gt;=Inputs!$F$35),1,0)</f>
        <v/>
      </c>
      <c r="BJ44" s="14">
        <f>IF(AND(BJ26=1,BJ8&gt;=Inputs!$F$35),1,0)</f>
        <v/>
      </c>
      <c r="BK44" s="14">
        <f>IF(AND(BK26=1,BK8&gt;=Inputs!$F$35),1,0)</f>
        <v/>
      </c>
      <c r="BL44" s="14">
        <f>IF(AND(BL26=1,BL8&gt;=Inputs!$F$35),1,0)</f>
        <v/>
      </c>
      <c r="BM44" s="14">
        <f>IF(AND(BM26=1,BM8&gt;=Inputs!$F$35),1,0)</f>
        <v/>
      </c>
      <c r="BN44" s="14">
        <f>IF(AND(BN26=1,BN8&gt;=Inputs!$F$35),1,0)</f>
        <v/>
      </c>
      <c r="BO44" s="14">
        <f>IF(AND(BO26=1,BO8&gt;=Inputs!$F$35),1,0)</f>
        <v/>
      </c>
      <c r="BP44" s="14">
        <f>IF(AND(BP26=1,BP8&gt;=Inputs!$F$35),1,0)</f>
        <v/>
      </c>
      <c r="BQ44" s="14">
        <f>IF(AND(BQ26=1,BQ8&gt;=Inputs!$F$35),1,0)</f>
        <v/>
      </c>
      <c r="BR44" s="14">
        <f>IF(AND(BR26=1,BR8&gt;=Inputs!$F$35),1,0)</f>
        <v/>
      </c>
      <c r="BS44" s="14">
        <f>IF(AND(BS26=1,BS8&gt;=Inputs!$F$35),1,0)</f>
        <v/>
      </c>
      <c r="BT44" s="14">
        <f>IF(AND(BT26=1,BT8&gt;=Inputs!$F$35),1,0)</f>
        <v/>
      </c>
      <c r="BU44" s="14">
        <f>IF(AND(BU26=1,BU8&gt;=Inputs!$F$35),1,0)</f>
        <v/>
      </c>
      <c r="BV44" s="14">
        <f>IF(AND(BV26=1,BV8&gt;=Inputs!$F$35),1,0)</f>
        <v/>
      </c>
      <c r="BW44" s="14">
        <f>IF(AND(BW26=1,BW8&gt;=Inputs!$F$35),1,0)</f>
        <v/>
      </c>
      <c r="BX44" s="14">
        <f>IF(AND(BX26=1,BX8&gt;=Inputs!$F$35),1,0)</f>
        <v/>
      </c>
      <c r="BY44" s="14">
        <f>IF(AND(BY26=1,BY8&gt;=Inputs!$F$35),1,0)</f>
        <v/>
      </c>
      <c r="BZ44" s="14">
        <f>IF(AND(BZ26=1,BZ8&gt;=Inputs!$F$35),1,0)</f>
        <v/>
      </c>
      <c r="CA44" s="14">
        <f>IF(AND(CA26=1,CA8&gt;=Inputs!$F$35),1,0)</f>
        <v/>
      </c>
      <c r="CB44" s="14">
        <f>IF(AND(CB26=1,CB8&gt;=Inputs!$F$35),1,0)</f>
        <v/>
      </c>
      <c r="CC44" s="14">
        <f>IF(AND(CC26=1,CC8&gt;=Inputs!$F$35),1,0)</f>
        <v/>
      </c>
      <c r="CD44" s="14">
        <f>IF(AND(CD26=1,CD8&gt;=Inputs!$F$35),1,0)</f>
        <v/>
      </c>
      <c r="CE44" s="14">
        <f>IF(AND(CE26=1,CE8&gt;=Inputs!$F$35),1,0)</f>
        <v/>
      </c>
      <c r="CF44" s="14">
        <f>IF(AND(CF26=1,CF8&gt;=Inputs!$F$35),1,0)</f>
        <v/>
      </c>
      <c r="CG44" s="14">
        <f>IF(AND(CG26=1,CG8&gt;=Inputs!$F$35),1,0)</f>
        <v/>
      </c>
      <c r="CH44" s="14">
        <f>IF(AND(CH26=1,CH8&gt;=Inputs!$F$35),1,0)</f>
        <v/>
      </c>
      <c r="CI44" s="14">
        <f>IF(AND(CI26=1,CI8&gt;=Inputs!$F$35),1,0)</f>
        <v/>
      </c>
      <c r="CJ44" s="14">
        <f>IF(AND(CJ26=1,CJ8&gt;=Inputs!$F$35),1,0)</f>
        <v/>
      </c>
      <c r="CK44" s="14">
        <f>IF(AND(CK26=1,CK8&gt;=Inputs!$F$35),1,0)</f>
        <v/>
      </c>
      <c r="CL44" s="14">
        <f>IF(AND(CL26=1,CL8&gt;=Inputs!$F$35),1,0)</f>
        <v/>
      </c>
      <c r="CM44" s="14">
        <f>IF(AND(CM26=1,CM8&gt;=Inputs!$F$35),1,0)</f>
        <v/>
      </c>
      <c r="CN44" s="14">
        <f>IF(AND(CN26=1,CN8&gt;=Inputs!$F$35),1,0)</f>
        <v/>
      </c>
      <c r="CO44" s="14">
        <f>IF(AND(CO26=1,CO8&gt;=Inputs!$F$35),1,0)</f>
        <v/>
      </c>
      <c r="CP44" s="14">
        <f>IF(AND(CP26=1,CP8&gt;=Inputs!$F$35),1,0)</f>
        <v/>
      </c>
      <c r="CQ44" s="14">
        <f>IF(AND(CQ26=1,CQ8&gt;=Inputs!$F$35),1,0)</f>
        <v/>
      </c>
      <c r="CR44" s="14">
        <f>IF(AND(CR26=1,CR8&gt;=Inputs!$F$35),1,0)</f>
        <v/>
      </c>
      <c r="CS44" s="14">
        <f>IF(AND(CS26=1,CS8&gt;=Inputs!$F$35),1,0)</f>
        <v/>
      </c>
      <c r="CT44" s="14">
        <f>IF(AND(CT26=1,CT8&gt;=Inputs!$F$35),1,0)</f>
        <v/>
      </c>
      <c r="CU44" s="14">
        <f>IF(AND(CU26=1,CU8&gt;=Inputs!$F$35),1,0)</f>
        <v/>
      </c>
      <c r="CV44" s="14">
        <f>IF(AND(CV26=1,CV8&gt;=Inputs!$F$35),1,0)</f>
        <v/>
      </c>
      <c r="CW44" s="14">
        <f>IF(AND(CW26=1,CW8&gt;=Inputs!$F$35),1,0)</f>
        <v/>
      </c>
      <c r="CX44" s="14">
        <f>IF(AND(CX26=1,CX8&gt;=Inputs!$F$35),1,0)</f>
        <v/>
      </c>
      <c r="CY44" s="14">
        <f>IF(AND(CY26=1,CY8&gt;=Inputs!$F$35),1,0)</f>
        <v/>
      </c>
      <c r="CZ44" s="14">
        <f>IF(AND(CZ26=1,CZ8&gt;=Inputs!$F$35),1,0)</f>
        <v/>
      </c>
      <c r="DA44" s="14">
        <f>IF(AND(DA26=1,DA8&gt;=Inputs!$F$35),1,0)</f>
        <v/>
      </c>
      <c r="DB44" s="14">
        <f>IF(AND(DB26=1,DB8&gt;=Inputs!$F$35),1,0)</f>
        <v/>
      </c>
    </row>
    <row r="45">
      <c r="D45" t="inlineStr">
        <is>
          <t>Flag_DefaultTest</t>
        </is>
      </c>
      <c r="E45" t="inlineStr">
        <is>
          <t>flag</t>
        </is>
      </c>
      <c r="J45" s="14">
        <f>IF(J8&gt;=Inputs!$F$36,1,0)</f>
        <v/>
      </c>
      <c r="K45" s="14">
        <f>IF(K8&gt;=Inputs!$F$36,1,0)</f>
        <v/>
      </c>
      <c r="L45" s="14">
        <f>IF(L8&gt;=Inputs!$F$36,1,0)</f>
        <v/>
      </c>
      <c r="M45" s="14">
        <f>IF(M8&gt;=Inputs!$F$36,1,0)</f>
        <v/>
      </c>
      <c r="N45" s="14">
        <f>IF(N8&gt;=Inputs!$F$36,1,0)</f>
        <v/>
      </c>
      <c r="O45" s="14">
        <f>IF(O8&gt;=Inputs!$F$36,1,0)</f>
        <v/>
      </c>
      <c r="P45" s="14">
        <f>IF(P8&gt;=Inputs!$F$36,1,0)</f>
        <v/>
      </c>
      <c r="Q45" s="14">
        <f>IF(Q8&gt;=Inputs!$F$36,1,0)</f>
        <v/>
      </c>
      <c r="R45" s="14">
        <f>IF(R8&gt;=Inputs!$F$36,1,0)</f>
        <v/>
      </c>
      <c r="S45" s="14">
        <f>IF(S8&gt;=Inputs!$F$36,1,0)</f>
        <v/>
      </c>
      <c r="T45" s="14">
        <f>IF(T8&gt;=Inputs!$F$36,1,0)</f>
        <v/>
      </c>
      <c r="U45" s="14">
        <f>IF(U8&gt;=Inputs!$F$36,1,0)</f>
        <v/>
      </c>
      <c r="V45" s="14">
        <f>IF(V8&gt;=Inputs!$F$36,1,0)</f>
        <v/>
      </c>
      <c r="W45" s="14">
        <f>IF(W8&gt;=Inputs!$F$36,1,0)</f>
        <v/>
      </c>
      <c r="X45" s="14">
        <f>IF(X8&gt;=Inputs!$F$36,1,0)</f>
        <v/>
      </c>
      <c r="Y45" s="14">
        <f>IF(Y8&gt;=Inputs!$F$36,1,0)</f>
        <v/>
      </c>
      <c r="Z45" s="14">
        <f>IF(Z8&gt;=Inputs!$F$36,1,0)</f>
        <v/>
      </c>
      <c r="AA45" s="14">
        <f>IF(AA8&gt;=Inputs!$F$36,1,0)</f>
        <v/>
      </c>
      <c r="AB45" s="14">
        <f>IF(AB8&gt;=Inputs!$F$36,1,0)</f>
        <v/>
      </c>
      <c r="AC45" s="14">
        <f>IF(AC8&gt;=Inputs!$F$36,1,0)</f>
        <v/>
      </c>
      <c r="AD45" s="14">
        <f>IF(AD8&gt;=Inputs!$F$36,1,0)</f>
        <v/>
      </c>
      <c r="AE45" s="14">
        <f>IF(AE8&gt;=Inputs!$F$36,1,0)</f>
        <v/>
      </c>
      <c r="AF45" s="14">
        <f>IF(AF8&gt;=Inputs!$F$36,1,0)</f>
        <v/>
      </c>
      <c r="AG45" s="14">
        <f>IF(AG8&gt;=Inputs!$F$36,1,0)</f>
        <v/>
      </c>
      <c r="AH45" s="14">
        <f>IF(AH8&gt;=Inputs!$F$36,1,0)</f>
        <v/>
      </c>
      <c r="AI45" s="14">
        <f>IF(AI8&gt;=Inputs!$F$36,1,0)</f>
        <v/>
      </c>
      <c r="AJ45" s="14">
        <f>IF(AJ8&gt;=Inputs!$F$36,1,0)</f>
        <v/>
      </c>
      <c r="AK45" s="14">
        <f>IF(AK8&gt;=Inputs!$F$36,1,0)</f>
        <v/>
      </c>
      <c r="AL45" s="14">
        <f>IF(AL8&gt;=Inputs!$F$36,1,0)</f>
        <v/>
      </c>
      <c r="AM45" s="14">
        <f>IF(AM8&gt;=Inputs!$F$36,1,0)</f>
        <v/>
      </c>
      <c r="AN45" s="14">
        <f>IF(AN8&gt;=Inputs!$F$36,1,0)</f>
        <v/>
      </c>
      <c r="AO45" s="14">
        <f>IF(AO8&gt;=Inputs!$F$36,1,0)</f>
        <v/>
      </c>
      <c r="AP45" s="14">
        <f>IF(AP8&gt;=Inputs!$F$36,1,0)</f>
        <v/>
      </c>
      <c r="AQ45" s="14">
        <f>IF(AQ8&gt;=Inputs!$F$36,1,0)</f>
        <v/>
      </c>
      <c r="AR45" s="14">
        <f>IF(AR8&gt;=Inputs!$F$36,1,0)</f>
        <v/>
      </c>
      <c r="AS45" s="14">
        <f>IF(AS8&gt;=Inputs!$F$36,1,0)</f>
        <v/>
      </c>
      <c r="AT45" s="14">
        <f>IF(AT8&gt;=Inputs!$F$36,1,0)</f>
        <v/>
      </c>
      <c r="AU45" s="14">
        <f>IF(AU8&gt;=Inputs!$F$36,1,0)</f>
        <v/>
      </c>
      <c r="AV45" s="14">
        <f>IF(AV8&gt;=Inputs!$F$36,1,0)</f>
        <v/>
      </c>
      <c r="AW45" s="14">
        <f>IF(AW8&gt;=Inputs!$F$36,1,0)</f>
        <v/>
      </c>
      <c r="AX45" s="14">
        <f>IF(AX8&gt;=Inputs!$F$36,1,0)</f>
        <v/>
      </c>
      <c r="AY45" s="14">
        <f>IF(AY8&gt;=Inputs!$F$36,1,0)</f>
        <v/>
      </c>
      <c r="AZ45" s="14">
        <f>IF(AZ8&gt;=Inputs!$F$36,1,0)</f>
        <v/>
      </c>
      <c r="BA45" s="14">
        <f>IF(BA8&gt;=Inputs!$F$36,1,0)</f>
        <v/>
      </c>
      <c r="BB45" s="14">
        <f>IF(BB8&gt;=Inputs!$F$36,1,0)</f>
        <v/>
      </c>
      <c r="BC45" s="14">
        <f>IF(BC8&gt;=Inputs!$F$36,1,0)</f>
        <v/>
      </c>
      <c r="BD45" s="14">
        <f>IF(BD8&gt;=Inputs!$F$36,1,0)</f>
        <v/>
      </c>
      <c r="BE45" s="14">
        <f>IF(BE8&gt;=Inputs!$F$36,1,0)</f>
        <v/>
      </c>
      <c r="BF45" s="14">
        <f>IF(BF8&gt;=Inputs!$F$36,1,0)</f>
        <v/>
      </c>
      <c r="BG45" s="14">
        <f>IF(BG8&gt;=Inputs!$F$36,1,0)</f>
        <v/>
      </c>
      <c r="BH45" s="14">
        <f>IF(BH8&gt;=Inputs!$F$36,1,0)</f>
        <v/>
      </c>
      <c r="BI45" s="14">
        <f>IF(BI8&gt;=Inputs!$F$36,1,0)</f>
        <v/>
      </c>
      <c r="BJ45" s="14">
        <f>IF(BJ8&gt;=Inputs!$F$36,1,0)</f>
        <v/>
      </c>
      <c r="BK45" s="14">
        <f>IF(BK8&gt;=Inputs!$F$36,1,0)</f>
        <v/>
      </c>
      <c r="BL45" s="14">
        <f>IF(BL8&gt;=Inputs!$F$36,1,0)</f>
        <v/>
      </c>
      <c r="BM45" s="14">
        <f>IF(BM8&gt;=Inputs!$F$36,1,0)</f>
        <v/>
      </c>
      <c r="BN45" s="14">
        <f>IF(BN8&gt;=Inputs!$F$36,1,0)</f>
        <v/>
      </c>
      <c r="BO45" s="14">
        <f>IF(BO8&gt;=Inputs!$F$36,1,0)</f>
        <v/>
      </c>
      <c r="BP45" s="14">
        <f>IF(BP8&gt;=Inputs!$F$36,1,0)</f>
        <v/>
      </c>
      <c r="BQ45" s="14">
        <f>IF(BQ8&gt;=Inputs!$F$36,1,0)</f>
        <v/>
      </c>
      <c r="BR45" s="14">
        <f>IF(BR8&gt;=Inputs!$F$36,1,0)</f>
        <v/>
      </c>
      <c r="BS45" s="14">
        <f>IF(BS8&gt;=Inputs!$F$36,1,0)</f>
        <v/>
      </c>
      <c r="BT45" s="14">
        <f>IF(BT8&gt;=Inputs!$F$36,1,0)</f>
        <v/>
      </c>
      <c r="BU45" s="14">
        <f>IF(BU8&gt;=Inputs!$F$36,1,0)</f>
        <v/>
      </c>
      <c r="BV45" s="14">
        <f>IF(BV8&gt;=Inputs!$F$36,1,0)</f>
        <v/>
      </c>
      <c r="BW45" s="14">
        <f>IF(BW8&gt;=Inputs!$F$36,1,0)</f>
        <v/>
      </c>
      <c r="BX45" s="14">
        <f>IF(BX8&gt;=Inputs!$F$36,1,0)</f>
        <v/>
      </c>
      <c r="BY45" s="14">
        <f>IF(BY8&gt;=Inputs!$F$36,1,0)</f>
        <v/>
      </c>
      <c r="BZ45" s="14">
        <f>IF(BZ8&gt;=Inputs!$F$36,1,0)</f>
        <v/>
      </c>
      <c r="CA45" s="14">
        <f>IF(CA8&gt;=Inputs!$F$36,1,0)</f>
        <v/>
      </c>
      <c r="CB45" s="14">
        <f>IF(CB8&gt;=Inputs!$F$36,1,0)</f>
        <v/>
      </c>
      <c r="CC45" s="14">
        <f>IF(CC8&gt;=Inputs!$F$36,1,0)</f>
        <v/>
      </c>
      <c r="CD45" s="14">
        <f>IF(CD8&gt;=Inputs!$F$36,1,0)</f>
        <v/>
      </c>
      <c r="CE45" s="14">
        <f>IF(CE8&gt;=Inputs!$F$36,1,0)</f>
        <v/>
      </c>
      <c r="CF45" s="14">
        <f>IF(CF8&gt;=Inputs!$F$36,1,0)</f>
        <v/>
      </c>
      <c r="CG45" s="14">
        <f>IF(CG8&gt;=Inputs!$F$36,1,0)</f>
        <v/>
      </c>
      <c r="CH45" s="14">
        <f>IF(CH8&gt;=Inputs!$F$36,1,0)</f>
        <v/>
      </c>
      <c r="CI45" s="14">
        <f>IF(CI8&gt;=Inputs!$F$36,1,0)</f>
        <v/>
      </c>
      <c r="CJ45" s="14">
        <f>IF(CJ8&gt;=Inputs!$F$36,1,0)</f>
        <v/>
      </c>
      <c r="CK45" s="14">
        <f>IF(CK8&gt;=Inputs!$F$36,1,0)</f>
        <v/>
      </c>
      <c r="CL45" s="14">
        <f>IF(CL8&gt;=Inputs!$F$36,1,0)</f>
        <v/>
      </c>
      <c r="CM45" s="14">
        <f>IF(CM8&gt;=Inputs!$F$36,1,0)</f>
        <v/>
      </c>
      <c r="CN45" s="14">
        <f>IF(CN8&gt;=Inputs!$F$36,1,0)</f>
        <v/>
      </c>
      <c r="CO45" s="14">
        <f>IF(CO8&gt;=Inputs!$F$36,1,0)</f>
        <v/>
      </c>
      <c r="CP45" s="14">
        <f>IF(CP8&gt;=Inputs!$F$36,1,0)</f>
        <v/>
      </c>
      <c r="CQ45" s="14">
        <f>IF(CQ8&gt;=Inputs!$F$36,1,0)</f>
        <v/>
      </c>
      <c r="CR45" s="14">
        <f>IF(CR8&gt;=Inputs!$F$36,1,0)</f>
        <v/>
      </c>
      <c r="CS45" s="14">
        <f>IF(CS8&gt;=Inputs!$F$36,1,0)</f>
        <v/>
      </c>
      <c r="CT45" s="14">
        <f>IF(CT8&gt;=Inputs!$F$36,1,0)</f>
        <v/>
      </c>
      <c r="CU45" s="14">
        <f>IF(CU8&gt;=Inputs!$F$36,1,0)</f>
        <v/>
      </c>
      <c r="CV45" s="14">
        <f>IF(CV8&gt;=Inputs!$F$36,1,0)</f>
        <v/>
      </c>
      <c r="CW45" s="14">
        <f>IF(CW8&gt;=Inputs!$F$36,1,0)</f>
        <v/>
      </c>
      <c r="CX45" s="14">
        <f>IF(CX8&gt;=Inputs!$F$36,1,0)</f>
        <v/>
      </c>
      <c r="CY45" s="14">
        <f>IF(CY8&gt;=Inputs!$F$36,1,0)</f>
        <v/>
      </c>
      <c r="CZ45" s="14">
        <f>IF(CZ8&gt;=Inputs!$F$36,1,0)</f>
        <v/>
      </c>
      <c r="DA45" s="14">
        <f>IF(DA8&gt;=Inputs!$F$36,1,0)</f>
        <v/>
      </c>
      <c r="DB45" s="14">
        <f>IF(DB8&gt;=Inputs!$F$36,1,0)</f>
        <v/>
      </c>
    </row>
    <row r="46">
      <c r="D46" t="inlineStr">
        <is>
          <t>Flag_RetentionRelease</t>
        </is>
      </c>
      <c r="E46" t="inlineStr">
        <is>
          <t>flag</t>
        </is>
      </c>
      <c r="J46" s="14">
        <f>IF(AND(J7&lt;EDATE($F$16,Inputs!$F$49),EDATE($F$16,Inputs!$F$49)&lt;=J8),1,0)</f>
        <v/>
      </c>
      <c r="K46" s="14">
        <f>IF(AND(K7&lt;EDATE($F$16,Inputs!$F$49),EDATE($F$16,Inputs!$F$49)&lt;=K8),1,0)</f>
        <v/>
      </c>
      <c r="L46" s="14">
        <f>IF(AND(L7&lt;EDATE($F$16,Inputs!$F$49),EDATE($F$16,Inputs!$F$49)&lt;=L8),1,0)</f>
        <v/>
      </c>
      <c r="M46" s="14">
        <f>IF(AND(M7&lt;EDATE($F$16,Inputs!$F$49),EDATE($F$16,Inputs!$F$49)&lt;=M8),1,0)</f>
        <v/>
      </c>
      <c r="N46" s="14">
        <f>IF(AND(N7&lt;EDATE($F$16,Inputs!$F$49),EDATE($F$16,Inputs!$F$49)&lt;=N8),1,0)</f>
        <v/>
      </c>
      <c r="O46" s="14">
        <f>IF(AND(O7&lt;EDATE($F$16,Inputs!$F$49),EDATE($F$16,Inputs!$F$49)&lt;=O8),1,0)</f>
        <v/>
      </c>
      <c r="P46" s="14">
        <f>IF(AND(P7&lt;EDATE($F$16,Inputs!$F$49),EDATE($F$16,Inputs!$F$49)&lt;=P8),1,0)</f>
        <v/>
      </c>
      <c r="Q46" s="14">
        <f>IF(AND(Q7&lt;EDATE($F$16,Inputs!$F$49),EDATE($F$16,Inputs!$F$49)&lt;=Q8),1,0)</f>
        <v/>
      </c>
      <c r="R46" s="14">
        <f>IF(AND(R7&lt;EDATE($F$16,Inputs!$F$49),EDATE($F$16,Inputs!$F$49)&lt;=R8),1,0)</f>
        <v/>
      </c>
      <c r="S46" s="14">
        <f>IF(AND(S7&lt;EDATE($F$16,Inputs!$F$49),EDATE($F$16,Inputs!$F$49)&lt;=S8),1,0)</f>
        <v/>
      </c>
      <c r="T46" s="14">
        <f>IF(AND(T7&lt;EDATE($F$16,Inputs!$F$49),EDATE($F$16,Inputs!$F$49)&lt;=T8),1,0)</f>
        <v/>
      </c>
      <c r="U46" s="14">
        <f>IF(AND(U7&lt;EDATE($F$16,Inputs!$F$49),EDATE($F$16,Inputs!$F$49)&lt;=U8),1,0)</f>
        <v/>
      </c>
      <c r="V46" s="14">
        <f>IF(AND(V7&lt;EDATE($F$16,Inputs!$F$49),EDATE($F$16,Inputs!$F$49)&lt;=V8),1,0)</f>
        <v/>
      </c>
      <c r="W46" s="14">
        <f>IF(AND(W7&lt;EDATE($F$16,Inputs!$F$49),EDATE($F$16,Inputs!$F$49)&lt;=W8),1,0)</f>
        <v/>
      </c>
      <c r="X46" s="14">
        <f>IF(AND(X7&lt;EDATE($F$16,Inputs!$F$49),EDATE($F$16,Inputs!$F$49)&lt;=X8),1,0)</f>
        <v/>
      </c>
      <c r="Y46" s="14">
        <f>IF(AND(Y7&lt;EDATE($F$16,Inputs!$F$49),EDATE($F$16,Inputs!$F$49)&lt;=Y8),1,0)</f>
        <v/>
      </c>
      <c r="Z46" s="14">
        <f>IF(AND(Z7&lt;EDATE($F$16,Inputs!$F$49),EDATE($F$16,Inputs!$F$49)&lt;=Z8),1,0)</f>
        <v/>
      </c>
      <c r="AA46" s="14">
        <f>IF(AND(AA7&lt;EDATE($F$16,Inputs!$F$49),EDATE($F$16,Inputs!$F$49)&lt;=AA8),1,0)</f>
        <v/>
      </c>
      <c r="AB46" s="14">
        <f>IF(AND(AB7&lt;EDATE($F$16,Inputs!$F$49),EDATE($F$16,Inputs!$F$49)&lt;=AB8),1,0)</f>
        <v/>
      </c>
      <c r="AC46" s="14">
        <f>IF(AND(AC7&lt;EDATE($F$16,Inputs!$F$49),EDATE($F$16,Inputs!$F$49)&lt;=AC8),1,0)</f>
        <v/>
      </c>
      <c r="AD46" s="14">
        <f>IF(AND(AD7&lt;EDATE($F$16,Inputs!$F$49),EDATE($F$16,Inputs!$F$49)&lt;=AD8),1,0)</f>
        <v/>
      </c>
      <c r="AE46" s="14">
        <f>IF(AND(AE7&lt;EDATE($F$16,Inputs!$F$49),EDATE($F$16,Inputs!$F$49)&lt;=AE8),1,0)</f>
        <v/>
      </c>
      <c r="AF46" s="14">
        <f>IF(AND(AF7&lt;EDATE($F$16,Inputs!$F$49),EDATE($F$16,Inputs!$F$49)&lt;=AF8),1,0)</f>
        <v/>
      </c>
      <c r="AG46" s="14">
        <f>IF(AND(AG7&lt;EDATE($F$16,Inputs!$F$49),EDATE($F$16,Inputs!$F$49)&lt;=AG8),1,0)</f>
        <v/>
      </c>
      <c r="AH46" s="14">
        <f>IF(AND(AH7&lt;EDATE($F$16,Inputs!$F$49),EDATE($F$16,Inputs!$F$49)&lt;=AH8),1,0)</f>
        <v/>
      </c>
      <c r="AI46" s="14">
        <f>IF(AND(AI7&lt;EDATE($F$16,Inputs!$F$49),EDATE($F$16,Inputs!$F$49)&lt;=AI8),1,0)</f>
        <v/>
      </c>
      <c r="AJ46" s="14">
        <f>IF(AND(AJ7&lt;EDATE($F$16,Inputs!$F$49),EDATE($F$16,Inputs!$F$49)&lt;=AJ8),1,0)</f>
        <v/>
      </c>
      <c r="AK46" s="14">
        <f>IF(AND(AK7&lt;EDATE($F$16,Inputs!$F$49),EDATE($F$16,Inputs!$F$49)&lt;=AK8),1,0)</f>
        <v/>
      </c>
      <c r="AL46" s="14">
        <f>IF(AND(AL7&lt;EDATE($F$16,Inputs!$F$49),EDATE($F$16,Inputs!$F$49)&lt;=AL8),1,0)</f>
        <v/>
      </c>
      <c r="AM46" s="14">
        <f>IF(AND(AM7&lt;EDATE($F$16,Inputs!$F$49),EDATE($F$16,Inputs!$F$49)&lt;=AM8),1,0)</f>
        <v/>
      </c>
      <c r="AN46" s="14">
        <f>IF(AND(AN7&lt;EDATE($F$16,Inputs!$F$49),EDATE($F$16,Inputs!$F$49)&lt;=AN8),1,0)</f>
        <v/>
      </c>
      <c r="AO46" s="14">
        <f>IF(AND(AO7&lt;EDATE($F$16,Inputs!$F$49),EDATE($F$16,Inputs!$F$49)&lt;=AO8),1,0)</f>
        <v/>
      </c>
      <c r="AP46" s="14">
        <f>IF(AND(AP7&lt;EDATE($F$16,Inputs!$F$49),EDATE($F$16,Inputs!$F$49)&lt;=AP8),1,0)</f>
        <v/>
      </c>
      <c r="AQ46" s="14">
        <f>IF(AND(AQ7&lt;EDATE($F$16,Inputs!$F$49),EDATE($F$16,Inputs!$F$49)&lt;=AQ8),1,0)</f>
        <v/>
      </c>
      <c r="AR46" s="14">
        <f>IF(AND(AR7&lt;EDATE($F$16,Inputs!$F$49),EDATE($F$16,Inputs!$F$49)&lt;=AR8),1,0)</f>
        <v/>
      </c>
      <c r="AS46" s="14">
        <f>IF(AND(AS7&lt;EDATE($F$16,Inputs!$F$49),EDATE($F$16,Inputs!$F$49)&lt;=AS8),1,0)</f>
        <v/>
      </c>
      <c r="AT46" s="14">
        <f>IF(AND(AT7&lt;EDATE($F$16,Inputs!$F$49),EDATE($F$16,Inputs!$F$49)&lt;=AT8),1,0)</f>
        <v/>
      </c>
      <c r="AU46" s="14">
        <f>IF(AND(AU7&lt;EDATE($F$16,Inputs!$F$49),EDATE($F$16,Inputs!$F$49)&lt;=AU8),1,0)</f>
        <v/>
      </c>
      <c r="AV46" s="14">
        <f>IF(AND(AV7&lt;EDATE($F$16,Inputs!$F$49),EDATE($F$16,Inputs!$F$49)&lt;=AV8),1,0)</f>
        <v/>
      </c>
      <c r="AW46" s="14">
        <f>IF(AND(AW7&lt;EDATE($F$16,Inputs!$F$49),EDATE($F$16,Inputs!$F$49)&lt;=AW8),1,0)</f>
        <v/>
      </c>
      <c r="AX46" s="14">
        <f>IF(AND(AX7&lt;EDATE($F$16,Inputs!$F$49),EDATE($F$16,Inputs!$F$49)&lt;=AX8),1,0)</f>
        <v/>
      </c>
      <c r="AY46" s="14">
        <f>IF(AND(AY7&lt;EDATE($F$16,Inputs!$F$49),EDATE($F$16,Inputs!$F$49)&lt;=AY8),1,0)</f>
        <v/>
      </c>
      <c r="AZ46" s="14">
        <f>IF(AND(AZ7&lt;EDATE($F$16,Inputs!$F$49),EDATE($F$16,Inputs!$F$49)&lt;=AZ8),1,0)</f>
        <v/>
      </c>
      <c r="BA46" s="14">
        <f>IF(AND(BA7&lt;EDATE($F$16,Inputs!$F$49),EDATE($F$16,Inputs!$F$49)&lt;=BA8),1,0)</f>
        <v/>
      </c>
      <c r="BB46" s="14">
        <f>IF(AND(BB7&lt;EDATE($F$16,Inputs!$F$49),EDATE($F$16,Inputs!$F$49)&lt;=BB8),1,0)</f>
        <v/>
      </c>
      <c r="BC46" s="14">
        <f>IF(AND(BC7&lt;EDATE($F$16,Inputs!$F$49),EDATE($F$16,Inputs!$F$49)&lt;=BC8),1,0)</f>
        <v/>
      </c>
      <c r="BD46" s="14">
        <f>IF(AND(BD7&lt;EDATE($F$16,Inputs!$F$49),EDATE($F$16,Inputs!$F$49)&lt;=BD8),1,0)</f>
        <v/>
      </c>
      <c r="BE46" s="14">
        <f>IF(AND(BE7&lt;EDATE($F$16,Inputs!$F$49),EDATE($F$16,Inputs!$F$49)&lt;=BE8),1,0)</f>
        <v/>
      </c>
      <c r="BF46" s="14">
        <f>IF(AND(BF7&lt;EDATE($F$16,Inputs!$F$49),EDATE($F$16,Inputs!$F$49)&lt;=BF8),1,0)</f>
        <v/>
      </c>
      <c r="BG46" s="14">
        <f>IF(AND(BG7&lt;EDATE($F$16,Inputs!$F$49),EDATE($F$16,Inputs!$F$49)&lt;=BG8),1,0)</f>
        <v/>
      </c>
      <c r="BH46" s="14">
        <f>IF(AND(BH7&lt;EDATE($F$16,Inputs!$F$49),EDATE($F$16,Inputs!$F$49)&lt;=BH8),1,0)</f>
        <v/>
      </c>
      <c r="BI46" s="14">
        <f>IF(AND(BI7&lt;EDATE($F$16,Inputs!$F$49),EDATE($F$16,Inputs!$F$49)&lt;=BI8),1,0)</f>
        <v/>
      </c>
      <c r="BJ46" s="14">
        <f>IF(AND(BJ7&lt;EDATE($F$16,Inputs!$F$49),EDATE($F$16,Inputs!$F$49)&lt;=BJ8),1,0)</f>
        <v/>
      </c>
      <c r="BK46" s="14">
        <f>IF(AND(BK7&lt;EDATE($F$16,Inputs!$F$49),EDATE($F$16,Inputs!$F$49)&lt;=BK8),1,0)</f>
        <v/>
      </c>
      <c r="BL46" s="14">
        <f>IF(AND(BL7&lt;EDATE($F$16,Inputs!$F$49),EDATE($F$16,Inputs!$F$49)&lt;=BL8),1,0)</f>
        <v/>
      </c>
      <c r="BM46" s="14">
        <f>IF(AND(BM7&lt;EDATE($F$16,Inputs!$F$49),EDATE($F$16,Inputs!$F$49)&lt;=BM8),1,0)</f>
        <v/>
      </c>
      <c r="BN46" s="14">
        <f>IF(AND(BN7&lt;EDATE($F$16,Inputs!$F$49),EDATE($F$16,Inputs!$F$49)&lt;=BN8),1,0)</f>
        <v/>
      </c>
      <c r="BO46" s="14">
        <f>IF(AND(BO7&lt;EDATE($F$16,Inputs!$F$49),EDATE($F$16,Inputs!$F$49)&lt;=BO8),1,0)</f>
        <v/>
      </c>
      <c r="BP46" s="14">
        <f>IF(AND(BP7&lt;EDATE($F$16,Inputs!$F$49),EDATE($F$16,Inputs!$F$49)&lt;=BP8),1,0)</f>
        <v/>
      </c>
      <c r="BQ46" s="14">
        <f>IF(AND(BQ7&lt;EDATE($F$16,Inputs!$F$49),EDATE($F$16,Inputs!$F$49)&lt;=BQ8),1,0)</f>
        <v/>
      </c>
      <c r="BR46" s="14">
        <f>IF(AND(BR7&lt;EDATE($F$16,Inputs!$F$49),EDATE($F$16,Inputs!$F$49)&lt;=BR8),1,0)</f>
        <v/>
      </c>
      <c r="BS46" s="14">
        <f>IF(AND(BS7&lt;EDATE($F$16,Inputs!$F$49),EDATE($F$16,Inputs!$F$49)&lt;=BS8),1,0)</f>
        <v/>
      </c>
      <c r="BT46" s="14">
        <f>IF(AND(BT7&lt;EDATE($F$16,Inputs!$F$49),EDATE($F$16,Inputs!$F$49)&lt;=BT8),1,0)</f>
        <v/>
      </c>
      <c r="BU46" s="14">
        <f>IF(AND(BU7&lt;EDATE($F$16,Inputs!$F$49),EDATE($F$16,Inputs!$F$49)&lt;=BU8),1,0)</f>
        <v/>
      </c>
      <c r="BV46" s="14">
        <f>IF(AND(BV7&lt;EDATE($F$16,Inputs!$F$49),EDATE($F$16,Inputs!$F$49)&lt;=BV8),1,0)</f>
        <v/>
      </c>
      <c r="BW46" s="14">
        <f>IF(AND(BW7&lt;EDATE($F$16,Inputs!$F$49),EDATE($F$16,Inputs!$F$49)&lt;=BW8),1,0)</f>
        <v/>
      </c>
      <c r="BX46" s="14">
        <f>IF(AND(BX7&lt;EDATE($F$16,Inputs!$F$49),EDATE($F$16,Inputs!$F$49)&lt;=BX8),1,0)</f>
        <v/>
      </c>
      <c r="BY46" s="14">
        <f>IF(AND(BY7&lt;EDATE($F$16,Inputs!$F$49),EDATE($F$16,Inputs!$F$49)&lt;=BY8),1,0)</f>
        <v/>
      </c>
      <c r="BZ46" s="14">
        <f>IF(AND(BZ7&lt;EDATE($F$16,Inputs!$F$49),EDATE($F$16,Inputs!$F$49)&lt;=BZ8),1,0)</f>
        <v/>
      </c>
      <c r="CA46" s="14">
        <f>IF(AND(CA7&lt;EDATE($F$16,Inputs!$F$49),EDATE($F$16,Inputs!$F$49)&lt;=CA8),1,0)</f>
        <v/>
      </c>
      <c r="CB46" s="14">
        <f>IF(AND(CB7&lt;EDATE($F$16,Inputs!$F$49),EDATE($F$16,Inputs!$F$49)&lt;=CB8),1,0)</f>
        <v/>
      </c>
      <c r="CC46" s="14">
        <f>IF(AND(CC7&lt;EDATE($F$16,Inputs!$F$49),EDATE($F$16,Inputs!$F$49)&lt;=CC8),1,0)</f>
        <v/>
      </c>
      <c r="CD46" s="14">
        <f>IF(AND(CD7&lt;EDATE($F$16,Inputs!$F$49),EDATE($F$16,Inputs!$F$49)&lt;=CD8),1,0)</f>
        <v/>
      </c>
      <c r="CE46" s="14">
        <f>IF(AND(CE7&lt;EDATE($F$16,Inputs!$F$49),EDATE($F$16,Inputs!$F$49)&lt;=CE8),1,0)</f>
        <v/>
      </c>
      <c r="CF46" s="14">
        <f>IF(AND(CF7&lt;EDATE($F$16,Inputs!$F$49),EDATE($F$16,Inputs!$F$49)&lt;=CF8),1,0)</f>
        <v/>
      </c>
      <c r="CG46" s="14">
        <f>IF(AND(CG7&lt;EDATE($F$16,Inputs!$F$49),EDATE($F$16,Inputs!$F$49)&lt;=CG8),1,0)</f>
        <v/>
      </c>
      <c r="CH46" s="14">
        <f>IF(AND(CH7&lt;EDATE($F$16,Inputs!$F$49),EDATE($F$16,Inputs!$F$49)&lt;=CH8),1,0)</f>
        <v/>
      </c>
      <c r="CI46" s="14">
        <f>IF(AND(CI7&lt;EDATE($F$16,Inputs!$F$49),EDATE($F$16,Inputs!$F$49)&lt;=CI8),1,0)</f>
        <v/>
      </c>
      <c r="CJ46" s="14">
        <f>IF(AND(CJ7&lt;EDATE($F$16,Inputs!$F$49),EDATE($F$16,Inputs!$F$49)&lt;=CJ8),1,0)</f>
        <v/>
      </c>
      <c r="CK46" s="14">
        <f>IF(AND(CK7&lt;EDATE($F$16,Inputs!$F$49),EDATE($F$16,Inputs!$F$49)&lt;=CK8),1,0)</f>
        <v/>
      </c>
      <c r="CL46" s="14">
        <f>IF(AND(CL7&lt;EDATE($F$16,Inputs!$F$49),EDATE($F$16,Inputs!$F$49)&lt;=CL8),1,0)</f>
        <v/>
      </c>
      <c r="CM46" s="14">
        <f>IF(AND(CM7&lt;EDATE($F$16,Inputs!$F$49),EDATE($F$16,Inputs!$F$49)&lt;=CM8),1,0)</f>
        <v/>
      </c>
      <c r="CN46" s="14">
        <f>IF(AND(CN7&lt;EDATE($F$16,Inputs!$F$49),EDATE($F$16,Inputs!$F$49)&lt;=CN8),1,0)</f>
        <v/>
      </c>
      <c r="CO46" s="14">
        <f>IF(AND(CO7&lt;EDATE($F$16,Inputs!$F$49),EDATE($F$16,Inputs!$F$49)&lt;=CO8),1,0)</f>
        <v/>
      </c>
      <c r="CP46" s="14">
        <f>IF(AND(CP7&lt;EDATE($F$16,Inputs!$F$49),EDATE($F$16,Inputs!$F$49)&lt;=CP8),1,0)</f>
        <v/>
      </c>
      <c r="CQ46" s="14">
        <f>IF(AND(CQ7&lt;EDATE($F$16,Inputs!$F$49),EDATE($F$16,Inputs!$F$49)&lt;=CQ8),1,0)</f>
        <v/>
      </c>
      <c r="CR46" s="14">
        <f>IF(AND(CR7&lt;EDATE($F$16,Inputs!$F$49),EDATE($F$16,Inputs!$F$49)&lt;=CR8),1,0)</f>
        <v/>
      </c>
      <c r="CS46" s="14">
        <f>IF(AND(CS7&lt;EDATE($F$16,Inputs!$F$49),EDATE($F$16,Inputs!$F$49)&lt;=CS8),1,0)</f>
        <v/>
      </c>
      <c r="CT46" s="14">
        <f>IF(AND(CT7&lt;EDATE($F$16,Inputs!$F$49),EDATE($F$16,Inputs!$F$49)&lt;=CT8),1,0)</f>
        <v/>
      </c>
      <c r="CU46" s="14">
        <f>IF(AND(CU7&lt;EDATE($F$16,Inputs!$F$49),EDATE($F$16,Inputs!$F$49)&lt;=CU8),1,0)</f>
        <v/>
      </c>
      <c r="CV46" s="14">
        <f>IF(AND(CV7&lt;EDATE($F$16,Inputs!$F$49),EDATE($F$16,Inputs!$F$49)&lt;=CV8),1,0)</f>
        <v/>
      </c>
      <c r="CW46" s="14">
        <f>IF(AND(CW7&lt;EDATE($F$16,Inputs!$F$49),EDATE($F$16,Inputs!$F$49)&lt;=CW8),1,0)</f>
        <v/>
      </c>
      <c r="CX46" s="14">
        <f>IF(AND(CX7&lt;EDATE($F$16,Inputs!$F$49),EDATE($F$16,Inputs!$F$49)&lt;=CX8),1,0)</f>
        <v/>
      </c>
      <c r="CY46" s="14">
        <f>IF(AND(CY7&lt;EDATE($F$16,Inputs!$F$49),EDATE($F$16,Inputs!$F$49)&lt;=CY8),1,0)</f>
        <v/>
      </c>
      <c r="CZ46" s="14">
        <f>IF(AND(CZ7&lt;EDATE($F$16,Inputs!$F$49),EDATE($F$16,Inputs!$F$49)&lt;=CZ8),1,0)</f>
        <v/>
      </c>
      <c r="DA46" s="14">
        <f>IF(AND(DA7&lt;EDATE($F$16,Inputs!$F$49),EDATE($F$16,Inputs!$F$49)&lt;=DA8),1,0)</f>
        <v/>
      </c>
      <c r="DB46" s="14">
        <f>IF(AND(DB7&lt;EDATE($F$16,Inputs!$F$49),EDATE($F$16,Inputs!$F$49)&lt;=DB8),1,0)</f>
        <v/>
      </c>
    </row>
    <row r="47">
      <c r="D47" t="inlineStr">
        <is>
          <t>Flag_NILORepayment</t>
        </is>
      </c>
      <c r="E47" t="inlineStr">
        <is>
          <t>flag</t>
        </is>
      </c>
      <c r="J47" s="14">
        <f>IF(Inputs!$F$216=1,IF(AND(J8&gt;=Inputs!$F$30,J8&lt;=Inputs!$F$31),1,0),IF(AND(J8&gt;=Inputs!$F$28,J8&lt;=Inputs!$F$29),1,0))</f>
        <v/>
      </c>
      <c r="K47" s="14">
        <f>IF(Inputs!$F$216=1,IF(AND(K8&gt;=Inputs!$F$30,K8&lt;=Inputs!$F$31),1,0),IF(AND(K8&gt;=Inputs!$F$28,K8&lt;=Inputs!$F$29),1,0))</f>
        <v/>
      </c>
      <c r="L47" s="14">
        <f>IF(Inputs!$F$216=1,IF(AND(L8&gt;=Inputs!$F$30,L8&lt;=Inputs!$F$31),1,0),IF(AND(L8&gt;=Inputs!$F$28,L8&lt;=Inputs!$F$29),1,0))</f>
        <v/>
      </c>
      <c r="M47" s="14">
        <f>IF(Inputs!$F$216=1,IF(AND(M8&gt;=Inputs!$F$30,M8&lt;=Inputs!$F$31),1,0),IF(AND(M8&gt;=Inputs!$F$28,M8&lt;=Inputs!$F$29),1,0))</f>
        <v/>
      </c>
      <c r="N47" s="14">
        <f>IF(Inputs!$F$216=1,IF(AND(N8&gt;=Inputs!$F$30,N8&lt;=Inputs!$F$31),1,0),IF(AND(N8&gt;=Inputs!$F$28,N8&lt;=Inputs!$F$29),1,0))</f>
        <v/>
      </c>
      <c r="O47" s="14">
        <f>IF(Inputs!$F$216=1,IF(AND(O8&gt;=Inputs!$F$30,O8&lt;=Inputs!$F$31),1,0),IF(AND(O8&gt;=Inputs!$F$28,O8&lt;=Inputs!$F$29),1,0))</f>
        <v/>
      </c>
      <c r="P47" s="14">
        <f>IF(Inputs!$F$216=1,IF(AND(P8&gt;=Inputs!$F$30,P8&lt;=Inputs!$F$31),1,0),IF(AND(P8&gt;=Inputs!$F$28,P8&lt;=Inputs!$F$29),1,0))</f>
        <v/>
      </c>
      <c r="Q47" s="14">
        <f>IF(Inputs!$F$216=1,IF(AND(Q8&gt;=Inputs!$F$30,Q8&lt;=Inputs!$F$31),1,0),IF(AND(Q8&gt;=Inputs!$F$28,Q8&lt;=Inputs!$F$29),1,0))</f>
        <v/>
      </c>
      <c r="R47" s="14">
        <f>IF(Inputs!$F$216=1,IF(AND(R8&gt;=Inputs!$F$30,R8&lt;=Inputs!$F$31),1,0),IF(AND(R8&gt;=Inputs!$F$28,R8&lt;=Inputs!$F$29),1,0))</f>
        <v/>
      </c>
      <c r="S47" s="14">
        <f>IF(Inputs!$F$216=1,IF(AND(S8&gt;=Inputs!$F$30,S8&lt;=Inputs!$F$31),1,0),IF(AND(S8&gt;=Inputs!$F$28,S8&lt;=Inputs!$F$29),1,0))</f>
        <v/>
      </c>
      <c r="T47" s="14">
        <f>IF(Inputs!$F$216=1,IF(AND(T8&gt;=Inputs!$F$30,T8&lt;=Inputs!$F$31),1,0),IF(AND(T8&gt;=Inputs!$F$28,T8&lt;=Inputs!$F$29),1,0))</f>
        <v/>
      </c>
      <c r="U47" s="14">
        <f>IF(Inputs!$F$216=1,IF(AND(U8&gt;=Inputs!$F$30,U8&lt;=Inputs!$F$31),1,0),IF(AND(U8&gt;=Inputs!$F$28,U8&lt;=Inputs!$F$29),1,0))</f>
        <v/>
      </c>
      <c r="V47" s="14">
        <f>IF(Inputs!$F$216=1,IF(AND(V8&gt;=Inputs!$F$30,V8&lt;=Inputs!$F$31),1,0),IF(AND(V8&gt;=Inputs!$F$28,V8&lt;=Inputs!$F$29),1,0))</f>
        <v/>
      </c>
      <c r="W47" s="14">
        <f>IF(Inputs!$F$216=1,IF(AND(W8&gt;=Inputs!$F$30,W8&lt;=Inputs!$F$31),1,0),IF(AND(W8&gt;=Inputs!$F$28,W8&lt;=Inputs!$F$29),1,0))</f>
        <v/>
      </c>
      <c r="X47" s="14">
        <f>IF(Inputs!$F$216=1,IF(AND(X8&gt;=Inputs!$F$30,X8&lt;=Inputs!$F$31),1,0),IF(AND(X8&gt;=Inputs!$F$28,X8&lt;=Inputs!$F$29),1,0))</f>
        <v/>
      </c>
      <c r="Y47" s="14">
        <f>IF(Inputs!$F$216=1,IF(AND(Y8&gt;=Inputs!$F$30,Y8&lt;=Inputs!$F$31),1,0),IF(AND(Y8&gt;=Inputs!$F$28,Y8&lt;=Inputs!$F$29),1,0))</f>
        <v/>
      </c>
      <c r="Z47" s="14">
        <f>IF(Inputs!$F$216=1,IF(AND(Z8&gt;=Inputs!$F$30,Z8&lt;=Inputs!$F$31),1,0),IF(AND(Z8&gt;=Inputs!$F$28,Z8&lt;=Inputs!$F$29),1,0))</f>
        <v/>
      </c>
      <c r="AA47" s="14">
        <f>IF(Inputs!$F$216=1,IF(AND(AA8&gt;=Inputs!$F$30,AA8&lt;=Inputs!$F$31),1,0),IF(AND(AA8&gt;=Inputs!$F$28,AA8&lt;=Inputs!$F$29),1,0))</f>
        <v/>
      </c>
      <c r="AB47" s="14">
        <f>IF(Inputs!$F$216=1,IF(AND(AB8&gt;=Inputs!$F$30,AB8&lt;=Inputs!$F$31),1,0),IF(AND(AB8&gt;=Inputs!$F$28,AB8&lt;=Inputs!$F$29),1,0))</f>
        <v/>
      </c>
      <c r="AC47" s="14">
        <f>IF(Inputs!$F$216=1,IF(AND(AC8&gt;=Inputs!$F$30,AC8&lt;=Inputs!$F$31),1,0),IF(AND(AC8&gt;=Inputs!$F$28,AC8&lt;=Inputs!$F$29),1,0))</f>
        <v/>
      </c>
      <c r="AD47" s="14">
        <f>IF(Inputs!$F$216=1,IF(AND(AD8&gt;=Inputs!$F$30,AD8&lt;=Inputs!$F$31),1,0),IF(AND(AD8&gt;=Inputs!$F$28,AD8&lt;=Inputs!$F$29),1,0))</f>
        <v/>
      </c>
      <c r="AE47" s="14">
        <f>IF(Inputs!$F$216=1,IF(AND(AE8&gt;=Inputs!$F$30,AE8&lt;=Inputs!$F$31),1,0),IF(AND(AE8&gt;=Inputs!$F$28,AE8&lt;=Inputs!$F$29),1,0))</f>
        <v/>
      </c>
      <c r="AF47" s="14">
        <f>IF(Inputs!$F$216=1,IF(AND(AF8&gt;=Inputs!$F$30,AF8&lt;=Inputs!$F$31),1,0),IF(AND(AF8&gt;=Inputs!$F$28,AF8&lt;=Inputs!$F$29),1,0))</f>
        <v/>
      </c>
      <c r="AG47" s="14">
        <f>IF(Inputs!$F$216=1,IF(AND(AG8&gt;=Inputs!$F$30,AG8&lt;=Inputs!$F$31),1,0),IF(AND(AG8&gt;=Inputs!$F$28,AG8&lt;=Inputs!$F$29),1,0))</f>
        <v/>
      </c>
      <c r="AH47" s="14">
        <f>IF(Inputs!$F$216=1,IF(AND(AH8&gt;=Inputs!$F$30,AH8&lt;=Inputs!$F$31),1,0),IF(AND(AH8&gt;=Inputs!$F$28,AH8&lt;=Inputs!$F$29),1,0))</f>
        <v/>
      </c>
      <c r="AI47" s="14">
        <f>IF(Inputs!$F$216=1,IF(AND(AI8&gt;=Inputs!$F$30,AI8&lt;=Inputs!$F$31),1,0),IF(AND(AI8&gt;=Inputs!$F$28,AI8&lt;=Inputs!$F$29),1,0))</f>
        <v/>
      </c>
      <c r="AJ47" s="14">
        <f>IF(Inputs!$F$216=1,IF(AND(AJ8&gt;=Inputs!$F$30,AJ8&lt;=Inputs!$F$31),1,0),IF(AND(AJ8&gt;=Inputs!$F$28,AJ8&lt;=Inputs!$F$29),1,0))</f>
        <v/>
      </c>
      <c r="AK47" s="14">
        <f>IF(Inputs!$F$216=1,IF(AND(AK8&gt;=Inputs!$F$30,AK8&lt;=Inputs!$F$31),1,0),IF(AND(AK8&gt;=Inputs!$F$28,AK8&lt;=Inputs!$F$29),1,0))</f>
        <v/>
      </c>
      <c r="AL47" s="14">
        <f>IF(Inputs!$F$216=1,IF(AND(AL8&gt;=Inputs!$F$30,AL8&lt;=Inputs!$F$31),1,0),IF(AND(AL8&gt;=Inputs!$F$28,AL8&lt;=Inputs!$F$29),1,0))</f>
        <v/>
      </c>
      <c r="AM47" s="14">
        <f>IF(Inputs!$F$216=1,IF(AND(AM8&gt;=Inputs!$F$30,AM8&lt;=Inputs!$F$31),1,0),IF(AND(AM8&gt;=Inputs!$F$28,AM8&lt;=Inputs!$F$29),1,0))</f>
        <v/>
      </c>
      <c r="AN47" s="14">
        <f>IF(Inputs!$F$216=1,IF(AND(AN8&gt;=Inputs!$F$30,AN8&lt;=Inputs!$F$31),1,0),IF(AND(AN8&gt;=Inputs!$F$28,AN8&lt;=Inputs!$F$29),1,0))</f>
        <v/>
      </c>
      <c r="AO47" s="14">
        <f>IF(Inputs!$F$216=1,IF(AND(AO8&gt;=Inputs!$F$30,AO8&lt;=Inputs!$F$31),1,0),IF(AND(AO8&gt;=Inputs!$F$28,AO8&lt;=Inputs!$F$29),1,0))</f>
        <v/>
      </c>
      <c r="AP47" s="14">
        <f>IF(Inputs!$F$216=1,IF(AND(AP8&gt;=Inputs!$F$30,AP8&lt;=Inputs!$F$31),1,0),IF(AND(AP8&gt;=Inputs!$F$28,AP8&lt;=Inputs!$F$29),1,0))</f>
        <v/>
      </c>
      <c r="AQ47" s="14">
        <f>IF(Inputs!$F$216=1,IF(AND(AQ8&gt;=Inputs!$F$30,AQ8&lt;=Inputs!$F$31),1,0),IF(AND(AQ8&gt;=Inputs!$F$28,AQ8&lt;=Inputs!$F$29),1,0))</f>
        <v/>
      </c>
      <c r="AR47" s="14">
        <f>IF(Inputs!$F$216=1,IF(AND(AR8&gt;=Inputs!$F$30,AR8&lt;=Inputs!$F$31),1,0),IF(AND(AR8&gt;=Inputs!$F$28,AR8&lt;=Inputs!$F$29),1,0))</f>
        <v/>
      </c>
      <c r="AS47" s="14">
        <f>IF(Inputs!$F$216=1,IF(AND(AS8&gt;=Inputs!$F$30,AS8&lt;=Inputs!$F$31),1,0),IF(AND(AS8&gt;=Inputs!$F$28,AS8&lt;=Inputs!$F$29),1,0))</f>
        <v/>
      </c>
      <c r="AT47" s="14">
        <f>IF(Inputs!$F$216=1,IF(AND(AT8&gt;=Inputs!$F$30,AT8&lt;=Inputs!$F$31),1,0),IF(AND(AT8&gt;=Inputs!$F$28,AT8&lt;=Inputs!$F$29),1,0))</f>
        <v/>
      </c>
      <c r="AU47" s="14">
        <f>IF(Inputs!$F$216=1,IF(AND(AU8&gt;=Inputs!$F$30,AU8&lt;=Inputs!$F$31),1,0),IF(AND(AU8&gt;=Inputs!$F$28,AU8&lt;=Inputs!$F$29),1,0))</f>
        <v/>
      </c>
      <c r="AV47" s="14">
        <f>IF(Inputs!$F$216=1,IF(AND(AV8&gt;=Inputs!$F$30,AV8&lt;=Inputs!$F$31),1,0),IF(AND(AV8&gt;=Inputs!$F$28,AV8&lt;=Inputs!$F$29),1,0))</f>
        <v/>
      </c>
      <c r="AW47" s="14">
        <f>IF(Inputs!$F$216=1,IF(AND(AW8&gt;=Inputs!$F$30,AW8&lt;=Inputs!$F$31),1,0),IF(AND(AW8&gt;=Inputs!$F$28,AW8&lt;=Inputs!$F$29),1,0))</f>
        <v/>
      </c>
      <c r="AX47" s="14">
        <f>IF(Inputs!$F$216=1,IF(AND(AX8&gt;=Inputs!$F$30,AX8&lt;=Inputs!$F$31),1,0),IF(AND(AX8&gt;=Inputs!$F$28,AX8&lt;=Inputs!$F$29),1,0))</f>
        <v/>
      </c>
      <c r="AY47" s="14">
        <f>IF(Inputs!$F$216=1,IF(AND(AY8&gt;=Inputs!$F$30,AY8&lt;=Inputs!$F$31),1,0),IF(AND(AY8&gt;=Inputs!$F$28,AY8&lt;=Inputs!$F$29),1,0))</f>
        <v/>
      </c>
      <c r="AZ47" s="14">
        <f>IF(Inputs!$F$216=1,IF(AND(AZ8&gt;=Inputs!$F$30,AZ8&lt;=Inputs!$F$31),1,0),IF(AND(AZ8&gt;=Inputs!$F$28,AZ8&lt;=Inputs!$F$29),1,0))</f>
        <v/>
      </c>
      <c r="BA47" s="14">
        <f>IF(Inputs!$F$216=1,IF(AND(BA8&gt;=Inputs!$F$30,BA8&lt;=Inputs!$F$31),1,0),IF(AND(BA8&gt;=Inputs!$F$28,BA8&lt;=Inputs!$F$29),1,0))</f>
        <v/>
      </c>
      <c r="BB47" s="14">
        <f>IF(Inputs!$F$216=1,IF(AND(BB8&gt;=Inputs!$F$30,BB8&lt;=Inputs!$F$31),1,0),IF(AND(BB8&gt;=Inputs!$F$28,BB8&lt;=Inputs!$F$29),1,0))</f>
        <v/>
      </c>
      <c r="BC47" s="14">
        <f>IF(Inputs!$F$216=1,IF(AND(BC8&gt;=Inputs!$F$30,BC8&lt;=Inputs!$F$31),1,0),IF(AND(BC8&gt;=Inputs!$F$28,BC8&lt;=Inputs!$F$29),1,0))</f>
        <v/>
      </c>
      <c r="BD47" s="14">
        <f>IF(Inputs!$F$216=1,IF(AND(BD8&gt;=Inputs!$F$30,BD8&lt;=Inputs!$F$31),1,0),IF(AND(BD8&gt;=Inputs!$F$28,BD8&lt;=Inputs!$F$29),1,0))</f>
        <v/>
      </c>
      <c r="BE47" s="14">
        <f>IF(Inputs!$F$216=1,IF(AND(BE8&gt;=Inputs!$F$30,BE8&lt;=Inputs!$F$31),1,0),IF(AND(BE8&gt;=Inputs!$F$28,BE8&lt;=Inputs!$F$29),1,0))</f>
        <v/>
      </c>
      <c r="BF47" s="14">
        <f>IF(Inputs!$F$216=1,IF(AND(BF8&gt;=Inputs!$F$30,BF8&lt;=Inputs!$F$31),1,0),IF(AND(BF8&gt;=Inputs!$F$28,BF8&lt;=Inputs!$F$29),1,0))</f>
        <v/>
      </c>
      <c r="BG47" s="14">
        <f>IF(Inputs!$F$216=1,IF(AND(BG8&gt;=Inputs!$F$30,BG8&lt;=Inputs!$F$31),1,0),IF(AND(BG8&gt;=Inputs!$F$28,BG8&lt;=Inputs!$F$29),1,0))</f>
        <v/>
      </c>
      <c r="BH47" s="14">
        <f>IF(Inputs!$F$216=1,IF(AND(BH8&gt;=Inputs!$F$30,BH8&lt;=Inputs!$F$31),1,0),IF(AND(BH8&gt;=Inputs!$F$28,BH8&lt;=Inputs!$F$29),1,0))</f>
        <v/>
      </c>
      <c r="BI47" s="14">
        <f>IF(Inputs!$F$216=1,IF(AND(BI8&gt;=Inputs!$F$30,BI8&lt;=Inputs!$F$31),1,0),IF(AND(BI8&gt;=Inputs!$F$28,BI8&lt;=Inputs!$F$29),1,0))</f>
        <v/>
      </c>
      <c r="BJ47" s="14">
        <f>IF(Inputs!$F$216=1,IF(AND(BJ8&gt;=Inputs!$F$30,BJ8&lt;=Inputs!$F$31),1,0),IF(AND(BJ8&gt;=Inputs!$F$28,BJ8&lt;=Inputs!$F$29),1,0))</f>
        <v/>
      </c>
      <c r="BK47" s="14">
        <f>IF(Inputs!$F$216=1,IF(AND(BK8&gt;=Inputs!$F$30,BK8&lt;=Inputs!$F$31),1,0),IF(AND(BK8&gt;=Inputs!$F$28,BK8&lt;=Inputs!$F$29),1,0))</f>
        <v/>
      </c>
      <c r="BL47" s="14">
        <f>IF(Inputs!$F$216=1,IF(AND(BL8&gt;=Inputs!$F$30,BL8&lt;=Inputs!$F$31),1,0),IF(AND(BL8&gt;=Inputs!$F$28,BL8&lt;=Inputs!$F$29),1,0))</f>
        <v/>
      </c>
      <c r="BM47" s="14">
        <f>IF(Inputs!$F$216=1,IF(AND(BM8&gt;=Inputs!$F$30,BM8&lt;=Inputs!$F$31),1,0),IF(AND(BM8&gt;=Inputs!$F$28,BM8&lt;=Inputs!$F$29),1,0))</f>
        <v/>
      </c>
      <c r="BN47" s="14">
        <f>IF(Inputs!$F$216=1,IF(AND(BN8&gt;=Inputs!$F$30,BN8&lt;=Inputs!$F$31),1,0),IF(AND(BN8&gt;=Inputs!$F$28,BN8&lt;=Inputs!$F$29),1,0))</f>
        <v/>
      </c>
      <c r="BO47" s="14">
        <f>IF(Inputs!$F$216=1,IF(AND(BO8&gt;=Inputs!$F$30,BO8&lt;=Inputs!$F$31),1,0),IF(AND(BO8&gt;=Inputs!$F$28,BO8&lt;=Inputs!$F$29),1,0))</f>
        <v/>
      </c>
      <c r="BP47" s="14">
        <f>IF(Inputs!$F$216=1,IF(AND(BP8&gt;=Inputs!$F$30,BP8&lt;=Inputs!$F$31),1,0),IF(AND(BP8&gt;=Inputs!$F$28,BP8&lt;=Inputs!$F$29),1,0))</f>
        <v/>
      </c>
      <c r="BQ47" s="14">
        <f>IF(Inputs!$F$216=1,IF(AND(BQ8&gt;=Inputs!$F$30,BQ8&lt;=Inputs!$F$31),1,0),IF(AND(BQ8&gt;=Inputs!$F$28,BQ8&lt;=Inputs!$F$29),1,0))</f>
        <v/>
      </c>
      <c r="BR47" s="14">
        <f>IF(Inputs!$F$216=1,IF(AND(BR8&gt;=Inputs!$F$30,BR8&lt;=Inputs!$F$31),1,0),IF(AND(BR8&gt;=Inputs!$F$28,BR8&lt;=Inputs!$F$29),1,0))</f>
        <v/>
      </c>
      <c r="BS47" s="14">
        <f>IF(Inputs!$F$216=1,IF(AND(BS8&gt;=Inputs!$F$30,BS8&lt;=Inputs!$F$31),1,0),IF(AND(BS8&gt;=Inputs!$F$28,BS8&lt;=Inputs!$F$29),1,0))</f>
        <v/>
      </c>
      <c r="BT47" s="14">
        <f>IF(Inputs!$F$216=1,IF(AND(BT8&gt;=Inputs!$F$30,BT8&lt;=Inputs!$F$31),1,0),IF(AND(BT8&gt;=Inputs!$F$28,BT8&lt;=Inputs!$F$29),1,0))</f>
        <v/>
      </c>
      <c r="BU47" s="14">
        <f>IF(Inputs!$F$216=1,IF(AND(BU8&gt;=Inputs!$F$30,BU8&lt;=Inputs!$F$31),1,0),IF(AND(BU8&gt;=Inputs!$F$28,BU8&lt;=Inputs!$F$29),1,0))</f>
        <v/>
      </c>
      <c r="BV47" s="14">
        <f>IF(Inputs!$F$216=1,IF(AND(BV8&gt;=Inputs!$F$30,BV8&lt;=Inputs!$F$31),1,0),IF(AND(BV8&gt;=Inputs!$F$28,BV8&lt;=Inputs!$F$29),1,0))</f>
        <v/>
      </c>
      <c r="BW47" s="14">
        <f>IF(Inputs!$F$216=1,IF(AND(BW8&gt;=Inputs!$F$30,BW8&lt;=Inputs!$F$31),1,0),IF(AND(BW8&gt;=Inputs!$F$28,BW8&lt;=Inputs!$F$29),1,0))</f>
        <v/>
      </c>
      <c r="BX47" s="14">
        <f>IF(Inputs!$F$216=1,IF(AND(BX8&gt;=Inputs!$F$30,BX8&lt;=Inputs!$F$31),1,0),IF(AND(BX8&gt;=Inputs!$F$28,BX8&lt;=Inputs!$F$29),1,0))</f>
        <v/>
      </c>
      <c r="BY47" s="14">
        <f>IF(Inputs!$F$216=1,IF(AND(BY8&gt;=Inputs!$F$30,BY8&lt;=Inputs!$F$31),1,0),IF(AND(BY8&gt;=Inputs!$F$28,BY8&lt;=Inputs!$F$29),1,0))</f>
        <v/>
      </c>
      <c r="BZ47" s="14">
        <f>IF(Inputs!$F$216=1,IF(AND(BZ8&gt;=Inputs!$F$30,BZ8&lt;=Inputs!$F$31),1,0),IF(AND(BZ8&gt;=Inputs!$F$28,BZ8&lt;=Inputs!$F$29),1,0))</f>
        <v/>
      </c>
      <c r="CA47" s="14">
        <f>IF(Inputs!$F$216=1,IF(AND(CA8&gt;=Inputs!$F$30,CA8&lt;=Inputs!$F$31),1,0),IF(AND(CA8&gt;=Inputs!$F$28,CA8&lt;=Inputs!$F$29),1,0))</f>
        <v/>
      </c>
      <c r="CB47" s="14">
        <f>IF(Inputs!$F$216=1,IF(AND(CB8&gt;=Inputs!$F$30,CB8&lt;=Inputs!$F$31),1,0),IF(AND(CB8&gt;=Inputs!$F$28,CB8&lt;=Inputs!$F$29),1,0))</f>
        <v/>
      </c>
      <c r="CC47" s="14">
        <f>IF(Inputs!$F$216=1,IF(AND(CC8&gt;=Inputs!$F$30,CC8&lt;=Inputs!$F$31),1,0),IF(AND(CC8&gt;=Inputs!$F$28,CC8&lt;=Inputs!$F$29),1,0))</f>
        <v/>
      </c>
      <c r="CD47" s="14">
        <f>IF(Inputs!$F$216=1,IF(AND(CD8&gt;=Inputs!$F$30,CD8&lt;=Inputs!$F$31),1,0),IF(AND(CD8&gt;=Inputs!$F$28,CD8&lt;=Inputs!$F$29),1,0))</f>
        <v/>
      </c>
      <c r="CE47" s="14">
        <f>IF(Inputs!$F$216=1,IF(AND(CE8&gt;=Inputs!$F$30,CE8&lt;=Inputs!$F$31),1,0),IF(AND(CE8&gt;=Inputs!$F$28,CE8&lt;=Inputs!$F$29),1,0))</f>
        <v/>
      </c>
      <c r="CF47" s="14">
        <f>IF(Inputs!$F$216=1,IF(AND(CF8&gt;=Inputs!$F$30,CF8&lt;=Inputs!$F$31),1,0),IF(AND(CF8&gt;=Inputs!$F$28,CF8&lt;=Inputs!$F$29),1,0))</f>
        <v/>
      </c>
      <c r="CG47" s="14">
        <f>IF(Inputs!$F$216=1,IF(AND(CG8&gt;=Inputs!$F$30,CG8&lt;=Inputs!$F$31),1,0),IF(AND(CG8&gt;=Inputs!$F$28,CG8&lt;=Inputs!$F$29),1,0))</f>
        <v/>
      </c>
      <c r="CH47" s="14">
        <f>IF(Inputs!$F$216=1,IF(AND(CH8&gt;=Inputs!$F$30,CH8&lt;=Inputs!$F$31),1,0),IF(AND(CH8&gt;=Inputs!$F$28,CH8&lt;=Inputs!$F$29),1,0))</f>
        <v/>
      </c>
      <c r="CI47" s="14">
        <f>IF(Inputs!$F$216=1,IF(AND(CI8&gt;=Inputs!$F$30,CI8&lt;=Inputs!$F$31),1,0),IF(AND(CI8&gt;=Inputs!$F$28,CI8&lt;=Inputs!$F$29),1,0))</f>
        <v/>
      </c>
      <c r="CJ47" s="14">
        <f>IF(Inputs!$F$216=1,IF(AND(CJ8&gt;=Inputs!$F$30,CJ8&lt;=Inputs!$F$31),1,0),IF(AND(CJ8&gt;=Inputs!$F$28,CJ8&lt;=Inputs!$F$29),1,0))</f>
        <v/>
      </c>
      <c r="CK47" s="14">
        <f>IF(Inputs!$F$216=1,IF(AND(CK8&gt;=Inputs!$F$30,CK8&lt;=Inputs!$F$31),1,0),IF(AND(CK8&gt;=Inputs!$F$28,CK8&lt;=Inputs!$F$29),1,0))</f>
        <v/>
      </c>
      <c r="CL47" s="14">
        <f>IF(Inputs!$F$216=1,IF(AND(CL8&gt;=Inputs!$F$30,CL8&lt;=Inputs!$F$31),1,0),IF(AND(CL8&gt;=Inputs!$F$28,CL8&lt;=Inputs!$F$29),1,0))</f>
        <v/>
      </c>
      <c r="CM47" s="14">
        <f>IF(Inputs!$F$216=1,IF(AND(CM8&gt;=Inputs!$F$30,CM8&lt;=Inputs!$F$31),1,0),IF(AND(CM8&gt;=Inputs!$F$28,CM8&lt;=Inputs!$F$29),1,0))</f>
        <v/>
      </c>
      <c r="CN47" s="14">
        <f>IF(Inputs!$F$216=1,IF(AND(CN8&gt;=Inputs!$F$30,CN8&lt;=Inputs!$F$31),1,0),IF(AND(CN8&gt;=Inputs!$F$28,CN8&lt;=Inputs!$F$29),1,0))</f>
        <v/>
      </c>
      <c r="CO47" s="14">
        <f>IF(Inputs!$F$216=1,IF(AND(CO8&gt;=Inputs!$F$30,CO8&lt;=Inputs!$F$31),1,0),IF(AND(CO8&gt;=Inputs!$F$28,CO8&lt;=Inputs!$F$29),1,0))</f>
        <v/>
      </c>
      <c r="CP47" s="14">
        <f>IF(Inputs!$F$216=1,IF(AND(CP8&gt;=Inputs!$F$30,CP8&lt;=Inputs!$F$31),1,0),IF(AND(CP8&gt;=Inputs!$F$28,CP8&lt;=Inputs!$F$29),1,0))</f>
        <v/>
      </c>
      <c r="CQ47" s="14">
        <f>IF(Inputs!$F$216=1,IF(AND(CQ8&gt;=Inputs!$F$30,CQ8&lt;=Inputs!$F$31),1,0),IF(AND(CQ8&gt;=Inputs!$F$28,CQ8&lt;=Inputs!$F$29),1,0))</f>
        <v/>
      </c>
      <c r="CR47" s="14">
        <f>IF(Inputs!$F$216=1,IF(AND(CR8&gt;=Inputs!$F$30,CR8&lt;=Inputs!$F$31),1,0),IF(AND(CR8&gt;=Inputs!$F$28,CR8&lt;=Inputs!$F$29),1,0))</f>
        <v/>
      </c>
      <c r="CS47" s="14">
        <f>IF(Inputs!$F$216=1,IF(AND(CS8&gt;=Inputs!$F$30,CS8&lt;=Inputs!$F$31),1,0),IF(AND(CS8&gt;=Inputs!$F$28,CS8&lt;=Inputs!$F$29),1,0))</f>
        <v/>
      </c>
      <c r="CT47" s="14">
        <f>IF(Inputs!$F$216=1,IF(AND(CT8&gt;=Inputs!$F$30,CT8&lt;=Inputs!$F$31),1,0),IF(AND(CT8&gt;=Inputs!$F$28,CT8&lt;=Inputs!$F$29),1,0))</f>
        <v/>
      </c>
      <c r="CU47" s="14">
        <f>IF(Inputs!$F$216=1,IF(AND(CU8&gt;=Inputs!$F$30,CU8&lt;=Inputs!$F$31),1,0),IF(AND(CU8&gt;=Inputs!$F$28,CU8&lt;=Inputs!$F$29),1,0))</f>
        <v/>
      </c>
      <c r="CV47" s="14">
        <f>IF(Inputs!$F$216=1,IF(AND(CV8&gt;=Inputs!$F$30,CV8&lt;=Inputs!$F$31),1,0),IF(AND(CV8&gt;=Inputs!$F$28,CV8&lt;=Inputs!$F$29),1,0))</f>
        <v/>
      </c>
      <c r="CW47" s="14">
        <f>IF(Inputs!$F$216=1,IF(AND(CW8&gt;=Inputs!$F$30,CW8&lt;=Inputs!$F$31),1,0),IF(AND(CW8&gt;=Inputs!$F$28,CW8&lt;=Inputs!$F$29),1,0))</f>
        <v/>
      </c>
      <c r="CX47" s="14">
        <f>IF(Inputs!$F$216=1,IF(AND(CX8&gt;=Inputs!$F$30,CX8&lt;=Inputs!$F$31),1,0),IF(AND(CX8&gt;=Inputs!$F$28,CX8&lt;=Inputs!$F$29),1,0))</f>
        <v/>
      </c>
      <c r="CY47" s="14">
        <f>IF(Inputs!$F$216=1,IF(AND(CY8&gt;=Inputs!$F$30,CY8&lt;=Inputs!$F$31),1,0),IF(AND(CY8&gt;=Inputs!$F$28,CY8&lt;=Inputs!$F$29),1,0))</f>
        <v/>
      </c>
      <c r="CZ47" s="14">
        <f>IF(Inputs!$F$216=1,IF(AND(CZ8&gt;=Inputs!$F$30,CZ8&lt;=Inputs!$F$31),1,0),IF(AND(CZ8&gt;=Inputs!$F$28,CZ8&lt;=Inputs!$F$29),1,0))</f>
        <v/>
      </c>
      <c r="DA47" s="14">
        <f>IF(Inputs!$F$216=1,IF(AND(DA8&gt;=Inputs!$F$30,DA8&lt;=Inputs!$F$31),1,0),IF(AND(DA8&gt;=Inputs!$F$28,DA8&lt;=Inputs!$F$29),1,0))</f>
        <v/>
      </c>
      <c r="DB47" s="14">
        <f>IF(Inputs!$F$216=1,IF(AND(DB8&gt;=Inputs!$F$30,DB8&lt;=Inputs!$F$31),1,0),IF(AND(DB8&gt;=Inputs!$F$28,DB8&lt;=Inputs!$F$29),1,0))</f>
        <v/>
      </c>
    </row>
    <row r="48">
      <c r="D48" t="inlineStr">
        <is>
          <t>Flag_NILOFirstRepayment</t>
        </is>
      </c>
      <c r="E48" t="inlineStr">
        <is>
          <t>flag</t>
        </is>
      </c>
      <c r="J48" s="14">
        <f>IF(AND(J47=1,I47=0),1,0)</f>
        <v/>
      </c>
      <c r="K48" s="14">
        <f>IF(AND(K47=1,J47=0),1,0)</f>
        <v/>
      </c>
      <c r="L48" s="14">
        <f>IF(AND(L47=1,K47=0),1,0)</f>
        <v/>
      </c>
      <c r="M48" s="14">
        <f>IF(AND(M47=1,L47=0),1,0)</f>
        <v/>
      </c>
      <c r="N48" s="14">
        <f>IF(AND(N47=1,M47=0),1,0)</f>
        <v/>
      </c>
      <c r="O48" s="14">
        <f>IF(AND(O47=1,N47=0),1,0)</f>
        <v/>
      </c>
      <c r="P48" s="14">
        <f>IF(AND(P47=1,O47=0),1,0)</f>
        <v/>
      </c>
      <c r="Q48" s="14">
        <f>IF(AND(Q47=1,P47=0),1,0)</f>
        <v/>
      </c>
      <c r="R48" s="14">
        <f>IF(AND(R47=1,Q47=0),1,0)</f>
        <v/>
      </c>
      <c r="S48" s="14">
        <f>IF(AND(S47=1,R47=0),1,0)</f>
        <v/>
      </c>
      <c r="T48" s="14">
        <f>IF(AND(T47=1,S47=0),1,0)</f>
        <v/>
      </c>
      <c r="U48" s="14">
        <f>IF(AND(U47=1,T47=0),1,0)</f>
        <v/>
      </c>
      <c r="V48" s="14">
        <f>IF(AND(V47=1,U47=0),1,0)</f>
        <v/>
      </c>
      <c r="W48" s="14">
        <f>IF(AND(W47=1,V47=0),1,0)</f>
        <v/>
      </c>
      <c r="X48" s="14">
        <f>IF(AND(X47=1,W47=0),1,0)</f>
        <v/>
      </c>
      <c r="Y48" s="14">
        <f>IF(AND(Y47=1,X47=0),1,0)</f>
        <v/>
      </c>
      <c r="Z48" s="14">
        <f>IF(AND(Z47=1,Y47=0),1,0)</f>
        <v/>
      </c>
      <c r="AA48" s="14">
        <f>IF(AND(AA47=1,Z47=0),1,0)</f>
        <v/>
      </c>
      <c r="AB48" s="14">
        <f>IF(AND(AB47=1,AA47=0),1,0)</f>
        <v/>
      </c>
      <c r="AC48" s="14">
        <f>IF(AND(AC47=1,AB47=0),1,0)</f>
        <v/>
      </c>
      <c r="AD48" s="14">
        <f>IF(AND(AD47=1,AC47=0),1,0)</f>
        <v/>
      </c>
      <c r="AE48" s="14">
        <f>IF(AND(AE47=1,AD47=0),1,0)</f>
        <v/>
      </c>
      <c r="AF48" s="14">
        <f>IF(AND(AF47=1,AE47=0),1,0)</f>
        <v/>
      </c>
      <c r="AG48" s="14">
        <f>IF(AND(AG47=1,AF47=0),1,0)</f>
        <v/>
      </c>
      <c r="AH48" s="14">
        <f>IF(AND(AH47=1,AG47=0),1,0)</f>
        <v/>
      </c>
      <c r="AI48" s="14">
        <f>IF(AND(AI47=1,AH47=0),1,0)</f>
        <v/>
      </c>
      <c r="AJ48" s="14">
        <f>IF(AND(AJ47=1,AI47=0),1,0)</f>
        <v/>
      </c>
      <c r="AK48" s="14">
        <f>IF(AND(AK47=1,AJ47=0),1,0)</f>
        <v/>
      </c>
      <c r="AL48" s="14">
        <f>IF(AND(AL47=1,AK47=0),1,0)</f>
        <v/>
      </c>
      <c r="AM48" s="14">
        <f>IF(AND(AM47=1,AL47=0),1,0)</f>
        <v/>
      </c>
      <c r="AN48" s="14">
        <f>IF(AND(AN47=1,AM47=0),1,0)</f>
        <v/>
      </c>
      <c r="AO48" s="14">
        <f>IF(AND(AO47=1,AN47=0),1,0)</f>
        <v/>
      </c>
      <c r="AP48" s="14">
        <f>IF(AND(AP47=1,AO47=0),1,0)</f>
        <v/>
      </c>
      <c r="AQ48" s="14">
        <f>IF(AND(AQ47=1,AP47=0),1,0)</f>
        <v/>
      </c>
      <c r="AR48" s="14">
        <f>IF(AND(AR47=1,AQ47=0),1,0)</f>
        <v/>
      </c>
      <c r="AS48" s="14">
        <f>IF(AND(AS47=1,AR47=0),1,0)</f>
        <v/>
      </c>
      <c r="AT48" s="14">
        <f>IF(AND(AT47=1,AS47=0),1,0)</f>
        <v/>
      </c>
      <c r="AU48" s="14">
        <f>IF(AND(AU47=1,AT47=0),1,0)</f>
        <v/>
      </c>
      <c r="AV48" s="14">
        <f>IF(AND(AV47=1,AU47=0),1,0)</f>
        <v/>
      </c>
      <c r="AW48" s="14">
        <f>IF(AND(AW47=1,AV47=0),1,0)</f>
        <v/>
      </c>
      <c r="AX48" s="14">
        <f>IF(AND(AX47=1,AW47=0),1,0)</f>
        <v/>
      </c>
      <c r="AY48" s="14">
        <f>IF(AND(AY47=1,AX47=0),1,0)</f>
        <v/>
      </c>
      <c r="AZ48" s="14">
        <f>IF(AND(AZ47=1,AY47=0),1,0)</f>
        <v/>
      </c>
      <c r="BA48" s="14">
        <f>IF(AND(BA47=1,AZ47=0),1,0)</f>
        <v/>
      </c>
      <c r="BB48" s="14">
        <f>IF(AND(BB47=1,BA47=0),1,0)</f>
        <v/>
      </c>
      <c r="BC48" s="14">
        <f>IF(AND(BC47=1,BB47=0),1,0)</f>
        <v/>
      </c>
      <c r="BD48" s="14">
        <f>IF(AND(BD47=1,BC47=0),1,0)</f>
        <v/>
      </c>
      <c r="BE48" s="14">
        <f>IF(AND(BE47=1,BD47=0),1,0)</f>
        <v/>
      </c>
      <c r="BF48" s="14">
        <f>IF(AND(BF47=1,BE47=0),1,0)</f>
        <v/>
      </c>
      <c r="BG48" s="14">
        <f>IF(AND(BG47=1,BF47=0),1,0)</f>
        <v/>
      </c>
      <c r="BH48" s="14">
        <f>IF(AND(BH47=1,BG47=0),1,0)</f>
        <v/>
      </c>
      <c r="BI48" s="14">
        <f>IF(AND(BI47=1,BH47=0),1,0)</f>
        <v/>
      </c>
      <c r="BJ48" s="14">
        <f>IF(AND(BJ47=1,BI47=0),1,0)</f>
        <v/>
      </c>
      <c r="BK48" s="14">
        <f>IF(AND(BK47=1,BJ47=0),1,0)</f>
        <v/>
      </c>
      <c r="BL48" s="14">
        <f>IF(AND(BL47=1,BK47=0),1,0)</f>
        <v/>
      </c>
      <c r="BM48" s="14">
        <f>IF(AND(BM47=1,BL47=0),1,0)</f>
        <v/>
      </c>
      <c r="BN48" s="14">
        <f>IF(AND(BN47=1,BM47=0),1,0)</f>
        <v/>
      </c>
      <c r="BO48" s="14">
        <f>IF(AND(BO47=1,BN47=0),1,0)</f>
        <v/>
      </c>
      <c r="BP48" s="14">
        <f>IF(AND(BP47=1,BO47=0),1,0)</f>
        <v/>
      </c>
      <c r="BQ48" s="14">
        <f>IF(AND(BQ47=1,BP47=0),1,0)</f>
        <v/>
      </c>
      <c r="BR48" s="14">
        <f>IF(AND(BR47=1,BQ47=0),1,0)</f>
        <v/>
      </c>
      <c r="BS48" s="14">
        <f>IF(AND(BS47=1,BR47=0),1,0)</f>
        <v/>
      </c>
      <c r="BT48" s="14">
        <f>IF(AND(BT47=1,BS47=0),1,0)</f>
        <v/>
      </c>
      <c r="BU48" s="14">
        <f>IF(AND(BU47=1,BT47=0),1,0)</f>
        <v/>
      </c>
      <c r="BV48" s="14">
        <f>IF(AND(BV47=1,BU47=0),1,0)</f>
        <v/>
      </c>
      <c r="BW48" s="14">
        <f>IF(AND(BW47=1,BV47=0),1,0)</f>
        <v/>
      </c>
      <c r="BX48" s="14">
        <f>IF(AND(BX47=1,BW47=0),1,0)</f>
        <v/>
      </c>
      <c r="BY48" s="14">
        <f>IF(AND(BY47=1,BX47=0),1,0)</f>
        <v/>
      </c>
      <c r="BZ48" s="14">
        <f>IF(AND(BZ47=1,BY47=0),1,0)</f>
        <v/>
      </c>
      <c r="CA48" s="14">
        <f>IF(AND(CA47=1,BZ47=0),1,0)</f>
        <v/>
      </c>
      <c r="CB48" s="14">
        <f>IF(AND(CB47=1,CA47=0),1,0)</f>
        <v/>
      </c>
      <c r="CC48" s="14">
        <f>IF(AND(CC47=1,CB47=0),1,0)</f>
        <v/>
      </c>
      <c r="CD48" s="14">
        <f>IF(AND(CD47=1,CC47=0),1,0)</f>
        <v/>
      </c>
      <c r="CE48" s="14">
        <f>IF(AND(CE47=1,CD47=0),1,0)</f>
        <v/>
      </c>
      <c r="CF48" s="14">
        <f>IF(AND(CF47=1,CE47=0),1,0)</f>
        <v/>
      </c>
      <c r="CG48" s="14">
        <f>IF(AND(CG47=1,CF47=0),1,0)</f>
        <v/>
      </c>
      <c r="CH48" s="14">
        <f>IF(AND(CH47=1,CG47=0),1,0)</f>
        <v/>
      </c>
      <c r="CI48" s="14">
        <f>IF(AND(CI47=1,CH47=0),1,0)</f>
        <v/>
      </c>
      <c r="CJ48" s="14">
        <f>IF(AND(CJ47=1,CI47=0),1,0)</f>
        <v/>
      </c>
      <c r="CK48" s="14">
        <f>IF(AND(CK47=1,CJ47=0),1,0)</f>
        <v/>
      </c>
      <c r="CL48" s="14">
        <f>IF(AND(CL47=1,CK47=0),1,0)</f>
        <v/>
      </c>
      <c r="CM48" s="14">
        <f>IF(AND(CM47=1,CL47=0),1,0)</f>
        <v/>
      </c>
      <c r="CN48" s="14">
        <f>IF(AND(CN47=1,CM47=0),1,0)</f>
        <v/>
      </c>
      <c r="CO48" s="14">
        <f>IF(AND(CO47=1,CN47=0),1,0)</f>
        <v/>
      </c>
      <c r="CP48" s="14">
        <f>IF(AND(CP47=1,CO47=0),1,0)</f>
        <v/>
      </c>
      <c r="CQ48" s="14">
        <f>IF(AND(CQ47=1,CP47=0),1,0)</f>
        <v/>
      </c>
      <c r="CR48" s="14">
        <f>IF(AND(CR47=1,CQ47=0),1,0)</f>
        <v/>
      </c>
      <c r="CS48" s="14">
        <f>IF(AND(CS47=1,CR47=0),1,0)</f>
        <v/>
      </c>
      <c r="CT48" s="14">
        <f>IF(AND(CT47=1,CS47=0),1,0)</f>
        <v/>
      </c>
      <c r="CU48" s="14">
        <f>IF(AND(CU47=1,CT47=0),1,0)</f>
        <v/>
      </c>
      <c r="CV48" s="14">
        <f>IF(AND(CV47=1,CU47=0),1,0)</f>
        <v/>
      </c>
      <c r="CW48" s="14">
        <f>IF(AND(CW47=1,CV47=0),1,0)</f>
        <v/>
      </c>
      <c r="CX48" s="14">
        <f>IF(AND(CX47=1,CW47=0),1,0)</f>
        <v/>
      </c>
      <c r="CY48" s="14">
        <f>IF(AND(CY47=1,CX47=0),1,0)</f>
        <v/>
      </c>
      <c r="CZ48" s="14">
        <f>IF(AND(CZ47=1,CY47=0),1,0)</f>
        <v/>
      </c>
      <c r="DA48" s="14">
        <f>IF(AND(DA47=1,CZ47=0),1,0)</f>
        <v/>
      </c>
      <c r="DB48" s="14">
        <f>IF(AND(DB47=1,DA47=0),1,0)</f>
        <v/>
      </c>
    </row>
    <row r="49">
      <c r="D49" t="inlineStr">
        <is>
          <t>Flag_NILOScheduleStart</t>
        </is>
      </c>
      <c r="E49" t="inlineStr">
        <is>
          <t>flag</t>
        </is>
      </c>
      <c r="J49" s="14">
        <f>IF(Inputs!$F$216=1,J36,J21)</f>
        <v/>
      </c>
      <c r="K49" s="14">
        <f>IF(Inputs!$F$216=1,K36,K21)</f>
        <v/>
      </c>
      <c r="L49" s="14">
        <f>IF(Inputs!$F$216=1,L36,L21)</f>
        <v/>
      </c>
      <c r="M49" s="14">
        <f>IF(Inputs!$F$216=1,M36,M21)</f>
        <v/>
      </c>
      <c r="N49" s="14">
        <f>IF(Inputs!$F$216=1,N36,N21)</f>
        <v/>
      </c>
      <c r="O49" s="14">
        <f>IF(Inputs!$F$216=1,O36,O21)</f>
        <v/>
      </c>
      <c r="P49" s="14">
        <f>IF(Inputs!$F$216=1,P36,P21)</f>
        <v/>
      </c>
      <c r="Q49" s="14">
        <f>IF(Inputs!$F$216=1,Q36,Q21)</f>
        <v/>
      </c>
      <c r="R49" s="14">
        <f>IF(Inputs!$F$216=1,R36,R21)</f>
        <v/>
      </c>
      <c r="S49" s="14">
        <f>IF(Inputs!$F$216=1,S36,S21)</f>
        <v/>
      </c>
      <c r="T49" s="14">
        <f>IF(Inputs!$F$216=1,T36,T21)</f>
        <v/>
      </c>
      <c r="U49" s="14">
        <f>IF(Inputs!$F$216=1,U36,U21)</f>
        <v/>
      </c>
      <c r="V49" s="14">
        <f>IF(Inputs!$F$216=1,V36,V21)</f>
        <v/>
      </c>
      <c r="W49" s="14">
        <f>IF(Inputs!$F$216=1,W36,W21)</f>
        <v/>
      </c>
      <c r="X49" s="14">
        <f>IF(Inputs!$F$216=1,X36,X21)</f>
        <v/>
      </c>
      <c r="Y49" s="14">
        <f>IF(Inputs!$F$216=1,Y36,Y21)</f>
        <v/>
      </c>
      <c r="Z49" s="14">
        <f>IF(Inputs!$F$216=1,Z36,Z21)</f>
        <v/>
      </c>
      <c r="AA49" s="14">
        <f>IF(Inputs!$F$216=1,AA36,AA21)</f>
        <v/>
      </c>
      <c r="AB49" s="14">
        <f>IF(Inputs!$F$216=1,AB36,AB21)</f>
        <v/>
      </c>
      <c r="AC49" s="14">
        <f>IF(Inputs!$F$216=1,AC36,AC21)</f>
        <v/>
      </c>
      <c r="AD49" s="14">
        <f>IF(Inputs!$F$216=1,AD36,AD21)</f>
        <v/>
      </c>
      <c r="AE49" s="14">
        <f>IF(Inputs!$F$216=1,AE36,AE21)</f>
        <v/>
      </c>
      <c r="AF49" s="14">
        <f>IF(Inputs!$F$216=1,AF36,AF21)</f>
        <v/>
      </c>
      <c r="AG49" s="14">
        <f>IF(Inputs!$F$216=1,AG36,AG21)</f>
        <v/>
      </c>
      <c r="AH49" s="14">
        <f>IF(Inputs!$F$216=1,AH36,AH21)</f>
        <v/>
      </c>
      <c r="AI49" s="14">
        <f>IF(Inputs!$F$216=1,AI36,AI21)</f>
        <v/>
      </c>
      <c r="AJ49" s="14">
        <f>IF(Inputs!$F$216=1,AJ36,AJ21)</f>
        <v/>
      </c>
      <c r="AK49" s="14">
        <f>IF(Inputs!$F$216=1,AK36,AK21)</f>
        <v/>
      </c>
      <c r="AL49" s="14">
        <f>IF(Inputs!$F$216=1,AL36,AL21)</f>
        <v/>
      </c>
      <c r="AM49" s="14">
        <f>IF(Inputs!$F$216=1,AM36,AM21)</f>
        <v/>
      </c>
      <c r="AN49" s="14">
        <f>IF(Inputs!$F$216=1,AN36,AN21)</f>
        <v/>
      </c>
      <c r="AO49" s="14">
        <f>IF(Inputs!$F$216=1,AO36,AO21)</f>
        <v/>
      </c>
      <c r="AP49" s="14">
        <f>IF(Inputs!$F$216=1,AP36,AP21)</f>
        <v/>
      </c>
      <c r="AQ49" s="14">
        <f>IF(Inputs!$F$216=1,AQ36,AQ21)</f>
        <v/>
      </c>
      <c r="AR49" s="14">
        <f>IF(Inputs!$F$216=1,AR36,AR21)</f>
        <v/>
      </c>
      <c r="AS49" s="14">
        <f>IF(Inputs!$F$216=1,AS36,AS21)</f>
        <v/>
      </c>
      <c r="AT49" s="14">
        <f>IF(Inputs!$F$216=1,AT36,AT21)</f>
        <v/>
      </c>
      <c r="AU49" s="14">
        <f>IF(Inputs!$F$216=1,AU36,AU21)</f>
        <v/>
      </c>
      <c r="AV49" s="14">
        <f>IF(Inputs!$F$216=1,AV36,AV21)</f>
        <v/>
      </c>
      <c r="AW49" s="14">
        <f>IF(Inputs!$F$216=1,AW36,AW21)</f>
        <v/>
      </c>
      <c r="AX49" s="14">
        <f>IF(Inputs!$F$216=1,AX36,AX21)</f>
        <v/>
      </c>
      <c r="AY49" s="14">
        <f>IF(Inputs!$F$216=1,AY36,AY21)</f>
        <v/>
      </c>
      <c r="AZ49" s="14">
        <f>IF(Inputs!$F$216=1,AZ36,AZ21)</f>
        <v/>
      </c>
      <c r="BA49" s="14">
        <f>IF(Inputs!$F$216=1,BA36,BA21)</f>
        <v/>
      </c>
      <c r="BB49" s="14">
        <f>IF(Inputs!$F$216=1,BB36,BB21)</f>
        <v/>
      </c>
      <c r="BC49" s="14">
        <f>IF(Inputs!$F$216=1,BC36,BC21)</f>
        <v/>
      </c>
      <c r="BD49" s="14">
        <f>IF(Inputs!$F$216=1,BD36,BD21)</f>
        <v/>
      </c>
      <c r="BE49" s="14">
        <f>IF(Inputs!$F$216=1,BE36,BE21)</f>
        <v/>
      </c>
      <c r="BF49" s="14">
        <f>IF(Inputs!$F$216=1,BF36,BF21)</f>
        <v/>
      </c>
      <c r="BG49" s="14">
        <f>IF(Inputs!$F$216=1,BG36,BG21)</f>
        <v/>
      </c>
      <c r="BH49" s="14">
        <f>IF(Inputs!$F$216=1,BH36,BH21)</f>
        <v/>
      </c>
      <c r="BI49" s="14">
        <f>IF(Inputs!$F$216=1,BI36,BI21)</f>
        <v/>
      </c>
      <c r="BJ49" s="14">
        <f>IF(Inputs!$F$216=1,BJ36,BJ21)</f>
        <v/>
      </c>
      <c r="BK49" s="14">
        <f>IF(Inputs!$F$216=1,BK36,BK21)</f>
        <v/>
      </c>
      <c r="BL49" s="14">
        <f>IF(Inputs!$F$216=1,BL36,BL21)</f>
        <v/>
      </c>
      <c r="BM49" s="14">
        <f>IF(Inputs!$F$216=1,BM36,BM21)</f>
        <v/>
      </c>
      <c r="BN49" s="14">
        <f>IF(Inputs!$F$216=1,BN36,BN21)</f>
        <v/>
      </c>
      <c r="BO49" s="14">
        <f>IF(Inputs!$F$216=1,BO36,BO21)</f>
        <v/>
      </c>
      <c r="BP49" s="14">
        <f>IF(Inputs!$F$216=1,BP36,BP21)</f>
        <v/>
      </c>
      <c r="BQ49" s="14">
        <f>IF(Inputs!$F$216=1,BQ36,BQ21)</f>
        <v/>
      </c>
      <c r="BR49" s="14">
        <f>IF(Inputs!$F$216=1,BR36,BR21)</f>
        <v/>
      </c>
      <c r="BS49" s="14">
        <f>IF(Inputs!$F$216=1,BS36,BS21)</f>
        <v/>
      </c>
      <c r="BT49" s="14">
        <f>IF(Inputs!$F$216=1,BT36,BT21)</f>
        <v/>
      </c>
      <c r="BU49" s="14">
        <f>IF(Inputs!$F$216=1,BU36,BU21)</f>
        <v/>
      </c>
      <c r="BV49" s="14">
        <f>IF(Inputs!$F$216=1,BV36,BV21)</f>
        <v/>
      </c>
      <c r="BW49" s="14">
        <f>IF(Inputs!$F$216=1,BW36,BW21)</f>
        <v/>
      </c>
      <c r="BX49" s="14">
        <f>IF(Inputs!$F$216=1,BX36,BX21)</f>
        <v/>
      </c>
      <c r="BY49" s="14">
        <f>IF(Inputs!$F$216=1,BY36,BY21)</f>
        <v/>
      </c>
      <c r="BZ49" s="14">
        <f>IF(Inputs!$F$216=1,BZ36,BZ21)</f>
        <v/>
      </c>
      <c r="CA49" s="14">
        <f>IF(Inputs!$F$216=1,CA36,CA21)</f>
        <v/>
      </c>
      <c r="CB49" s="14">
        <f>IF(Inputs!$F$216=1,CB36,CB21)</f>
        <v/>
      </c>
      <c r="CC49" s="14">
        <f>IF(Inputs!$F$216=1,CC36,CC21)</f>
        <v/>
      </c>
      <c r="CD49" s="14">
        <f>IF(Inputs!$F$216=1,CD36,CD21)</f>
        <v/>
      </c>
      <c r="CE49" s="14">
        <f>IF(Inputs!$F$216=1,CE36,CE21)</f>
        <v/>
      </c>
      <c r="CF49" s="14">
        <f>IF(Inputs!$F$216=1,CF36,CF21)</f>
        <v/>
      </c>
      <c r="CG49" s="14">
        <f>IF(Inputs!$F$216=1,CG36,CG21)</f>
        <v/>
      </c>
      <c r="CH49" s="14">
        <f>IF(Inputs!$F$216=1,CH36,CH21)</f>
        <v/>
      </c>
      <c r="CI49" s="14">
        <f>IF(Inputs!$F$216=1,CI36,CI21)</f>
        <v/>
      </c>
      <c r="CJ49" s="14">
        <f>IF(Inputs!$F$216=1,CJ36,CJ21)</f>
        <v/>
      </c>
      <c r="CK49" s="14">
        <f>IF(Inputs!$F$216=1,CK36,CK21)</f>
        <v/>
      </c>
      <c r="CL49" s="14">
        <f>IF(Inputs!$F$216=1,CL36,CL21)</f>
        <v/>
      </c>
      <c r="CM49" s="14">
        <f>IF(Inputs!$F$216=1,CM36,CM21)</f>
        <v/>
      </c>
      <c r="CN49" s="14">
        <f>IF(Inputs!$F$216=1,CN36,CN21)</f>
        <v/>
      </c>
      <c r="CO49" s="14">
        <f>IF(Inputs!$F$216=1,CO36,CO21)</f>
        <v/>
      </c>
      <c r="CP49" s="14">
        <f>IF(Inputs!$F$216=1,CP36,CP21)</f>
        <v/>
      </c>
      <c r="CQ49" s="14">
        <f>IF(Inputs!$F$216=1,CQ36,CQ21)</f>
        <v/>
      </c>
      <c r="CR49" s="14">
        <f>IF(Inputs!$F$216=1,CR36,CR21)</f>
        <v/>
      </c>
      <c r="CS49" s="14">
        <f>IF(Inputs!$F$216=1,CS36,CS21)</f>
        <v/>
      </c>
      <c r="CT49" s="14">
        <f>IF(Inputs!$F$216=1,CT36,CT21)</f>
        <v/>
      </c>
      <c r="CU49" s="14">
        <f>IF(Inputs!$F$216=1,CU36,CU21)</f>
        <v/>
      </c>
      <c r="CV49" s="14">
        <f>IF(Inputs!$F$216=1,CV36,CV21)</f>
        <v/>
      </c>
      <c r="CW49" s="14">
        <f>IF(Inputs!$F$216=1,CW36,CW21)</f>
        <v/>
      </c>
      <c r="CX49" s="14">
        <f>IF(Inputs!$F$216=1,CX36,CX21)</f>
        <v/>
      </c>
      <c r="CY49" s="14">
        <f>IF(Inputs!$F$216=1,CY36,CY21)</f>
        <v/>
      </c>
      <c r="CZ49" s="14">
        <f>IF(Inputs!$F$216=1,CZ36,CZ21)</f>
        <v/>
      </c>
      <c r="DA49" s="14">
        <f>IF(Inputs!$F$216=1,DA36,DA21)</f>
        <v/>
      </c>
      <c r="DB49" s="14">
        <f>IF(Inputs!$F$216=1,DB36,DB21)</f>
        <v/>
      </c>
    </row>
    <row r="50">
      <c r="D50" t="inlineStr">
        <is>
          <t>NILO interest rate</t>
        </is>
      </c>
      <c r="E50" t="inlineStr">
        <is>
          <t>%</t>
        </is>
      </c>
      <c r="J50" s="26">
        <f>IF(AND(J23=1,J8&lt;=Inputs!$F$32),Inputs!$F$120,Inputs!$F$119)</f>
        <v/>
      </c>
      <c r="K50" s="26">
        <f>IF(AND(K23=1,K8&lt;=Inputs!$F$32),Inputs!$F$120,Inputs!$F$119)</f>
        <v/>
      </c>
      <c r="L50" s="26">
        <f>IF(AND(L23=1,L8&lt;=Inputs!$F$32),Inputs!$F$120,Inputs!$F$119)</f>
        <v/>
      </c>
      <c r="M50" s="26">
        <f>IF(AND(M23=1,M8&lt;=Inputs!$F$32),Inputs!$F$120,Inputs!$F$119)</f>
        <v/>
      </c>
      <c r="N50" s="26">
        <f>IF(AND(N23=1,N8&lt;=Inputs!$F$32),Inputs!$F$120,Inputs!$F$119)</f>
        <v/>
      </c>
      <c r="O50" s="26">
        <f>IF(AND(O23=1,O8&lt;=Inputs!$F$32),Inputs!$F$120,Inputs!$F$119)</f>
        <v/>
      </c>
      <c r="P50" s="26">
        <f>IF(AND(P23=1,P8&lt;=Inputs!$F$32),Inputs!$F$120,Inputs!$F$119)</f>
        <v/>
      </c>
      <c r="Q50" s="26">
        <f>IF(AND(Q23=1,Q8&lt;=Inputs!$F$32),Inputs!$F$120,Inputs!$F$119)</f>
        <v/>
      </c>
      <c r="R50" s="26">
        <f>IF(AND(R23=1,R8&lt;=Inputs!$F$32),Inputs!$F$120,Inputs!$F$119)</f>
        <v/>
      </c>
      <c r="S50" s="26">
        <f>IF(AND(S23=1,S8&lt;=Inputs!$F$32),Inputs!$F$120,Inputs!$F$119)</f>
        <v/>
      </c>
      <c r="T50" s="26">
        <f>IF(AND(T23=1,T8&lt;=Inputs!$F$32),Inputs!$F$120,Inputs!$F$119)</f>
        <v/>
      </c>
      <c r="U50" s="26">
        <f>IF(AND(U23=1,U8&lt;=Inputs!$F$32),Inputs!$F$120,Inputs!$F$119)</f>
        <v/>
      </c>
      <c r="V50" s="26">
        <f>IF(AND(V23=1,V8&lt;=Inputs!$F$32),Inputs!$F$120,Inputs!$F$119)</f>
        <v/>
      </c>
      <c r="W50" s="26">
        <f>IF(AND(W23=1,W8&lt;=Inputs!$F$32),Inputs!$F$120,Inputs!$F$119)</f>
        <v/>
      </c>
      <c r="X50" s="26">
        <f>IF(AND(X23=1,X8&lt;=Inputs!$F$32),Inputs!$F$120,Inputs!$F$119)</f>
        <v/>
      </c>
      <c r="Y50" s="26">
        <f>IF(AND(Y23=1,Y8&lt;=Inputs!$F$32),Inputs!$F$120,Inputs!$F$119)</f>
        <v/>
      </c>
      <c r="Z50" s="26">
        <f>IF(AND(Z23=1,Z8&lt;=Inputs!$F$32),Inputs!$F$120,Inputs!$F$119)</f>
        <v/>
      </c>
      <c r="AA50" s="26">
        <f>IF(AND(AA23=1,AA8&lt;=Inputs!$F$32),Inputs!$F$120,Inputs!$F$119)</f>
        <v/>
      </c>
      <c r="AB50" s="26">
        <f>IF(AND(AB23=1,AB8&lt;=Inputs!$F$32),Inputs!$F$120,Inputs!$F$119)</f>
        <v/>
      </c>
      <c r="AC50" s="26">
        <f>IF(AND(AC23=1,AC8&lt;=Inputs!$F$32),Inputs!$F$120,Inputs!$F$119)</f>
        <v/>
      </c>
      <c r="AD50" s="26">
        <f>IF(AND(AD23=1,AD8&lt;=Inputs!$F$32),Inputs!$F$120,Inputs!$F$119)</f>
        <v/>
      </c>
      <c r="AE50" s="26">
        <f>IF(AND(AE23=1,AE8&lt;=Inputs!$F$32),Inputs!$F$120,Inputs!$F$119)</f>
        <v/>
      </c>
      <c r="AF50" s="26">
        <f>IF(AND(AF23=1,AF8&lt;=Inputs!$F$32),Inputs!$F$120,Inputs!$F$119)</f>
        <v/>
      </c>
      <c r="AG50" s="26">
        <f>IF(AND(AG23=1,AG8&lt;=Inputs!$F$32),Inputs!$F$120,Inputs!$F$119)</f>
        <v/>
      </c>
      <c r="AH50" s="26">
        <f>IF(AND(AH23=1,AH8&lt;=Inputs!$F$32),Inputs!$F$120,Inputs!$F$119)</f>
        <v/>
      </c>
      <c r="AI50" s="26">
        <f>IF(AND(AI23=1,AI8&lt;=Inputs!$F$32),Inputs!$F$120,Inputs!$F$119)</f>
        <v/>
      </c>
      <c r="AJ50" s="26">
        <f>IF(AND(AJ23=1,AJ8&lt;=Inputs!$F$32),Inputs!$F$120,Inputs!$F$119)</f>
        <v/>
      </c>
      <c r="AK50" s="26">
        <f>IF(AND(AK23=1,AK8&lt;=Inputs!$F$32),Inputs!$F$120,Inputs!$F$119)</f>
        <v/>
      </c>
      <c r="AL50" s="26">
        <f>IF(AND(AL23=1,AL8&lt;=Inputs!$F$32),Inputs!$F$120,Inputs!$F$119)</f>
        <v/>
      </c>
      <c r="AM50" s="26">
        <f>IF(AND(AM23=1,AM8&lt;=Inputs!$F$32),Inputs!$F$120,Inputs!$F$119)</f>
        <v/>
      </c>
      <c r="AN50" s="26">
        <f>IF(AND(AN23=1,AN8&lt;=Inputs!$F$32),Inputs!$F$120,Inputs!$F$119)</f>
        <v/>
      </c>
      <c r="AO50" s="26">
        <f>IF(AND(AO23=1,AO8&lt;=Inputs!$F$32),Inputs!$F$120,Inputs!$F$119)</f>
        <v/>
      </c>
      <c r="AP50" s="26">
        <f>IF(AND(AP23=1,AP8&lt;=Inputs!$F$32),Inputs!$F$120,Inputs!$F$119)</f>
        <v/>
      </c>
      <c r="AQ50" s="26">
        <f>IF(AND(AQ23=1,AQ8&lt;=Inputs!$F$32),Inputs!$F$120,Inputs!$F$119)</f>
        <v/>
      </c>
      <c r="AR50" s="26">
        <f>IF(AND(AR23=1,AR8&lt;=Inputs!$F$32),Inputs!$F$120,Inputs!$F$119)</f>
        <v/>
      </c>
      <c r="AS50" s="26">
        <f>IF(AND(AS23=1,AS8&lt;=Inputs!$F$32),Inputs!$F$120,Inputs!$F$119)</f>
        <v/>
      </c>
      <c r="AT50" s="26">
        <f>IF(AND(AT23=1,AT8&lt;=Inputs!$F$32),Inputs!$F$120,Inputs!$F$119)</f>
        <v/>
      </c>
      <c r="AU50" s="26">
        <f>IF(AND(AU23=1,AU8&lt;=Inputs!$F$32),Inputs!$F$120,Inputs!$F$119)</f>
        <v/>
      </c>
      <c r="AV50" s="26">
        <f>IF(AND(AV23=1,AV8&lt;=Inputs!$F$32),Inputs!$F$120,Inputs!$F$119)</f>
        <v/>
      </c>
      <c r="AW50" s="26">
        <f>IF(AND(AW23=1,AW8&lt;=Inputs!$F$32),Inputs!$F$120,Inputs!$F$119)</f>
        <v/>
      </c>
      <c r="AX50" s="26">
        <f>IF(AND(AX23=1,AX8&lt;=Inputs!$F$32),Inputs!$F$120,Inputs!$F$119)</f>
        <v/>
      </c>
      <c r="AY50" s="26">
        <f>IF(AND(AY23=1,AY8&lt;=Inputs!$F$32),Inputs!$F$120,Inputs!$F$119)</f>
        <v/>
      </c>
      <c r="AZ50" s="26">
        <f>IF(AND(AZ23=1,AZ8&lt;=Inputs!$F$32),Inputs!$F$120,Inputs!$F$119)</f>
        <v/>
      </c>
      <c r="BA50" s="26">
        <f>IF(AND(BA23=1,BA8&lt;=Inputs!$F$32),Inputs!$F$120,Inputs!$F$119)</f>
        <v/>
      </c>
      <c r="BB50" s="26">
        <f>IF(AND(BB23=1,BB8&lt;=Inputs!$F$32),Inputs!$F$120,Inputs!$F$119)</f>
        <v/>
      </c>
      <c r="BC50" s="26">
        <f>IF(AND(BC23=1,BC8&lt;=Inputs!$F$32),Inputs!$F$120,Inputs!$F$119)</f>
        <v/>
      </c>
      <c r="BD50" s="26">
        <f>IF(AND(BD23=1,BD8&lt;=Inputs!$F$32),Inputs!$F$120,Inputs!$F$119)</f>
        <v/>
      </c>
      <c r="BE50" s="26">
        <f>IF(AND(BE23=1,BE8&lt;=Inputs!$F$32),Inputs!$F$120,Inputs!$F$119)</f>
        <v/>
      </c>
      <c r="BF50" s="26">
        <f>IF(AND(BF23=1,BF8&lt;=Inputs!$F$32),Inputs!$F$120,Inputs!$F$119)</f>
        <v/>
      </c>
      <c r="BG50" s="26">
        <f>IF(AND(BG23=1,BG8&lt;=Inputs!$F$32),Inputs!$F$120,Inputs!$F$119)</f>
        <v/>
      </c>
      <c r="BH50" s="26">
        <f>IF(AND(BH23=1,BH8&lt;=Inputs!$F$32),Inputs!$F$120,Inputs!$F$119)</f>
        <v/>
      </c>
      <c r="BI50" s="26">
        <f>IF(AND(BI23=1,BI8&lt;=Inputs!$F$32),Inputs!$F$120,Inputs!$F$119)</f>
        <v/>
      </c>
      <c r="BJ50" s="26">
        <f>IF(AND(BJ23=1,BJ8&lt;=Inputs!$F$32),Inputs!$F$120,Inputs!$F$119)</f>
        <v/>
      </c>
      <c r="BK50" s="26">
        <f>IF(AND(BK23=1,BK8&lt;=Inputs!$F$32),Inputs!$F$120,Inputs!$F$119)</f>
        <v/>
      </c>
      <c r="BL50" s="26">
        <f>IF(AND(BL23=1,BL8&lt;=Inputs!$F$32),Inputs!$F$120,Inputs!$F$119)</f>
        <v/>
      </c>
      <c r="BM50" s="26">
        <f>IF(AND(BM23=1,BM8&lt;=Inputs!$F$32),Inputs!$F$120,Inputs!$F$119)</f>
        <v/>
      </c>
      <c r="BN50" s="26">
        <f>IF(AND(BN23=1,BN8&lt;=Inputs!$F$32),Inputs!$F$120,Inputs!$F$119)</f>
        <v/>
      </c>
      <c r="BO50" s="26">
        <f>IF(AND(BO23=1,BO8&lt;=Inputs!$F$32),Inputs!$F$120,Inputs!$F$119)</f>
        <v/>
      </c>
      <c r="BP50" s="26">
        <f>IF(AND(BP23=1,BP8&lt;=Inputs!$F$32),Inputs!$F$120,Inputs!$F$119)</f>
        <v/>
      </c>
      <c r="BQ50" s="26">
        <f>IF(AND(BQ23=1,BQ8&lt;=Inputs!$F$32),Inputs!$F$120,Inputs!$F$119)</f>
        <v/>
      </c>
      <c r="BR50" s="26">
        <f>IF(AND(BR23=1,BR8&lt;=Inputs!$F$32),Inputs!$F$120,Inputs!$F$119)</f>
        <v/>
      </c>
      <c r="BS50" s="26">
        <f>IF(AND(BS23=1,BS8&lt;=Inputs!$F$32),Inputs!$F$120,Inputs!$F$119)</f>
        <v/>
      </c>
      <c r="BT50" s="26">
        <f>IF(AND(BT23=1,BT8&lt;=Inputs!$F$32),Inputs!$F$120,Inputs!$F$119)</f>
        <v/>
      </c>
      <c r="BU50" s="26">
        <f>IF(AND(BU23=1,BU8&lt;=Inputs!$F$32),Inputs!$F$120,Inputs!$F$119)</f>
        <v/>
      </c>
      <c r="BV50" s="26">
        <f>IF(AND(BV23=1,BV8&lt;=Inputs!$F$32),Inputs!$F$120,Inputs!$F$119)</f>
        <v/>
      </c>
      <c r="BW50" s="26">
        <f>IF(AND(BW23=1,BW8&lt;=Inputs!$F$32),Inputs!$F$120,Inputs!$F$119)</f>
        <v/>
      </c>
      <c r="BX50" s="26">
        <f>IF(AND(BX23=1,BX8&lt;=Inputs!$F$32),Inputs!$F$120,Inputs!$F$119)</f>
        <v/>
      </c>
      <c r="BY50" s="26">
        <f>IF(AND(BY23=1,BY8&lt;=Inputs!$F$32),Inputs!$F$120,Inputs!$F$119)</f>
        <v/>
      </c>
      <c r="BZ50" s="26">
        <f>IF(AND(BZ23=1,BZ8&lt;=Inputs!$F$32),Inputs!$F$120,Inputs!$F$119)</f>
        <v/>
      </c>
      <c r="CA50" s="26">
        <f>IF(AND(CA23=1,CA8&lt;=Inputs!$F$32),Inputs!$F$120,Inputs!$F$119)</f>
        <v/>
      </c>
      <c r="CB50" s="26">
        <f>IF(AND(CB23=1,CB8&lt;=Inputs!$F$32),Inputs!$F$120,Inputs!$F$119)</f>
        <v/>
      </c>
      <c r="CC50" s="26">
        <f>IF(AND(CC23=1,CC8&lt;=Inputs!$F$32),Inputs!$F$120,Inputs!$F$119)</f>
        <v/>
      </c>
      <c r="CD50" s="26">
        <f>IF(AND(CD23=1,CD8&lt;=Inputs!$F$32),Inputs!$F$120,Inputs!$F$119)</f>
        <v/>
      </c>
      <c r="CE50" s="26">
        <f>IF(AND(CE23=1,CE8&lt;=Inputs!$F$32),Inputs!$F$120,Inputs!$F$119)</f>
        <v/>
      </c>
      <c r="CF50" s="26">
        <f>IF(AND(CF23=1,CF8&lt;=Inputs!$F$32),Inputs!$F$120,Inputs!$F$119)</f>
        <v/>
      </c>
      <c r="CG50" s="26">
        <f>IF(AND(CG23=1,CG8&lt;=Inputs!$F$32),Inputs!$F$120,Inputs!$F$119)</f>
        <v/>
      </c>
      <c r="CH50" s="26">
        <f>IF(AND(CH23=1,CH8&lt;=Inputs!$F$32),Inputs!$F$120,Inputs!$F$119)</f>
        <v/>
      </c>
      <c r="CI50" s="26">
        <f>IF(AND(CI23=1,CI8&lt;=Inputs!$F$32),Inputs!$F$120,Inputs!$F$119)</f>
        <v/>
      </c>
      <c r="CJ50" s="26">
        <f>IF(AND(CJ23=1,CJ8&lt;=Inputs!$F$32),Inputs!$F$120,Inputs!$F$119)</f>
        <v/>
      </c>
      <c r="CK50" s="26">
        <f>IF(AND(CK23=1,CK8&lt;=Inputs!$F$32),Inputs!$F$120,Inputs!$F$119)</f>
        <v/>
      </c>
      <c r="CL50" s="26">
        <f>IF(AND(CL23=1,CL8&lt;=Inputs!$F$32),Inputs!$F$120,Inputs!$F$119)</f>
        <v/>
      </c>
      <c r="CM50" s="26">
        <f>IF(AND(CM23=1,CM8&lt;=Inputs!$F$32),Inputs!$F$120,Inputs!$F$119)</f>
        <v/>
      </c>
      <c r="CN50" s="26">
        <f>IF(AND(CN23=1,CN8&lt;=Inputs!$F$32),Inputs!$F$120,Inputs!$F$119)</f>
        <v/>
      </c>
      <c r="CO50" s="26">
        <f>IF(AND(CO23=1,CO8&lt;=Inputs!$F$32),Inputs!$F$120,Inputs!$F$119)</f>
        <v/>
      </c>
      <c r="CP50" s="26">
        <f>IF(AND(CP23=1,CP8&lt;=Inputs!$F$32),Inputs!$F$120,Inputs!$F$119)</f>
        <v/>
      </c>
      <c r="CQ50" s="26">
        <f>IF(AND(CQ23=1,CQ8&lt;=Inputs!$F$32),Inputs!$F$120,Inputs!$F$119)</f>
        <v/>
      </c>
      <c r="CR50" s="26">
        <f>IF(AND(CR23=1,CR8&lt;=Inputs!$F$32),Inputs!$F$120,Inputs!$F$119)</f>
        <v/>
      </c>
      <c r="CS50" s="26">
        <f>IF(AND(CS23=1,CS8&lt;=Inputs!$F$32),Inputs!$F$120,Inputs!$F$119)</f>
        <v/>
      </c>
      <c r="CT50" s="26">
        <f>IF(AND(CT23=1,CT8&lt;=Inputs!$F$32),Inputs!$F$120,Inputs!$F$119)</f>
        <v/>
      </c>
      <c r="CU50" s="26">
        <f>IF(AND(CU23=1,CU8&lt;=Inputs!$F$32),Inputs!$F$120,Inputs!$F$119)</f>
        <v/>
      </c>
      <c r="CV50" s="26">
        <f>IF(AND(CV23=1,CV8&lt;=Inputs!$F$32),Inputs!$F$120,Inputs!$F$119)</f>
        <v/>
      </c>
      <c r="CW50" s="26">
        <f>IF(AND(CW23=1,CW8&lt;=Inputs!$F$32),Inputs!$F$120,Inputs!$F$119)</f>
        <v/>
      </c>
      <c r="CX50" s="26">
        <f>IF(AND(CX23=1,CX8&lt;=Inputs!$F$32),Inputs!$F$120,Inputs!$F$119)</f>
        <v/>
      </c>
      <c r="CY50" s="26">
        <f>IF(AND(CY23=1,CY8&lt;=Inputs!$F$32),Inputs!$F$120,Inputs!$F$119)</f>
        <v/>
      </c>
      <c r="CZ50" s="26">
        <f>IF(AND(CZ23=1,CZ8&lt;=Inputs!$F$32),Inputs!$F$120,Inputs!$F$119)</f>
        <v/>
      </c>
      <c r="DA50" s="26">
        <f>IF(AND(DA23=1,DA8&lt;=Inputs!$F$32),Inputs!$F$120,Inputs!$F$119)</f>
        <v/>
      </c>
      <c r="DB50" s="26">
        <f>IF(AND(DB23=1,DB8&lt;=Inputs!$F$32),Inputs!$F$120,Inputs!$F$119)</f>
        <v/>
      </c>
    </row>
    <row r="51">
      <c r="D51" t="inlineStr">
        <is>
          <t>NILO interest paid in cash (share)</t>
        </is>
      </c>
      <c r="E51" t="inlineStr">
        <is>
          <t>factor</t>
        </is>
      </c>
      <c r="J51" s="16">
        <f>IF(AND(J23=1,J8&lt;=Inputs!$F$32),0,1-MIN(1,MAX(0,(MIN(J8,Inputs!$F$27)-J7)/J9)))</f>
        <v/>
      </c>
      <c r="K51" s="16">
        <f>IF(AND(K23=1,K8&lt;=Inputs!$F$32),0,1-MIN(1,MAX(0,(MIN(K8,Inputs!$F$27)-K7)/K9)))</f>
        <v/>
      </c>
      <c r="L51" s="16">
        <f>IF(AND(L23=1,L8&lt;=Inputs!$F$32),0,1-MIN(1,MAX(0,(MIN(L8,Inputs!$F$27)-L7)/L9)))</f>
        <v/>
      </c>
      <c r="M51" s="16">
        <f>IF(AND(M23=1,M8&lt;=Inputs!$F$32),0,1-MIN(1,MAX(0,(MIN(M8,Inputs!$F$27)-M7)/M9)))</f>
        <v/>
      </c>
      <c r="N51" s="16">
        <f>IF(AND(N23=1,N8&lt;=Inputs!$F$32),0,1-MIN(1,MAX(0,(MIN(N8,Inputs!$F$27)-N7)/N9)))</f>
        <v/>
      </c>
      <c r="O51" s="16">
        <f>IF(AND(O23=1,O8&lt;=Inputs!$F$32),0,1-MIN(1,MAX(0,(MIN(O8,Inputs!$F$27)-O7)/O9)))</f>
        <v/>
      </c>
      <c r="P51" s="16">
        <f>IF(AND(P23=1,P8&lt;=Inputs!$F$32),0,1-MIN(1,MAX(0,(MIN(P8,Inputs!$F$27)-P7)/P9)))</f>
        <v/>
      </c>
      <c r="Q51" s="16">
        <f>IF(AND(Q23=1,Q8&lt;=Inputs!$F$32),0,1-MIN(1,MAX(0,(MIN(Q8,Inputs!$F$27)-Q7)/Q9)))</f>
        <v/>
      </c>
      <c r="R51" s="16">
        <f>IF(AND(R23=1,R8&lt;=Inputs!$F$32),0,1-MIN(1,MAX(0,(MIN(R8,Inputs!$F$27)-R7)/R9)))</f>
        <v/>
      </c>
      <c r="S51" s="16">
        <f>IF(AND(S23=1,S8&lt;=Inputs!$F$32),0,1-MIN(1,MAX(0,(MIN(S8,Inputs!$F$27)-S7)/S9)))</f>
        <v/>
      </c>
      <c r="T51" s="16">
        <f>IF(AND(T23=1,T8&lt;=Inputs!$F$32),0,1-MIN(1,MAX(0,(MIN(T8,Inputs!$F$27)-T7)/T9)))</f>
        <v/>
      </c>
      <c r="U51" s="16">
        <f>IF(AND(U23=1,U8&lt;=Inputs!$F$32),0,1-MIN(1,MAX(0,(MIN(U8,Inputs!$F$27)-U7)/U9)))</f>
        <v/>
      </c>
      <c r="V51" s="16">
        <f>IF(AND(V23=1,V8&lt;=Inputs!$F$32),0,1-MIN(1,MAX(0,(MIN(V8,Inputs!$F$27)-V7)/V9)))</f>
        <v/>
      </c>
      <c r="W51" s="16">
        <f>IF(AND(W23=1,W8&lt;=Inputs!$F$32),0,1-MIN(1,MAX(0,(MIN(W8,Inputs!$F$27)-W7)/W9)))</f>
        <v/>
      </c>
      <c r="X51" s="16">
        <f>IF(AND(X23=1,X8&lt;=Inputs!$F$32),0,1-MIN(1,MAX(0,(MIN(X8,Inputs!$F$27)-X7)/X9)))</f>
        <v/>
      </c>
      <c r="Y51" s="16">
        <f>IF(AND(Y23=1,Y8&lt;=Inputs!$F$32),0,1-MIN(1,MAX(0,(MIN(Y8,Inputs!$F$27)-Y7)/Y9)))</f>
        <v/>
      </c>
      <c r="Z51" s="16">
        <f>IF(AND(Z23=1,Z8&lt;=Inputs!$F$32),0,1-MIN(1,MAX(0,(MIN(Z8,Inputs!$F$27)-Z7)/Z9)))</f>
        <v/>
      </c>
      <c r="AA51" s="16">
        <f>IF(AND(AA23=1,AA8&lt;=Inputs!$F$32),0,1-MIN(1,MAX(0,(MIN(AA8,Inputs!$F$27)-AA7)/AA9)))</f>
        <v/>
      </c>
      <c r="AB51" s="16">
        <f>IF(AND(AB23=1,AB8&lt;=Inputs!$F$32),0,1-MIN(1,MAX(0,(MIN(AB8,Inputs!$F$27)-AB7)/AB9)))</f>
        <v/>
      </c>
      <c r="AC51" s="16">
        <f>IF(AND(AC23=1,AC8&lt;=Inputs!$F$32),0,1-MIN(1,MAX(0,(MIN(AC8,Inputs!$F$27)-AC7)/AC9)))</f>
        <v/>
      </c>
      <c r="AD51" s="16">
        <f>IF(AND(AD23=1,AD8&lt;=Inputs!$F$32),0,1-MIN(1,MAX(0,(MIN(AD8,Inputs!$F$27)-AD7)/AD9)))</f>
        <v/>
      </c>
      <c r="AE51" s="16">
        <f>IF(AND(AE23=1,AE8&lt;=Inputs!$F$32),0,1-MIN(1,MAX(0,(MIN(AE8,Inputs!$F$27)-AE7)/AE9)))</f>
        <v/>
      </c>
      <c r="AF51" s="16">
        <f>IF(AND(AF23=1,AF8&lt;=Inputs!$F$32),0,1-MIN(1,MAX(0,(MIN(AF8,Inputs!$F$27)-AF7)/AF9)))</f>
        <v/>
      </c>
      <c r="AG51" s="16">
        <f>IF(AND(AG23=1,AG8&lt;=Inputs!$F$32),0,1-MIN(1,MAX(0,(MIN(AG8,Inputs!$F$27)-AG7)/AG9)))</f>
        <v/>
      </c>
      <c r="AH51" s="16">
        <f>IF(AND(AH23=1,AH8&lt;=Inputs!$F$32),0,1-MIN(1,MAX(0,(MIN(AH8,Inputs!$F$27)-AH7)/AH9)))</f>
        <v/>
      </c>
      <c r="AI51" s="16">
        <f>IF(AND(AI23=1,AI8&lt;=Inputs!$F$32),0,1-MIN(1,MAX(0,(MIN(AI8,Inputs!$F$27)-AI7)/AI9)))</f>
        <v/>
      </c>
      <c r="AJ51" s="16">
        <f>IF(AND(AJ23=1,AJ8&lt;=Inputs!$F$32),0,1-MIN(1,MAX(0,(MIN(AJ8,Inputs!$F$27)-AJ7)/AJ9)))</f>
        <v/>
      </c>
      <c r="AK51" s="16">
        <f>IF(AND(AK23=1,AK8&lt;=Inputs!$F$32),0,1-MIN(1,MAX(0,(MIN(AK8,Inputs!$F$27)-AK7)/AK9)))</f>
        <v/>
      </c>
      <c r="AL51" s="16">
        <f>IF(AND(AL23=1,AL8&lt;=Inputs!$F$32),0,1-MIN(1,MAX(0,(MIN(AL8,Inputs!$F$27)-AL7)/AL9)))</f>
        <v/>
      </c>
      <c r="AM51" s="16">
        <f>IF(AND(AM23=1,AM8&lt;=Inputs!$F$32),0,1-MIN(1,MAX(0,(MIN(AM8,Inputs!$F$27)-AM7)/AM9)))</f>
        <v/>
      </c>
      <c r="AN51" s="16">
        <f>IF(AND(AN23=1,AN8&lt;=Inputs!$F$32),0,1-MIN(1,MAX(0,(MIN(AN8,Inputs!$F$27)-AN7)/AN9)))</f>
        <v/>
      </c>
      <c r="AO51" s="16">
        <f>IF(AND(AO23=1,AO8&lt;=Inputs!$F$32),0,1-MIN(1,MAX(0,(MIN(AO8,Inputs!$F$27)-AO7)/AO9)))</f>
        <v/>
      </c>
      <c r="AP51" s="16">
        <f>IF(AND(AP23=1,AP8&lt;=Inputs!$F$32),0,1-MIN(1,MAX(0,(MIN(AP8,Inputs!$F$27)-AP7)/AP9)))</f>
        <v/>
      </c>
      <c r="AQ51" s="16">
        <f>IF(AND(AQ23=1,AQ8&lt;=Inputs!$F$32),0,1-MIN(1,MAX(0,(MIN(AQ8,Inputs!$F$27)-AQ7)/AQ9)))</f>
        <v/>
      </c>
      <c r="AR51" s="16">
        <f>IF(AND(AR23=1,AR8&lt;=Inputs!$F$32),0,1-MIN(1,MAX(0,(MIN(AR8,Inputs!$F$27)-AR7)/AR9)))</f>
        <v/>
      </c>
      <c r="AS51" s="16">
        <f>IF(AND(AS23=1,AS8&lt;=Inputs!$F$32),0,1-MIN(1,MAX(0,(MIN(AS8,Inputs!$F$27)-AS7)/AS9)))</f>
        <v/>
      </c>
      <c r="AT51" s="16">
        <f>IF(AND(AT23=1,AT8&lt;=Inputs!$F$32),0,1-MIN(1,MAX(0,(MIN(AT8,Inputs!$F$27)-AT7)/AT9)))</f>
        <v/>
      </c>
      <c r="AU51" s="16">
        <f>IF(AND(AU23=1,AU8&lt;=Inputs!$F$32),0,1-MIN(1,MAX(0,(MIN(AU8,Inputs!$F$27)-AU7)/AU9)))</f>
        <v/>
      </c>
      <c r="AV51" s="16">
        <f>IF(AND(AV23=1,AV8&lt;=Inputs!$F$32),0,1-MIN(1,MAX(0,(MIN(AV8,Inputs!$F$27)-AV7)/AV9)))</f>
        <v/>
      </c>
      <c r="AW51" s="16">
        <f>IF(AND(AW23=1,AW8&lt;=Inputs!$F$32),0,1-MIN(1,MAX(0,(MIN(AW8,Inputs!$F$27)-AW7)/AW9)))</f>
        <v/>
      </c>
      <c r="AX51" s="16">
        <f>IF(AND(AX23=1,AX8&lt;=Inputs!$F$32),0,1-MIN(1,MAX(0,(MIN(AX8,Inputs!$F$27)-AX7)/AX9)))</f>
        <v/>
      </c>
      <c r="AY51" s="16">
        <f>IF(AND(AY23=1,AY8&lt;=Inputs!$F$32),0,1-MIN(1,MAX(0,(MIN(AY8,Inputs!$F$27)-AY7)/AY9)))</f>
        <v/>
      </c>
      <c r="AZ51" s="16">
        <f>IF(AND(AZ23=1,AZ8&lt;=Inputs!$F$32),0,1-MIN(1,MAX(0,(MIN(AZ8,Inputs!$F$27)-AZ7)/AZ9)))</f>
        <v/>
      </c>
      <c r="BA51" s="16">
        <f>IF(AND(BA23=1,BA8&lt;=Inputs!$F$32),0,1-MIN(1,MAX(0,(MIN(BA8,Inputs!$F$27)-BA7)/BA9)))</f>
        <v/>
      </c>
      <c r="BB51" s="16">
        <f>IF(AND(BB23=1,BB8&lt;=Inputs!$F$32),0,1-MIN(1,MAX(0,(MIN(BB8,Inputs!$F$27)-BB7)/BB9)))</f>
        <v/>
      </c>
      <c r="BC51" s="16">
        <f>IF(AND(BC23=1,BC8&lt;=Inputs!$F$32),0,1-MIN(1,MAX(0,(MIN(BC8,Inputs!$F$27)-BC7)/BC9)))</f>
        <v/>
      </c>
      <c r="BD51" s="16">
        <f>IF(AND(BD23=1,BD8&lt;=Inputs!$F$32),0,1-MIN(1,MAX(0,(MIN(BD8,Inputs!$F$27)-BD7)/BD9)))</f>
        <v/>
      </c>
      <c r="BE51" s="16">
        <f>IF(AND(BE23=1,BE8&lt;=Inputs!$F$32),0,1-MIN(1,MAX(0,(MIN(BE8,Inputs!$F$27)-BE7)/BE9)))</f>
        <v/>
      </c>
      <c r="BF51" s="16">
        <f>IF(AND(BF23=1,BF8&lt;=Inputs!$F$32),0,1-MIN(1,MAX(0,(MIN(BF8,Inputs!$F$27)-BF7)/BF9)))</f>
        <v/>
      </c>
      <c r="BG51" s="16">
        <f>IF(AND(BG23=1,BG8&lt;=Inputs!$F$32),0,1-MIN(1,MAX(0,(MIN(BG8,Inputs!$F$27)-BG7)/BG9)))</f>
        <v/>
      </c>
      <c r="BH51" s="16">
        <f>IF(AND(BH23=1,BH8&lt;=Inputs!$F$32),0,1-MIN(1,MAX(0,(MIN(BH8,Inputs!$F$27)-BH7)/BH9)))</f>
        <v/>
      </c>
      <c r="BI51" s="16">
        <f>IF(AND(BI23=1,BI8&lt;=Inputs!$F$32),0,1-MIN(1,MAX(0,(MIN(BI8,Inputs!$F$27)-BI7)/BI9)))</f>
        <v/>
      </c>
      <c r="BJ51" s="16">
        <f>IF(AND(BJ23=1,BJ8&lt;=Inputs!$F$32),0,1-MIN(1,MAX(0,(MIN(BJ8,Inputs!$F$27)-BJ7)/BJ9)))</f>
        <v/>
      </c>
      <c r="BK51" s="16">
        <f>IF(AND(BK23=1,BK8&lt;=Inputs!$F$32),0,1-MIN(1,MAX(0,(MIN(BK8,Inputs!$F$27)-BK7)/BK9)))</f>
        <v/>
      </c>
      <c r="BL51" s="16">
        <f>IF(AND(BL23=1,BL8&lt;=Inputs!$F$32),0,1-MIN(1,MAX(0,(MIN(BL8,Inputs!$F$27)-BL7)/BL9)))</f>
        <v/>
      </c>
      <c r="BM51" s="16">
        <f>IF(AND(BM23=1,BM8&lt;=Inputs!$F$32),0,1-MIN(1,MAX(0,(MIN(BM8,Inputs!$F$27)-BM7)/BM9)))</f>
        <v/>
      </c>
      <c r="BN51" s="16">
        <f>IF(AND(BN23=1,BN8&lt;=Inputs!$F$32),0,1-MIN(1,MAX(0,(MIN(BN8,Inputs!$F$27)-BN7)/BN9)))</f>
        <v/>
      </c>
      <c r="BO51" s="16">
        <f>IF(AND(BO23=1,BO8&lt;=Inputs!$F$32),0,1-MIN(1,MAX(0,(MIN(BO8,Inputs!$F$27)-BO7)/BO9)))</f>
        <v/>
      </c>
      <c r="BP51" s="16">
        <f>IF(AND(BP23=1,BP8&lt;=Inputs!$F$32),0,1-MIN(1,MAX(0,(MIN(BP8,Inputs!$F$27)-BP7)/BP9)))</f>
        <v/>
      </c>
      <c r="BQ51" s="16">
        <f>IF(AND(BQ23=1,BQ8&lt;=Inputs!$F$32),0,1-MIN(1,MAX(0,(MIN(BQ8,Inputs!$F$27)-BQ7)/BQ9)))</f>
        <v/>
      </c>
      <c r="BR51" s="16">
        <f>IF(AND(BR23=1,BR8&lt;=Inputs!$F$32),0,1-MIN(1,MAX(0,(MIN(BR8,Inputs!$F$27)-BR7)/BR9)))</f>
        <v/>
      </c>
      <c r="BS51" s="16">
        <f>IF(AND(BS23=1,BS8&lt;=Inputs!$F$32),0,1-MIN(1,MAX(0,(MIN(BS8,Inputs!$F$27)-BS7)/BS9)))</f>
        <v/>
      </c>
      <c r="BT51" s="16">
        <f>IF(AND(BT23=1,BT8&lt;=Inputs!$F$32),0,1-MIN(1,MAX(0,(MIN(BT8,Inputs!$F$27)-BT7)/BT9)))</f>
        <v/>
      </c>
      <c r="BU51" s="16">
        <f>IF(AND(BU23=1,BU8&lt;=Inputs!$F$32),0,1-MIN(1,MAX(0,(MIN(BU8,Inputs!$F$27)-BU7)/BU9)))</f>
        <v/>
      </c>
      <c r="BV51" s="16">
        <f>IF(AND(BV23=1,BV8&lt;=Inputs!$F$32),0,1-MIN(1,MAX(0,(MIN(BV8,Inputs!$F$27)-BV7)/BV9)))</f>
        <v/>
      </c>
      <c r="BW51" s="16">
        <f>IF(AND(BW23=1,BW8&lt;=Inputs!$F$32),0,1-MIN(1,MAX(0,(MIN(BW8,Inputs!$F$27)-BW7)/BW9)))</f>
        <v/>
      </c>
      <c r="BX51" s="16">
        <f>IF(AND(BX23=1,BX8&lt;=Inputs!$F$32),0,1-MIN(1,MAX(0,(MIN(BX8,Inputs!$F$27)-BX7)/BX9)))</f>
        <v/>
      </c>
      <c r="BY51" s="16">
        <f>IF(AND(BY23=1,BY8&lt;=Inputs!$F$32),0,1-MIN(1,MAX(0,(MIN(BY8,Inputs!$F$27)-BY7)/BY9)))</f>
        <v/>
      </c>
      <c r="BZ51" s="16">
        <f>IF(AND(BZ23=1,BZ8&lt;=Inputs!$F$32),0,1-MIN(1,MAX(0,(MIN(BZ8,Inputs!$F$27)-BZ7)/BZ9)))</f>
        <v/>
      </c>
      <c r="CA51" s="16">
        <f>IF(AND(CA23=1,CA8&lt;=Inputs!$F$32),0,1-MIN(1,MAX(0,(MIN(CA8,Inputs!$F$27)-CA7)/CA9)))</f>
        <v/>
      </c>
      <c r="CB51" s="16">
        <f>IF(AND(CB23=1,CB8&lt;=Inputs!$F$32),0,1-MIN(1,MAX(0,(MIN(CB8,Inputs!$F$27)-CB7)/CB9)))</f>
        <v/>
      </c>
      <c r="CC51" s="16">
        <f>IF(AND(CC23=1,CC8&lt;=Inputs!$F$32),0,1-MIN(1,MAX(0,(MIN(CC8,Inputs!$F$27)-CC7)/CC9)))</f>
        <v/>
      </c>
      <c r="CD51" s="16">
        <f>IF(AND(CD23=1,CD8&lt;=Inputs!$F$32),0,1-MIN(1,MAX(0,(MIN(CD8,Inputs!$F$27)-CD7)/CD9)))</f>
        <v/>
      </c>
      <c r="CE51" s="16">
        <f>IF(AND(CE23=1,CE8&lt;=Inputs!$F$32),0,1-MIN(1,MAX(0,(MIN(CE8,Inputs!$F$27)-CE7)/CE9)))</f>
        <v/>
      </c>
      <c r="CF51" s="16">
        <f>IF(AND(CF23=1,CF8&lt;=Inputs!$F$32),0,1-MIN(1,MAX(0,(MIN(CF8,Inputs!$F$27)-CF7)/CF9)))</f>
        <v/>
      </c>
      <c r="CG51" s="16">
        <f>IF(AND(CG23=1,CG8&lt;=Inputs!$F$32),0,1-MIN(1,MAX(0,(MIN(CG8,Inputs!$F$27)-CG7)/CG9)))</f>
        <v/>
      </c>
      <c r="CH51" s="16">
        <f>IF(AND(CH23=1,CH8&lt;=Inputs!$F$32),0,1-MIN(1,MAX(0,(MIN(CH8,Inputs!$F$27)-CH7)/CH9)))</f>
        <v/>
      </c>
      <c r="CI51" s="16">
        <f>IF(AND(CI23=1,CI8&lt;=Inputs!$F$32),0,1-MIN(1,MAX(0,(MIN(CI8,Inputs!$F$27)-CI7)/CI9)))</f>
        <v/>
      </c>
      <c r="CJ51" s="16">
        <f>IF(AND(CJ23=1,CJ8&lt;=Inputs!$F$32),0,1-MIN(1,MAX(0,(MIN(CJ8,Inputs!$F$27)-CJ7)/CJ9)))</f>
        <v/>
      </c>
      <c r="CK51" s="16">
        <f>IF(AND(CK23=1,CK8&lt;=Inputs!$F$32),0,1-MIN(1,MAX(0,(MIN(CK8,Inputs!$F$27)-CK7)/CK9)))</f>
        <v/>
      </c>
      <c r="CL51" s="16">
        <f>IF(AND(CL23=1,CL8&lt;=Inputs!$F$32),0,1-MIN(1,MAX(0,(MIN(CL8,Inputs!$F$27)-CL7)/CL9)))</f>
        <v/>
      </c>
      <c r="CM51" s="16">
        <f>IF(AND(CM23=1,CM8&lt;=Inputs!$F$32),0,1-MIN(1,MAX(0,(MIN(CM8,Inputs!$F$27)-CM7)/CM9)))</f>
        <v/>
      </c>
      <c r="CN51" s="16">
        <f>IF(AND(CN23=1,CN8&lt;=Inputs!$F$32),0,1-MIN(1,MAX(0,(MIN(CN8,Inputs!$F$27)-CN7)/CN9)))</f>
        <v/>
      </c>
      <c r="CO51" s="16">
        <f>IF(AND(CO23=1,CO8&lt;=Inputs!$F$32),0,1-MIN(1,MAX(0,(MIN(CO8,Inputs!$F$27)-CO7)/CO9)))</f>
        <v/>
      </c>
      <c r="CP51" s="16">
        <f>IF(AND(CP23=1,CP8&lt;=Inputs!$F$32),0,1-MIN(1,MAX(0,(MIN(CP8,Inputs!$F$27)-CP7)/CP9)))</f>
        <v/>
      </c>
      <c r="CQ51" s="16">
        <f>IF(AND(CQ23=1,CQ8&lt;=Inputs!$F$32),0,1-MIN(1,MAX(0,(MIN(CQ8,Inputs!$F$27)-CQ7)/CQ9)))</f>
        <v/>
      </c>
      <c r="CR51" s="16">
        <f>IF(AND(CR23=1,CR8&lt;=Inputs!$F$32),0,1-MIN(1,MAX(0,(MIN(CR8,Inputs!$F$27)-CR7)/CR9)))</f>
        <v/>
      </c>
      <c r="CS51" s="16">
        <f>IF(AND(CS23=1,CS8&lt;=Inputs!$F$32),0,1-MIN(1,MAX(0,(MIN(CS8,Inputs!$F$27)-CS7)/CS9)))</f>
        <v/>
      </c>
      <c r="CT51" s="16">
        <f>IF(AND(CT23=1,CT8&lt;=Inputs!$F$32),0,1-MIN(1,MAX(0,(MIN(CT8,Inputs!$F$27)-CT7)/CT9)))</f>
        <v/>
      </c>
      <c r="CU51" s="16">
        <f>IF(AND(CU23=1,CU8&lt;=Inputs!$F$32),0,1-MIN(1,MAX(0,(MIN(CU8,Inputs!$F$27)-CU7)/CU9)))</f>
        <v/>
      </c>
      <c r="CV51" s="16">
        <f>IF(AND(CV23=1,CV8&lt;=Inputs!$F$32),0,1-MIN(1,MAX(0,(MIN(CV8,Inputs!$F$27)-CV7)/CV9)))</f>
        <v/>
      </c>
      <c r="CW51" s="16">
        <f>IF(AND(CW23=1,CW8&lt;=Inputs!$F$32),0,1-MIN(1,MAX(0,(MIN(CW8,Inputs!$F$27)-CW7)/CW9)))</f>
        <v/>
      </c>
      <c r="CX51" s="16">
        <f>IF(AND(CX23=1,CX8&lt;=Inputs!$F$32),0,1-MIN(1,MAX(0,(MIN(CX8,Inputs!$F$27)-CX7)/CX9)))</f>
        <v/>
      </c>
      <c r="CY51" s="16">
        <f>IF(AND(CY23=1,CY8&lt;=Inputs!$F$32),0,1-MIN(1,MAX(0,(MIN(CY8,Inputs!$F$27)-CY7)/CY9)))</f>
        <v/>
      </c>
      <c r="CZ51" s="16">
        <f>IF(AND(CZ23=1,CZ8&lt;=Inputs!$F$32),0,1-MIN(1,MAX(0,(MIN(CZ8,Inputs!$F$27)-CZ7)/CZ9)))</f>
        <v/>
      </c>
      <c r="DA51" s="16">
        <f>IF(AND(DA23=1,DA8&lt;=Inputs!$F$32),0,1-MIN(1,MAX(0,(MIN(DA8,Inputs!$F$27)-DA7)/DA9)))</f>
        <v/>
      </c>
      <c r="DB51" s="16">
        <f>IF(AND(DB23=1,DB8&lt;=Inputs!$F$32),0,1-MIN(1,MAX(0,(MIN(DB8,Inputs!$F$27)-DB7)/DB9)))</f>
        <v/>
      </c>
    </row>
    <row r="52">
      <c r="D52" t="inlineStr">
        <is>
          <t>Flag_SwapRemaining (after 2023-12-31)</t>
        </is>
      </c>
      <c r="E52" t="inlineStr">
        <is>
          <t>flag</t>
        </is>
      </c>
      <c r="J52" s="14">
        <f>IF(AND(J8&gt;Inputs!$F$21,J43=1),1,0)</f>
        <v/>
      </c>
      <c r="K52" s="14">
        <f>IF(AND(K8&gt;Inputs!$F$21,K43=1),1,0)</f>
        <v/>
      </c>
      <c r="L52" s="14">
        <f>IF(AND(L8&gt;Inputs!$F$21,L43=1),1,0)</f>
        <v/>
      </c>
      <c r="M52" s="14">
        <f>IF(AND(M8&gt;Inputs!$F$21,M43=1),1,0)</f>
        <v/>
      </c>
      <c r="N52" s="14">
        <f>IF(AND(N8&gt;Inputs!$F$21,N43=1),1,0)</f>
        <v/>
      </c>
      <c r="O52" s="14">
        <f>IF(AND(O8&gt;Inputs!$F$21,O43=1),1,0)</f>
        <v/>
      </c>
      <c r="P52" s="14">
        <f>IF(AND(P8&gt;Inputs!$F$21,P43=1),1,0)</f>
        <v/>
      </c>
      <c r="Q52" s="14">
        <f>IF(AND(Q8&gt;Inputs!$F$21,Q43=1),1,0)</f>
        <v/>
      </c>
      <c r="R52" s="14">
        <f>IF(AND(R8&gt;Inputs!$F$21,R43=1),1,0)</f>
        <v/>
      </c>
      <c r="S52" s="14">
        <f>IF(AND(S8&gt;Inputs!$F$21,S43=1),1,0)</f>
        <v/>
      </c>
      <c r="T52" s="14">
        <f>IF(AND(T8&gt;Inputs!$F$21,T43=1),1,0)</f>
        <v/>
      </c>
      <c r="U52" s="14">
        <f>IF(AND(U8&gt;Inputs!$F$21,U43=1),1,0)</f>
        <v/>
      </c>
      <c r="V52" s="14">
        <f>IF(AND(V8&gt;Inputs!$F$21,V43=1),1,0)</f>
        <v/>
      </c>
      <c r="W52" s="14">
        <f>IF(AND(W8&gt;Inputs!$F$21,W43=1),1,0)</f>
        <v/>
      </c>
      <c r="X52" s="14">
        <f>IF(AND(X8&gt;Inputs!$F$21,X43=1),1,0)</f>
        <v/>
      </c>
      <c r="Y52" s="14">
        <f>IF(AND(Y8&gt;Inputs!$F$21,Y43=1),1,0)</f>
        <v/>
      </c>
      <c r="Z52" s="14">
        <f>IF(AND(Z8&gt;Inputs!$F$21,Z43=1),1,0)</f>
        <v/>
      </c>
      <c r="AA52" s="14">
        <f>IF(AND(AA8&gt;Inputs!$F$21,AA43=1),1,0)</f>
        <v/>
      </c>
      <c r="AB52" s="14">
        <f>IF(AND(AB8&gt;Inputs!$F$21,AB43=1),1,0)</f>
        <v/>
      </c>
      <c r="AC52" s="14">
        <f>IF(AND(AC8&gt;Inputs!$F$21,AC43=1),1,0)</f>
        <v/>
      </c>
      <c r="AD52" s="14">
        <f>IF(AND(AD8&gt;Inputs!$F$21,AD43=1),1,0)</f>
        <v/>
      </c>
      <c r="AE52" s="14">
        <f>IF(AND(AE8&gt;Inputs!$F$21,AE43=1),1,0)</f>
        <v/>
      </c>
      <c r="AF52" s="14">
        <f>IF(AND(AF8&gt;Inputs!$F$21,AF43=1),1,0)</f>
        <v/>
      </c>
      <c r="AG52" s="14">
        <f>IF(AND(AG8&gt;Inputs!$F$21,AG43=1),1,0)</f>
        <v/>
      </c>
      <c r="AH52" s="14">
        <f>IF(AND(AH8&gt;Inputs!$F$21,AH43=1),1,0)</f>
        <v/>
      </c>
      <c r="AI52" s="14">
        <f>IF(AND(AI8&gt;Inputs!$F$21,AI43=1),1,0)</f>
        <v/>
      </c>
      <c r="AJ52" s="14">
        <f>IF(AND(AJ8&gt;Inputs!$F$21,AJ43=1),1,0)</f>
        <v/>
      </c>
      <c r="AK52" s="14">
        <f>IF(AND(AK8&gt;Inputs!$F$21,AK43=1),1,0)</f>
        <v/>
      </c>
      <c r="AL52" s="14">
        <f>IF(AND(AL8&gt;Inputs!$F$21,AL43=1),1,0)</f>
        <v/>
      </c>
      <c r="AM52" s="14">
        <f>IF(AND(AM8&gt;Inputs!$F$21,AM43=1),1,0)</f>
        <v/>
      </c>
      <c r="AN52" s="14">
        <f>IF(AND(AN8&gt;Inputs!$F$21,AN43=1),1,0)</f>
        <v/>
      </c>
      <c r="AO52" s="14">
        <f>IF(AND(AO8&gt;Inputs!$F$21,AO43=1),1,0)</f>
        <v/>
      </c>
      <c r="AP52" s="14">
        <f>IF(AND(AP8&gt;Inputs!$F$21,AP43=1),1,0)</f>
        <v/>
      </c>
      <c r="AQ52" s="14">
        <f>IF(AND(AQ8&gt;Inputs!$F$21,AQ43=1),1,0)</f>
        <v/>
      </c>
      <c r="AR52" s="14">
        <f>IF(AND(AR8&gt;Inputs!$F$21,AR43=1),1,0)</f>
        <v/>
      </c>
      <c r="AS52" s="14">
        <f>IF(AND(AS8&gt;Inputs!$F$21,AS43=1),1,0)</f>
        <v/>
      </c>
      <c r="AT52" s="14">
        <f>IF(AND(AT8&gt;Inputs!$F$21,AT43=1),1,0)</f>
        <v/>
      </c>
      <c r="AU52" s="14">
        <f>IF(AND(AU8&gt;Inputs!$F$21,AU43=1),1,0)</f>
        <v/>
      </c>
      <c r="AV52" s="14">
        <f>IF(AND(AV8&gt;Inputs!$F$21,AV43=1),1,0)</f>
        <v/>
      </c>
      <c r="AW52" s="14">
        <f>IF(AND(AW8&gt;Inputs!$F$21,AW43=1),1,0)</f>
        <v/>
      </c>
      <c r="AX52" s="14">
        <f>IF(AND(AX8&gt;Inputs!$F$21,AX43=1),1,0)</f>
        <v/>
      </c>
      <c r="AY52" s="14">
        <f>IF(AND(AY8&gt;Inputs!$F$21,AY43=1),1,0)</f>
        <v/>
      </c>
      <c r="AZ52" s="14">
        <f>IF(AND(AZ8&gt;Inputs!$F$21,AZ43=1),1,0)</f>
        <v/>
      </c>
      <c r="BA52" s="14">
        <f>IF(AND(BA8&gt;Inputs!$F$21,BA43=1),1,0)</f>
        <v/>
      </c>
      <c r="BB52" s="14">
        <f>IF(AND(BB8&gt;Inputs!$F$21,BB43=1),1,0)</f>
        <v/>
      </c>
      <c r="BC52" s="14">
        <f>IF(AND(BC8&gt;Inputs!$F$21,BC43=1),1,0)</f>
        <v/>
      </c>
      <c r="BD52" s="14">
        <f>IF(AND(BD8&gt;Inputs!$F$21,BD43=1),1,0)</f>
        <v/>
      </c>
      <c r="BE52" s="14">
        <f>IF(AND(BE8&gt;Inputs!$F$21,BE43=1),1,0)</f>
        <v/>
      </c>
      <c r="BF52" s="14">
        <f>IF(AND(BF8&gt;Inputs!$F$21,BF43=1),1,0)</f>
        <v/>
      </c>
      <c r="BG52" s="14">
        <f>IF(AND(BG8&gt;Inputs!$F$21,BG43=1),1,0)</f>
        <v/>
      </c>
      <c r="BH52" s="14">
        <f>IF(AND(BH8&gt;Inputs!$F$21,BH43=1),1,0)</f>
        <v/>
      </c>
      <c r="BI52" s="14">
        <f>IF(AND(BI8&gt;Inputs!$F$21,BI43=1),1,0)</f>
        <v/>
      </c>
      <c r="BJ52" s="14">
        <f>IF(AND(BJ8&gt;Inputs!$F$21,BJ43=1),1,0)</f>
        <v/>
      </c>
      <c r="BK52" s="14">
        <f>IF(AND(BK8&gt;Inputs!$F$21,BK43=1),1,0)</f>
        <v/>
      </c>
      <c r="BL52" s="14">
        <f>IF(AND(BL8&gt;Inputs!$F$21,BL43=1),1,0)</f>
        <v/>
      </c>
      <c r="BM52" s="14">
        <f>IF(AND(BM8&gt;Inputs!$F$21,BM43=1),1,0)</f>
        <v/>
      </c>
      <c r="BN52" s="14">
        <f>IF(AND(BN8&gt;Inputs!$F$21,BN43=1),1,0)</f>
        <v/>
      </c>
      <c r="BO52" s="14">
        <f>IF(AND(BO8&gt;Inputs!$F$21,BO43=1),1,0)</f>
        <v/>
      </c>
      <c r="BP52" s="14">
        <f>IF(AND(BP8&gt;Inputs!$F$21,BP43=1),1,0)</f>
        <v/>
      </c>
      <c r="BQ52" s="14">
        <f>IF(AND(BQ8&gt;Inputs!$F$21,BQ43=1),1,0)</f>
        <v/>
      </c>
      <c r="BR52" s="14">
        <f>IF(AND(BR8&gt;Inputs!$F$21,BR43=1),1,0)</f>
        <v/>
      </c>
      <c r="BS52" s="14">
        <f>IF(AND(BS8&gt;Inputs!$F$21,BS43=1),1,0)</f>
        <v/>
      </c>
      <c r="BT52" s="14">
        <f>IF(AND(BT8&gt;Inputs!$F$21,BT43=1),1,0)</f>
        <v/>
      </c>
      <c r="BU52" s="14">
        <f>IF(AND(BU8&gt;Inputs!$F$21,BU43=1),1,0)</f>
        <v/>
      </c>
      <c r="BV52" s="14">
        <f>IF(AND(BV8&gt;Inputs!$F$21,BV43=1),1,0)</f>
        <v/>
      </c>
      <c r="BW52" s="14">
        <f>IF(AND(BW8&gt;Inputs!$F$21,BW43=1),1,0)</f>
        <v/>
      </c>
      <c r="BX52" s="14">
        <f>IF(AND(BX8&gt;Inputs!$F$21,BX43=1),1,0)</f>
        <v/>
      </c>
      <c r="BY52" s="14">
        <f>IF(AND(BY8&gt;Inputs!$F$21,BY43=1),1,0)</f>
        <v/>
      </c>
      <c r="BZ52" s="14">
        <f>IF(AND(BZ8&gt;Inputs!$F$21,BZ43=1),1,0)</f>
        <v/>
      </c>
      <c r="CA52" s="14">
        <f>IF(AND(CA8&gt;Inputs!$F$21,CA43=1),1,0)</f>
        <v/>
      </c>
      <c r="CB52" s="14">
        <f>IF(AND(CB8&gt;Inputs!$F$21,CB43=1),1,0)</f>
        <v/>
      </c>
      <c r="CC52" s="14">
        <f>IF(AND(CC8&gt;Inputs!$F$21,CC43=1),1,0)</f>
        <v/>
      </c>
      <c r="CD52" s="14">
        <f>IF(AND(CD8&gt;Inputs!$F$21,CD43=1),1,0)</f>
        <v/>
      </c>
      <c r="CE52" s="14">
        <f>IF(AND(CE8&gt;Inputs!$F$21,CE43=1),1,0)</f>
        <v/>
      </c>
      <c r="CF52" s="14">
        <f>IF(AND(CF8&gt;Inputs!$F$21,CF43=1),1,0)</f>
        <v/>
      </c>
      <c r="CG52" s="14">
        <f>IF(AND(CG8&gt;Inputs!$F$21,CG43=1),1,0)</f>
        <v/>
      </c>
      <c r="CH52" s="14">
        <f>IF(AND(CH8&gt;Inputs!$F$21,CH43=1),1,0)</f>
        <v/>
      </c>
      <c r="CI52" s="14">
        <f>IF(AND(CI8&gt;Inputs!$F$21,CI43=1),1,0)</f>
        <v/>
      </c>
      <c r="CJ52" s="14">
        <f>IF(AND(CJ8&gt;Inputs!$F$21,CJ43=1),1,0)</f>
        <v/>
      </c>
      <c r="CK52" s="14">
        <f>IF(AND(CK8&gt;Inputs!$F$21,CK43=1),1,0)</f>
        <v/>
      </c>
      <c r="CL52" s="14">
        <f>IF(AND(CL8&gt;Inputs!$F$21,CL43=1),1,0)</f>
        <v/>
      </c>
      <c r="CM52" s="14">
        <f>IF(AND(CM8&gt;Inputs!$F$21,CM43=1),1,0)</f>
        <v/>
      </c>
      <c r="CN52" s="14">
        <f>IF(AND(CN8&gt;Inputs!$F$21,CN43=1),1,0)</f>
        <v/>
      </c>
      <c r="CO52" s="14">
        <f>IF(AND(CO8&gt;Inputs!$F$21,CO43=1),1,0)</f>
        <v/>
      </c>
      <c r="CP52" s="14">
        <f>IF(AND(CP8&gt;Inputs!$F$21,CP43=1),1,0)</f>
        <v/>
      </c>
      <c r="CQ52" s="14">
        <f>IF(AND(CQ8&gt;Inputs!$F$21,CQ43=1),1,0)</f>
        <v/>
      </c>
      <c r="CR52" s="14">
        <f>IF(AND(CR8&gt;Inputs!$F$21,CR43=1),1,0)</f>
        <v/>
      </c>
      <c r="CS52" s="14">
        <f>IF(AND(CS8&gt;Inputs!$F$21,CS43=1),1,0)</f>
        <v/>
      </c>
      <c r="CT52" s="14">
        <f>IF(AND(CT8&gt;Inputs!$F$21,CT43=1),1,0)</f>
        <v/>
      </c>
      <c r="CU52" s="14">
        <f>IF(AND(CU8&gt;Inputs!$F$21,CU43=1),1,0)</f>
        <v/>
      </c>
      <c r="CV52" s="14">
        <f>IF(AND(CV8&gt;Inputs!$F$21,CV43=1),1,0)</f>
        <v/>
      </c>
      <c r="CW52" s="14">
        <f>IF(AND(CW8&gt;Inputs!$F$21,CW43=1),1,0)</f>
        <v/>
      </c>
      <c r="CX52" s="14">
        <f>IF(AND(CX8&gt;Inputs!$F$21,CX43=1),1,0)</f>
        <v/>
      </c>
      <c r="CY52" s="14">
        <f>IF(AND(CY8&gt;Inputs!$F$21,CY43=1),1,0)</f>
        <v/>
      </c>
      <c r="CZ52" s="14">
        <f>IF(AND(CZ8&gt;Inputs!$F$21,CZ43=1),1,0)</f>
        <v/>
      </c>
      <c r="DA52" s="14">
        <f>IF(AND(DA8&gt;Inputs!$F$21,DA43=1),1,0)</f>
        <v/>
      </c>
      <c r="DB52" s="14">
        <f>IF(AND(DB8&gt;Inputs!$F$21,DB43=1),1,0)</f>
        <v/>
      </c>
    </row>
    <row r="53">
      <c r="D53" s="3" t="inlineStr">
        <is>
          <t>Macro</t>
        </is>
      </c>
    </row>
    <row r="54">
      <c r="D54" t="inlineStr">
        <is>
          <t>6-month ABBR</t>
        </is>
      </c>
      <c r="E54" t="inlineStr">
        <is>
          <t>%pa</t>
        </is>
      </c>
      <c r="J54" s="18">
        <f>IFERROR(INDEX(Inputs!$J$260:$AG$260,MATCH(J13,Inputs!$J$259:$AG$259,0)),Inputs!$F$261)</f>
        <v/>
      </c>
      <c r="K54" s="18">
        <f>IFERROR(INDEX(Inputs!$J$260:$AG$260,MATCH(K13,Inputs!$J$259:$AG$259,0)),Inputs!$F$261)</f>
        <v/>
      </c>
      <c r="L54" s="18">
        <f>IFERROR(INDEX(Inputs!$J$260:$AG$260,MATCH(L13,Inputs!$J$259:$AG$259,0)),Inputs!$F$261)</f>
        <v/>
      </c>
      <c r="M54" s="18">
        <f>IFERROR(INDEX(Inputs!$J$260:$AG$260,MATCH(M13,Inputs!$J$259:$AG$259,0)),Inputs!$F$261)</f>
        <v/>
      </c>
      <c r="N54" s="18">
        <f>IFERROR(INDEX(Inputs!$J$260:$AG$260,MATCH(N13,Inputs!$J$259:$AG$259,0)),Inputs!$F$261)</f>
        <v/>
      </c>
      <c r="O54" s="18">
        <f>IFERROR(INDEX(Inputs!$J$260:$AG$260,MATCH(O13,Inputs!$J$259:$AG$259,0)),Inputs!$F$261)</f>
        <v/>
      </c>
      <c r="P54" s="18">
        <f>IFERROR(INDEX(Inputs!$J$260:$AG$260,MATCH(P13,Inputs!$J$259:$AG$259,0)),Inputs!$F$261)</f>
        <v/>
      </c>
      <c r="Q54" s="18">
        <f>IFERROR(INDEX(Inputs!$J$260:$AG$260,MATCH(Q13,Inputs!$J$259:$AG$259,0)),Inputs!$F$261)</f>
        <v/>
      </c>
      <c r="R54" s="18">
        <f>IFERROR(INDEX(Inputs!$J$260:$AG$260,MATCH(R13,Inputs!$J$259:$AG$259,0)),Inputs!$F$261)</f>
        <v/>
      </c>
      <c r="S54" s="18">
        <f>IFERROR(INDEX(Inputs!$J$260:$AG$260,MATCH(S13,Inputs!$J$259:$AG$259,0)),Inputs!$F$261)</f>
        <v/>
      </c>
      <c r="T54" s="18">
        <f>IFERROR(INDEX(Inputs!$J$260:$AG$260,MATCH(T13,Inputs!$J$259:$AG$259,0)),Inputs!$F$261)</f>
        <v/>
      </c>
      <c r="U54" s="18">
        <f>IFERROR(INDEX(Inputs!$J$260:$AG$260,MATCH(U13,Inputs!$J$259:$AG$259,0)),Inputs!$F$261)</f>
        <v/>
      </c>
      <c r="V54" s="18">
        <f>IFERROR(INDEX(Inputs!$J$260:$AG$260,MATCH(V13,Inputs!$J$259:$AG$259,0)),Inputs!$F$261)</f>
        <v/>
      </c>
      <c r="W54" s="18">
        <f>IFERROR(INDEX(Inputs!$J$260:$AG$260,MATCH(W13,Inputs!$J$259:$AG$259,0)),Inputs!$F$261)</f>
        <v/>
      </c>
      <c r="X54" s="18">
        <f>IFERROR(INDEX(Inputs!$J$260:$AG$260,MATCH(X13,Inputs!$J$259:$AG$259,0)),Inputs!$F$261)</f>
        <v/>
      </c>
      <c r="Y54" s="18">
        <f>IFERROR(INDEX(Inputs!$J$260:$AG$260,MATCH(Y13,Inputs!$J$259:$AG$259,0)),Inputs!$F$261)</f>
        <v/>
      </c>
      <c r="Z54" s="18">
        <f>IFERROR(INDEX(Inputs!$J$260:$AG$260,MATCH(Z13,Inputs!$J$259:$AG$259,0)),Inputs!$F$261)</f>
        <v/>
      </c>
      <c r="AA54" s="18">
        <f>IFERROR(INDEX(Inputs!$J$260:$AG$260,MATCH(AA13,Inputs!$J$259:$AG$259,0)),Inputs!$F$261)</f>
        <v/>
      </c>
      <c r="AB54" s="18">
        <f>IFERROR(INDEX(Inputs!$J$260:$AG$260,MATCH(AB13,Inputs!$J$259:$AG$259,0)),Inputs!$F$261)</f>
        <v/>
      </c>
      <c r="AC54" s="18">
        <f>IFERROR(INDEX(Inputs!$J$260:$AG$260,MATCH(AC13,Inputs!$J$259:$AG$259,0)),Inputs!$F$261)</f>
        <v/>
      </c>
      <c r="AD54" s="18">
        <f>IFERROR(INDEX(Inputs!$J$260:$AG$260,MATCH(AD13,Inputs!$J$259:$AG$259,0)),Inputs!$F$261)</f>
        <v/>
      </c>
      <c r="AE54" s="18">
        <f>IFERROR(INDEX(Inputs!$J$260:$AG$260,MATCH(AE13,Inputs!$J$259:$AG$259,0)),Inputs!$F$261)</f>
        <v/>
      </c>
      <c r="AF54" s="18">
        <f>IFERROR(INDEX(Inputs!$J$260:$AG$260,MATCH(AF13,Inputs!$J$259:$AG$259,0)),Inputs!$F$261)</f>
        <v/>
      </c>
      <c r="AG54" s="18">
        <f>IFERROR(INDEX(Inputs!$J$260:$AG$260,MATCH(AG13,Inputs!$J$259:$AG$259,0)),Inputs!$F$261)</f>
        <v/>
      </c>
      <c r="AH54" s="18">
        <f>IFERROR(INDEX(Inputs!$J$260:$AG$260,MATCH(AH13,Inputs!$J$259:$AG$259,0)),Inputs!$F$261)</f>
        <v/>
      </c>
      <c r="AI54" s="18">
        <f>IFERROR(INDEX(Inputs!$J$260:$AG$260,MATCH(AI13,Inputs!$J$259:$AG$259,0)),Inputs!$F$261)</f>
        <v/>
      </c>
      <c r="AJ54" s="18">
        <f>IFERROR(INDEX(Inputs!$J$260:$AG$260,MATCH(AJ13,Inputs!$J$259:$AG$259,0)),Inputs!$F$261)</f>
        <v/>
      </c>
      <c r="AK54" s="18">
        <f>IFERROR(INDEX(Inputs!$J$260:$AG$260,MATCH(AK13,Inputs!$J$259:$AG$259,0)),Inputs!$F$261)</f>
        <v/>
      </c>
      <c r="AL54" s="18">
        <f>IFERROR(INDEX(Inputs!$J$260:$AG$260,MATCH(AL13,Inputs!$J$259:$AG$259,0)),Inputs!$F$261)</f>
        <v/>
      </c>
      <c r="AM54" s="18">
        <f>IFERROR(INDEX(Inputs!$J$260:$AG$260,MATCH(AM13,Inputs!$J$259:$AG$259,0)),Inputs!$F$261)</f>
        <v/>
      </c>
      <c r="AN54" s="18">
        <f>IFERROR(INDEX(Inputs!$J$260:$AG$260,MATCH(AN13,Inputs!$J$259:$AG$259,0)),Inputs!$F$261)</f>
        <v/>
      </c>
      <c r="AO54" s="18">
        <f>IFERROR(INDEX(Inputs!$J$260:$AG$260,MATCH(AO13,Inputs!$J$259:$AG$259,0)),Inputs!$F$261)</f>
        <v/>
      </c>
      <c r="AP54" s="18">
        <f>IFERROR(INDEX(Inputs!$J$260:$AG$260,MATCH(AP13,Inputs!$J$259:$AG$259,0)),Inputs!$F$261)</f>
        <v/>
      </c>
      <c r="AQ54" s="18">
        <f>IFERROR(INDEX(Inputs!$J$260:$AG$260,MATCH(AQ13,Inputs!$J$259:$AG$259,0)),Inputs!$F$261)</f>
        <v/>
      </c>
      <c r="AR54" s="18">
        <f>IFERROR(INDEX(Inputs!$J$260:$AG$260,MATCH(AR13,Inputs!$J$259:$AG$259,0)),Inputs!$F$261)</f>
        <v/>
      </c>
      <c r="AS54" s="18">
        <f>IFERROR(INDEX(Inputs!$J$260:$AG$260,MATCH(AS13,Inputs!$J$259:$AG$259,0)),Inputs!$F$261)</f>
        <v/>
      </c>
      <c r="AT54" s="18">
        <f>IFERROR(INDEX(Inputs!$J$260:$AG$260,MATCH(AT13,Inputs!$J$259:$AG$259,0)),Inputs!$F$261)</f>
        <v/>
      </c>
      <c r="AU54" s="18">
        <f>IFERROR(INDEX(Inputs!$J$260:$AG$260,MATCH(AU13,Inputs!$J$259:$AG$259,0)),Inputs!$F$261)</f>
        <v/>
      </c>
      <c r="AV54" s="18">
        <f>IFERROR(INDEX(Inputs!$J$260:$AG$260,MATCH(AV13,Inputs!$J$259:$AG$259,0)),Inputs!$F$261)</f>
        <v/>
      </c>
      <c r="AW54" s="18">
        <f>IFERROR(INDEX(Inputs!$J$260:$AG$260,MATCH(AW13,Inputs!$J$259:$AG$259,0)),Inputs!$F$261)</f>
        <v/>
      </c>
      <c r="AX54" s="18">
        <f>IFERROR(INDEX(Inputs!$J$260:$AG$260,MATCH(AX13,Inputs!$J$259:$AG$259,0)),Inputs!$F$261)</f>
        <v/>
      </c>
      <c r="AY54" s="18">
        <f>IFERROR(INDEX(Inputs!$J$260:$AG$260,MATCH(AY13,Inputs!$J$259:$AG$259,0)),Inputs!$F$261)</f>
        <v/>
      </c>
      <c r="AZ54" s="18">
        <f>IFERROR(INDEX(Inputs!$J$260:$AG$260,MATCH(AZ13,Inputs!$J$259:$AG$259,0)),Inputs!$F$261)</f>
        <v/>
      </c>
      <c r="BA54" s="18">
        <f>IFERROR(INDEX(Inputs!$J$260:$AG$260,MATCH(BA13,Inputs!$J$259:$AG$259,0)),Inputs!$F$261)</f>
        <v/>
      </c>
      <c r="BB54" s="18">
        <f>IFERROR(INDEX(Inputs!$J$260:$AG$260,MATCH(BB13,Inputs!$J$259:$AG$259,0)),Inputs!$F$261)</f>
        <v/>
      </c>
      <c r="BC54" s="18">
        <f>IFERROR(INDEX(Inputs!$J$260:$AG$260,MATCH(BC13,Inputs!$J$259:$AG$259,0)),Inputs!$F$261)</f>
        <v/>
      </c>
      <c r="BD54" s="18">
        <f>IFERROR(INDEX(Inputs!$J$260:$AG$260,MATCH(BD13,Inputs!$J$259:$AG$259,0)),Inputs!$F$261)</f>
        <v/>
      </c>
      <c r="BE54" s="18">
        <f>IFERROR(INDEX(Inputs!$J$260:$AG$260,MATCH(BE13,Inputs!$J$259:$AG$259,0)),Inputs!$F$261)</f>
        <v/>
      </c>
      <c r="BF54" s="18">
        <f>IFERROR(INDEX(Inputs!$J$260:$AG$260,MATCH(BF13,Inputs!$J$259:$AG$259,0)),Inputs!$F$261)</f>
        <v/>
      </c>
      <c r="BG54" s="18">
        <f>IFERROR(INDEX(Inputs!$J$260:$AG$260,MATCH(BG13,Inputs!$J$259:$AG$259,0)),Inputs!$F$261)</f>
        <v/>
      </c>
      <c r="BH54" s="18">
        <f>IFERROR(INDEX(Inputs!$J$260:$AG$260,MATCH(BH13,Inputs!$J$259:$AG$259,0)),Inputs!$F$261)</f>
        <v/>
      </c>
      <c r="BI54" s="18">
        <f>IFERROR(INDEX(Inputs!$J$260:$AG$260,MATCH(BI13,Inputs!$J$259:$AG$259,0)),Inputs!$F$261)</f>
        <v/>
      </c>
      <c r="BJ54" s="18">
        <f>IFERROR(INDEX(Inputs!$J$260:$AG$260,MATCH(BJ13,Inputs!$J$259:$AG$259,0)),Inputs!$F$261)</f>
        <v/>
      </c>
      <c r="BK54" s="18">
        <f>IFERROR(INDEX(Inputs!$J$260:$AG$260,MATCH(BK13,Inputs!$J$259:$AG$259,0)),Inputs!$F$261)</f>
        <v/>
      </c>
      <c r="BL54" s="18">
        <f>IFERROR(INDEX(Inputs!$J$260:$AG$260,MATCH(BL13,Inputs!$J$259:$AG$259,0)),Inputs!$F$261)</f>
        <v/>
      </c>
      <c r="BM54" s="18">
        <f>IFERROR(INDEX(Inputs!$J$260:$AG$260,MATCH(BM13,Inputs!$J$259:$AG$259,0)),Inputs!$F$261)</f>
        <v/>
      </c>
      <c r="BN54" s="18">
        <f>IFERROR(INDEX(Inputs!$J$260:$AG$260,MATCH(BN13,Inputs!$J$259:$AG$259,0)),Inputs!$F$261)</f>
        <v/>
      </c>
      <c r="BO54" s="18">
        <f>IFERROR(INDEX(Inputs!$J$260:$AG$260,MATCH(BO13,Inputs!$J$259:$AG$259,0)),Inputs!$F$261)</f>
        <v/>
      </c>
      <c r="BP54" s="18">
        <f>IFERROR(INDEX(Inputs!$J$260:$AG$260,MATCH(BP13,Inputs!$J$259:$AG$259,0)),Inputs!$F$261)</f>
        <v/>
      </c>
      <c r="BQ54" s="18">
        <f>IFERROR(INDEX(Inputs!$J$260:$AG$260,MATCH(BQ13,Inputs!$J$259:$AG$259,0)),Inputs!$F$261)</f>
        <v/>
      </c>
      <c r="BR54" s="18">
        <f>IFERROR(INDEX(Inputs!$J$260:$AG$260,MATCH(BR13,Inputs!$J$259:$AG$259,0)),Inputs!$F$261)</f>
        <v/>
      </c>
      <c r="BS54" s="18">
        <f>IFERROR(INDEX(Inputs!$J$260:$AG$260,MATCH(BS13,Inputs!$J$259:$AG$259,0)),Inputs!$F$261)</f>
        <v/>
      </c>
      <c r="BT54" s="18">
        <f>IFERROR(INDEX(Inputs!$J$260:$AG$260,MATCH(BT13,Inputs!$J$259:$AG$259,0)),Inputs!$F$261)</f>
        <v/>
      </c>
      <c r="BU54" s="18">
        <f>IFERROR(INDEX(Inputs!$J$260:$AG$260,MATCH(BU13,Inputs!$J$259:$AG$259,0)),Inputs!$F$261)</f>
        <v/>
      </c>
      <c r="BV54" s="18">
        <f>IFERROR(INDEX(Inputs!$J$260:$AG$260,MATCH(BV13,Inputs!$J$259:$AG$259,0)),Inputs!$F$261)</f>
        <v/>
      </c>
      <c r="BW54" s="18">
        <f>IFERROR(INDEX(Inputs!$J$260:$AG$260,MATCH(BW13,Inputs!$J$259:$AG$259,0)),Inputs!$F$261)</f>
        <v/>
      </c>
      <c r="BX54" s="18">
        <f>IFERROR(INDEX(Inputs!$J$260:$AG$260,MATCH(BX13,Inputs!$J$259:$AG$259,0)),Inputs!$F$261)</f>
        <v/>
      </c>
      <c r="BY54" s="18">
        <f>IFERROR(INDEX(Inputs!$J$260:$AG$260,MATCH(BY13,Inputs!$J$259:$AG$259,0)),Inputs!$F$261)</f>
        <v/>
      </c>
      <c r="BZ54" s="18">
        <f>IFERROR(INDEX(Inputs!$J$260:$AG$260,MATCH(BZ13,Inputs!$J$259:$AG$259,0)),Inputs!$F$261)</f>
        <v/>
      </c>
      <c r="CA54" s="18">
        <f>IFERROR(INDEX(Inputs!$J$260:$AG$260,MATCH(CA13,Inputs!$J$259:$AG$259,0)),Inputs!$F$261)</f>
        <v/>
      </c>
      <c r="CB54" s="18">
        <f>IFERROR(INDEX(Inputs!$J$260:$AG$260,MATCH(CB13,Inputs!$J$259:$AG$259,0)),Inputs!$F$261)</f>
        <v/>
      </c>
      <c r="CC54" s="18">
        <f>IFERROR(INDEX(Inputs!$J$260:$AG$260,MATCH(CC13,Inputs!$J$259:$AG$259,0)),Inputs!$F$261)</f>
        <v/>
      </c>
      <c r="CD54" s="18">
        <f>IFERROR(INDEX(Inputs!$J$260:$AG$260,MATCH(CD13,Inputs!$J$259:$AG$259,0)),Inputs!$F$261)</f>
        <v/>
      </c>
      <c r="CE54" s="18">
        <f>IFERROR(INDEX(Inputs!$J$260:$AG$260,MATCH(CE13,Inputs!$J$259:$AG$259,0)),Inputs!$F$261)</f>
        <v/>
      </c>
      <c r="CF54" s="18">
        <f>IFERROR(INDEX(Inputs!$J$260:$AG$260,MATCH(CF13,Inputs!$J$259:$AG$259,0)),Inputs!$F$261)</f>
        <v/>
      </c>
      <c r="CG54" s="18">
        <f>IFERROR(INDEX(Inputs!$J$260:$AG$260,MATCH(CG13,Inputs!$J$259:$AG$259,0)),Inputs!$F$261)</f>
        <v/>
      </c>
      <c r="CH54" s="18">
        <f>IFERROR(INDEX(Inputs!$J$260:$AG$260,MATCH(CH13,Inputs!$J$259:$AG$259,0)),Inputs!$F$261)</f>
        <v/>
      </c>
      <c r="CI54" s="18">
        <f>IFERROR(INDEX(Inputs!$J$260:$AG$260,MATCH(CI13,Inputs!$J$259:$AG$259,0)),Inputs!$F$261)</f>
        <v/>
      </c>
      <c r="CJ54" s="18">
        <f>IFERROR(INDEX(Inputs!$J$260:$AG$260,MATCH(CJ13,Inputs!$J$259:$AG$259,0)),Inputs!$F$261)</f>
        <v/>
      </c>
      <c r="CK54" s="18">
        <f>IFERROR(INDEX(Inputs!$J$260:$AG$260,MATCH(CK13,Inputs!$J$259:$AG$259,0)),Inputs!$F$261)</f>
        <v/>
      </c>
      <c r="CL54" s="18">
        <f>IFERROR(INDEX(Inputs!$J$260:$AG$260,MATCH(CL13,Inputs!$J$259:$AG$259,0)),Inputs!$F$261)</f>
        <v/>
      </c>
      <c r="CM54" s="18">
        <f>IFERROR(INDEX(Inputs!$J$260:$AG$260,MATCH(CM13,Inputs!$J$259:$AG$259,0)),Inputs!$F$261)</f>
        <v/>
      </c>
      <c r="CN54" s="18">
        <f>IFERROR(INDEX(Inputs!$J$260:$AG$260,MATCH(CN13,Inputs!$J$259:$AG$259,0)),Inputs!$F$261)</f>
        <v/>
      </c>
      <c r="CO54" s="18">
        <f>IFERROR(INDEX(Inputs!$J$260:$AG$260,MATCH(CO13,Inputs!$J$259:$AG$259,0)),Inputs!$F$261)</f>
        <v/>
      </c>
      <c r="CP54" s="18">
        <f>IFERROR(INDEX(Inputs!$J$260:$AG$260,MATCH(CP13,Inputs!$J$259:$AG$259,0)),Inputs!$F$261)</f>
        <v/>
      </c>
      <c r="CQ54" s="18">
        <f>IFERROR(INDEX(Inputs!$J$260:$AG$260,MATCH(CQ13,Inputs!$J$259:$AG$259,0)),Inputs!$F$261)</f>
        <v/>
      </c>
      <c r="CR54" s="18">
        <f>IFERROR(INDEX(Inputs!$J$260:$AG$260,MATCH(CR13,Inputs!$J$259:$AG$259,0)),Inputs!$F$261)</f>
        <v/>
      </c>
      <c r="CS54" s="18">
        <f>IFERROR(INDEX(Inputs!$J$260:$AG$260,MATCH(CS13,Inputs!$J$259:$AG$259,0)),Inputs!$F$261)</f>
        <v/>
      </c>
      <c r="CT54" s="18">
        <f>IFERROR(INDEX(Inputs!$J$260:$AG$260,MATCH(CT13,Inputs!$J$259:$AG$259,0)),Inputs!$F$261)</f>
        <v/>
      </c>
      <c r="CU54" s="18">
        <f>IFERROR(INDEX(Inputs!$J$260:$AG$260,MATCH(CU13,Inputs!$J$259:$AG$259,0)),Inputs!$F$261)</f>
        <v/>
      </c>
      <c r="CV54" s="18">
        <f>IFERROR(INDEX(Inputs!$J$260:$AG$260,MATCH(CV13,Inputs!$J$259:$AG$259,0)),Inputs!$F$261)</f>
        <v/>
      </c>
      <c r="CW54" s="18">
        <f>IFERROR(INDEX(Inputs!$J$260:$AG$260,MATCH(CW13,Inputs!$J$259:$AG$259,0)),Inputs!$F$261)</f>
        <v/>
      </c>
      <c r="CX54" s="18">
        <f>IFERROR(INDEX(Inputs!$J$260:$AG$260,MATCH(CX13,Inputs!$J$259:$AG$259,0)),Inputs!$F$261)</f>
        <v/>
      </c>
      <c r="CY54" s="18">
        <f>IFERROR(INDEX(Inputs!$J$260:$AG$260,MATCH(CY13,Inputs!$J$259:$AG$259,0)),Inputs!$F$261)</f>
        <v/>
      </c>
      <c r="CZ54" s="18">
        <f>IFERROR(INDEX(Inputs!$J$260:$AG$260,MATCH(CZ13,Inputs!$J$259:$AG$259,0)),Inputs!$F$261)</f>
        <v/>
      </c>
      <c r="DA54" s="18">
        <f>IFERROR(INDEX(Inputs!$J$260:$AG$260,MATCH(DA13,Inputs!$J$259:$AG$259,0)),Inputs!$F$261)</f>
        <v/>
      </c>
      <c r="DB54" s="18">
        <f>IFERROR(INDEX(Inputs!$J$260:$AG$260,MATCH(DB13,Inputs!$J$259:$AG$259,0)),Inputs!$F$261)</f>
        <v/>
      </c>
    </row>
    <row r="55">
      <c r="D55" t="inlineStr">
        <is>
          <t>Ardmore CPI change for the year (selected path)</t>
        </is>
      </c>
      <c r="E55" t="inlineStr">
        <is>
          <t>%pa</t>
        </is>
      </c>
      <c r="J55" s="18">
        <f>IF(Inputs!$F$217=1,INDEX(Inputs!$J$258:$BE$258,MATCH(J11,Inputs!$J$256:$BE$256,0)),INDEX(Inputs!$J$257:$BE$257,MATCH(J11,Inputs!$J$256:$BE$256,0)))</f>
        <v/>
      </c>
      <c r="K55" s="18">
        <f>IF(Inputs!$F$217=1,INDEX(Inputs!$J$258:$BE$258,MATCH(K11,Inputs!$J$256:$BE$256,0)),INDEX(Inputs!$J$257:$BE$257,MATCH(K11,Inputs!$J$256:$BE$256,0)))</f>
        <v/>
      </c>
      <c r="L55" s="18">
        <f>IF(Inputs!$F$217=1,INDEX(Inputs!$J$258:$BE$258,MATCH(L11,Inputs!$J$256:$BE$256,0)),INDEX(Inputs!$J$257:$BE$257,MATCH(L11,Inputs!$J$256:$BE$256,0)))</f>
        <v/>
      </c>
      <c r="M55" s="18">
        <f>IF(Inputs!$F$217=1,INDEX(Inputs!$J$258:$BE$258,MATCH(M11,Inputs!$J$256:$BE$256,0)),INDEX(Inputs!$J$257:$BE$257,MATCH(M11,Inputs!$J$256:$BE$256,0)))</f>
        <v/>
      </c>
      <c r="N55" s="18">
        <f>IF(Inputs!$F$217=1,INDEX(Inputs!$J$258:$BE$258,MATCH(N11,Inputs!$J$256:$BE$256,0)),INDEX(Inputs!$J$257:$BE$257,MATCH(N11,Inputs!$J$256:$BE$256,0)))</f>
        <v/>
      </c>
      <c r="O55" s="18">
        <f>IF(Inputs!$F$217=1,INDEX(Inputs!$J$258:$BE$258,MATCH(O11,Inputs!$J$256:$BE$256,0)),INDEX(Inputs!$J$257:$BE$257,MATCH(O11,Inputs!$J$256:$BE$256,0)))</f>
        <v/>
      </c>
      <c r="P55" s="18">
        <f>IF(Inputs!$F$217=1,INDEX(Inputs!$J$258:$BE$258,MATCH(P11,Inputs!$J$256:$BE$256,0)),INDEX(Inputs!$J$257:$BE$257,MATCH(P11,Inputs!$J$256:$BE$256,0)))</f>
        <v/>
      </c>
      <c r="Q55" s="18">
        <f>IF(Inputs!$F$217=1,INDEX(Inputs!$J$258:$BE$258,MATCH(Q11,Inputs!$J$256:$BE$256,0)),INDEX(Inputs!$J$257:$BE$257,MATCH(Q11,Inputs!$J$256:$BE$256,0)))</f>
        <v/>
      </c>
      <c r="R55" s="18">
        <f>IF(Inputs!$F$217=1,INDEX(Inputs!$J$258:$BE$258,MATCH(R11,Inputs!$J$256:$BE$256,0)),INDEX(Inputs!$J$257:$BE$257,MATCH(R11,Inputs!$J$256:$BE$256,0)))</f>
        <v/>
      </c>
      <c r="S55" s="18">
        <f>IF(Inputs!$F$217=1,INDEX(Inputs!$J$258:$BE$258,MATCH(S11,Inputs!$J$256:$BE$256,0)),INDEX(Inputs!$J$257:$BE$257,MATCH(S11,Inputs!$J$256:$BE$256,0)))</f>
        <v/>
      </c>
      <c r="T55" s="18">
        <f>IF(Inputs!$F$217=1,INDEX(Inputs!$J$258:$BE$258,MATCH(T11,Inputs!$J$256:$BE$256,0)),INDEX(Inputs!$J$257:$BE$257,MATCH(T11,Inputs!$J$256:$BE$256,0)))</f>
        <v/>
      </c>
      <c r="U55" s="18">
        <f>IF(Inputs!$F$217=1,INDEX(Inputs!$J$258:$BE$258,MATCH(U11,Inputs!$J$256:$BE$256,0)),INDEX(Inputs!$J$257:$BE$257,MATCH(U11,Inputs!$J$256:$BE$256,0)))</f>
        <v/>
      </c>
      <c r="V55" s="18">
        <f>IF(Inputs!$F$217=1,INDEX(Inputs!$J$258:$BE$258,MATCH(V11,Inputs!$J$256:$BE$256,0)),INDEX(Inputs!$J$257:$BE$257,MATCH(V11,Inputs!$J$256:$BE$256,0)))</f>
        <v/>
      </c>
      <c r="W55" s="18">
        <f>IF(Inputs!$F$217=1,INDEX(Inputs!$J$258:$BE$258,MATCH(W11,Inputs!$J$256:$BE$256,0)),INDEX(Inputs!$J$257:$BE$257,MATCH(W11,Inputs!$J$256:$BE$256,0)))</f>
        <v/>
      </c>
      <c r="X55" s="18">
        <f>IF(Inputs!$F$217=1,INDEX(Inputs!$J$258:$BE$258,MATCH(X11,Inputs!$J$256:$BE$256,0)),INDEX(Inputs!$J$257:$BE$257,MATCH(X11,Inputs!$J$256:$BE$256,0)))</f>
        <v/>
      </c>
      <c r="Y55" s="18">
        <f>IF(Inputs!$F$217=1,INDEX(Inputs!$J$258:$BE$258,MATCH(Y11,Inputs!$J$256:$BE$256,0)),INDEX(Inputs!$J$257:$BE$257,MATCH(Y11,Inputs!$J$256:$BE$256,0)))</f>
        <v/>
      </c>
      <c r="Z55" s="18">
        <f>IF(Inputs!$F$217=1,INDEX(Inputs!$J$258:$BE$258,MATCH(Z11,Inputs!$J$256:$BE$256,0)),INDEX(Inputs!$J$257:$BE$257,MATCH(Z11,Inputs!$J$256:$BE$256,0)))</f>
        <v/>
      </c>
      <c r="AA55" s="18">
        <f>IF(Inputs!$F$217=1,INDEX(Inputs!$J$258:$BE$258,MATCH(AA11,Inputs!$J$256:$BE$256,0)),INDEX(Inputs!$J$257:$BE$257,MATCH(AA11,Inputs!$J$256:$BE$256,0)))</f>
        <v/>
      </c>
      <c r="AB55" s="18">
        <f>IF(Inputs!$F$217=1,INDEX(Inputs!$J$258:$BE$258,MATCH(AB11,Inputs!$J$256:$BE$256,0)),INDEX(Inputs!$J$257:$BE$257,MATCH(AB11,Inputs!$J$256:$BE$256,0)))</f>
        <v/>
      </c>
      <c r="AC55" s="18">
        <f>IF(Inputs!$F$217=1,INDEX(Inputs!$J$258:$BE$258,MATCH(AC11,Inputs!$J$256:$BE$256,0)),INDEX(Inputs!$J$257:$BE$257,MATCH(AC11,Inputs!$J$256:$BE$256,0)))</f>
        <v/>
      </c>
      <c r="AD55" s="18">
        <f>IF(Inputs!$F$217=1,INDEX(Inputs!$J$258:$BE$258,MATCH(AD11,Inputs!$J$256:$BE$256,0)),INDEX(Inputs!$J$257:$BE$257,MATCH(AD11,Inputs!$J$256:$BE$256,0)))</f>
        <v/>
      </c>
      <c r="AE55" s="18">
        <f>IF(Inputs!$F$217=1,INDEX(Inputs!$J$258:$BE$258,MATCH(AE11,Inputs!$J$256:$BE$256,0)),INDEX(Inputs!$J$257:$BE$257,MATCH(AE11,Inputs!$J$256:$BE$256,0)))</f>
        <v/>
      </c>
      <c r="AF55" s="18">
        <f>IF(Inputs!$F$217=1,INDEX(Inputs!$J$258:$BE$258,MATCH(AF11,Inputs!$J$256:$BE$256,0)),INDEX(Inputs!$J$257:$BE$257,MATCH(AF11,Inputs!$J$256:$BE$256,0)))</f>
        <v/>
      </c>
      <c r="AG55" s="18">
        <f>IF(Inputs!$F$217=1,INDEX(Inputs!$J$258:$BE$258,MATCH(AG11,Inputs!$J$256:$BE$256,0)),INDEX(Inputs!$J$257:$BE$257,MATCH(AG11,Inputs!$J$256:$BE$256,0)))</f>
        <v/>
      </c>
      <c r="AH55" s="18">
        <f>IF(Inputs!$F$217=1,INDEX(Inputs!$J$258:$BE$258,MATCH(AH11,Inputs!$J$256:$BE$256,0)),INDEX(Inputs!$J$257:$BE$257,MATCH(AH11,Inputs!$J$256:$BE$256,0)))</f>
        <v/>
      </c>
      <c r="AI55" s="18">
        <f>IF(Inputs!$F$217=1,INDEX(Inputs!$J$258:$BE$258,MATCH(AI11,Inputs!$J$256:$BE$256,0)),INDEX(Inputs!$J$257:$BE$257,MATCH(AI11,Inputs!$J$256:$BE$256,0)))</f>
        <v/>
      </c>
      <c r="AJ55" s="18">
        <f>IF(Inputs!$F$217=1,INDEX(Inputs!$J$258:$BE$258,MATCH(AJ11,Inputs!$J$256:$BE$256,0)),INDEX(Inputs!$J$257:$BE$257,MATCH(AJ11,Inputs!$J$256:$BE$256,0)))</f>
        <v/>
      </c>
      <c r="AK55" s="18">
        <f>IF(Inputs!$F$217=1,INDEX(Inputs!$J$258:$BE$258,MATCH(AK11,Inputs!$J$256:$BE$256,0)),INDEX(Inputs!$J$257:$BE$257,MATCH(AK11,Inputs!$J$256:$BE$256,0)))</f>
        <v/>
      </c>
      <c r="AL55" s="18">
        <f>IF(Inputs!$F$217=1,INDEX(Inputs!$J$258:$BE$258,MATCH(AL11,Inputs!$J$256:$BE$256,0)),INDEX(Inputs!$J$257:$BE$257,MATCH(AL11,Inputs!$J$256:$BE$256,0)))</f>
        <v/>
      </c>
      <c r="AM55" s="18">
        <f>IF(Inputs!$F$217=1,INDEX(Inputs!$J$258:$BE$258,MATCH(AM11,Inputs!$J$256:$BE$256,0)),INDEX(Inputs!$J$257:$BE$257,MATCH(AM11,Inputs!$J$256:$BE$256,0)))</f>
        <v/>
      </c>
      <c r="AN55" s="18">
        <f>IF(Inputs!$F$217=1,INDEX(Inputs!$J$258:$BE$258,MATCH(AN11,Inputs!$J$256:$BE$256,0)),INDEX(Inputs!$J$257:$BE$257,MATCH(AN11,Inputs!$J$256:$BE$256,0)))</f>
        <v/>
      </c>
      <c r="AO55" s="18">
        <f>IF(Inputs!$F$217=1,INDEX(Inputs!$J$258:$BE$258,MATCH(AO11,Inputs!$J$256:$BE$256,0)),INDEX(Inputs!$J$257:$BE$257,MATCH(AO11,Inputs!$J$256:$BE$256,0)))</f>
        <v/>
      </c>
      <c r="AP55" s="18">
        <f>IF(Inputs!$F$217=1,INDEX(Inputs!$J$258:$BE$258,MATCH(AP11,Inputs!$J$256:$BE$256,0)),INDEX(Inputs!$J$257:$BE$257,MATCH(AP11,Inputs!$J$256:$BE$256,0)))</f>
        <v/>
      </c>
      <c r="AQ55" s="18">
        <f>IF(Inputs!$F$217=1,INDEX(Inputs!$J$258:$BE$258,MATCH(AQ11,Inputs!$J$256:$BE$256,0)),INDEX(Inputs!$J$257:$BE$257,MATCH(AQ11,Inputs!$J$256:$BE$256,0)))</f>
        <v/>
      </c>
      <c r="AR55" s="18">
        <f>IF(Inputs!$F$217=1,INDEX(Inputs!$J$258:$BE$258,MATCH(AR11,Inputs!$J$256:$BE$256,0)),INDEX(Inputs!$J$257:$BE$257,MATCH(AR11,Inputs!$J$256:$BE$256,0)))</f>
        <v/>
      </c>
      <c r="AS55" s="18">
        <f>IF(Inputs!$F$217=1,INDEX(Inputs!$J$258:$BE$258,MATCH(AS11,Inputs!$J$256:$BE$256,0)),INDEX(Inputs!$J$257:$BE$257,MATCH(AS11,Inputs!$J$256:$BE$256,0)))</f>
        <v/>
      </c>
      <c r="AT55" s="18">
        <f>IF(Inputs!$F$217=1,INDEX(Inputs!$J$258:$BE$258,MATCH(AT11,Inputs!$J$256:$BE$256,0)),INDEX(Inputs!$J$257:$BE$257,MATCH(AT11,Inputs!$J$256:$BE$256,0)))</f>
        <v/>
      </c>
      <c r="AU55" s="18">
        <f>IF(Inputs!$F$217=1,INDEX(Inputs!$J$258:$BE$258,MATCH(AU11,Inputs!$J$256:$BE$256,0)),INDEX(Inputs!$J$257:$BE$257,MATCH(AU11,Inputs!$J$256:$BE$256,0)))</f>
        <v/>
      </c>
      <c r="AV55" s="18">
        <f>IF(Inputs!$F$217=1,INDEX(Inputs!$J$258:$BE$258,MATCH(AV11,Inputs!$J$256:$BE$256,0)),INDEX(Inputs!$J$257:$BE$257,MATCH(AV11,Inputs!$J$256:$BE$256,0)))</f>
        <v/>
      </c>
      <c r="AW55" s="18">
        <f>IF(Inputs!$F$217=1,INDEX(Inputs!$J$258:$BE$258,MATCH(AW11,Inputs!$J$256:$BE$256,0)),INDEX(Inputs!$J$257:$BE$257,MATCH(AW11,Inputs!$J$256:$BE$256,0)))</f>
        <v/>
      </c>
      <c r="AX55" s="18">
        <f>IF(Inputs!$F$217=1,INDEX(Inputs!$J$258:$BE$258,MATCH(AX11,Inputs!$J$256:$BE$256,0)),INDEX(Inputs!$J$257:$BE$257,MATCH(AX11,Inputs!$J$256:$BE$256,0)))</f>
        <v/>
      </c>
      <c r="AY55" s="18">
        <f>IF(Inputs!$F$217=1,INDEX(Inputs!$J$258:$BE$258,MATCH(AY11,Inputs!$J$256:$BE$256,0)),INDEX(Inputs!$J$257:$BE$257,MATCH(AY11,Inputs!$J$256:$BE$256,0)))</f>
        <v/>
      </c>
      <c r="AZ55" s="18">
        <f>IF(Inputs!$F$217=1,INDEX(Inputs!$J$258:$BE$258,MATCH(AZ11,Inputs!$J$256:$BE$256,0)),INDEX(Inputs!$J$257:$BE$257,MATCH(AZ11,Inputs!$J$256:$BE$256,0)))</f>
        <v/>
      </c>
      <c r="BA55" s="18">
        <f>IF(Inputs!$F$217=1,INDEX(Inputs!$J$258:$BE$258,MATCH(BA11,Inputs!$J$256:$BE$256,0)),INDEX(Inputs!$J$257:$BE$257,MATCH(BA11,Inputs!$J$256:$BE$256,0)))</f>
        <v/>
      </c>
      <c r="BB55" s="18">
        <f>IF(Inputs!$F$217=1,INDEX(Inputs!$J$258:$BE$258,MATCH(BB11,Inputs!$J$256:$BE$256,0)),INDEX(Inputs!$J$257:$BE$257,MATCH(BB11,Inputs!$J$256:$BE$256,0)))</f>
        <v/>
      </c>
      <c r="BC55" s="18">
        <f>IF(Inputs!$F$217=1,INDEX(Inputs!$J$258:$BE$258,MATCH(BC11,Inputs!$J$256:$BE$256,0)),INDEX(Inputs!$J$257:$BE$257,MATCH(BC11,Inputs!$J$256:$BE$256,0)))</f>
        <v/>
      </c>
      <c r="BD55" s="18">
        <f>IF(Inputs!$F$217=1,INDEX(Inputs!$J$258:$BE$258,MATCH(BD11,Inputs!$J$256:$BE$256,0)),INDEX(Inputs!$J$257:$BE$257,MATCH(BD11,Inputs!$J$256:$BE$256,0)))</f>
        <v/>
      </c>
      <c r="BE55" s="18">
        <f>IF(Inputs!$F$217=1,INDEX(Inputs!$J$258:$BE$258,MATCH(BE11,Inputs!$J$256:$BE$256,0)),INDEX(Inputs!$J$257:$BE$257,MATCH(BE11,Inputs!$J$256:$BE$256,0)))</f>
        <v/>
      </c>
      <c r="BF55" s="18">
        <f>IF(Inputs!$F$217=1,INDEX(Inputs!$J$258:$BE$258,MATCH(BF11,Inputs!$J$256:$BE$256,0)),INDEX(Inputs!$J$257:$BE$257,MATCH(BF11,Inputs!$J$256:$BE$256,0)))</f>
        <v/>
      </c>
      <c r="BG55" s="18">
        <f>IF(Inputs!$F$217=1,INDEX(Inputs!$J$258:$BE$258,MATCH(BG11,Inputs!$J$256:$BE$256,0)),INDEX(Inputs!$J$257:$BE$257,MATCH(BG11,Inputs!$J$256:$BE$256,0)))</f>
        <v/>
      </c>
      <c r="BH55" s="18">
        <f>IF(Inputs!$F$217=1,INDEX(Inputs!$J$258:$BE$258,MATCH(BH11,Inputs!$J$256:$BE$256,0)),INDEX(Inputs!$J$257:$BE$257,MATCH(BH11,Inputs!$J$256:$BE$256,0)))</f>
        <v/>
      </c>
      <c r="BI55" s="18">
        <f>IF(Inputs!$F$217=1,INDEX(Inputs!$J$258:$BE$258,MATCH(BI11,Inputs!$J$256:$BE$256,0)),INDEX(Inputs!$J$257:$BE$257,MATCH(BI11,Inputs!$J$256:$BE$256,0)))</f>
        <v/>
      </c>
      <c r="BJ55" s="18">
        <f>IF(Inputs!$F$217=1,INDEX(Inputs!$J$258:$BE$258,MATCH(BJ11,Inputs!$J$256:$BE$256,0)),INDEX(Inputs!$J$257:$BE$257,MATCH(BJ11,Inputs!$J$256:$BE$256,0)))</f>
        <v/>
      </c>
      <c r="BK55" s="18">
        <f>IF(Inputs!$F$217=1,INDEX(Inputs!$J$258:$BE$258,MATCH(BK11,Inputs!$J$256:$BE$256,0)),INDEX(Inputs!$J$257:$BE$257,MATCH(BK11,Inputs!$J$256:$BE$256,0)))</f>
        <v/>
      </c>
      <c r="BL55" s="18">
        <f>IF(Inputs!$F$217=1,INDEX(Inputs!$J$258:$BE$258,MATCH(BL11,Inputs!$J$256:$BE$256,0)),INDEX(Inputs!$J$257:$BE$257,MATCH(BL11,Inputs!$J$256:$BE$256,0)))</f>
        <v/>
      </c>
      <c r="BM55" s="18">
        <f>IF(Inputs!$F$217=1,INDEX(Inputs!$J$258:$BE$258,MATCH(BM11,Inputs!$J$256:$BE$256,0)),INDEX(Inputs!$J$257:$BE$257,MATCH(BM11,Inputs!$J$256:$BE$256,0)))</f>
        <v/>
      </c>
      <c r="BN55" s="18">
        <f>IF(Inputs!$F$217=1,INDEX(Inputs!$J$258:$BE$258,MATCH(BN11,Inputs!$J$256:$BE$256,0)),INDEX(Inputs!$J$257:$BE$257,MATCH(BN11,Inputs!$J$256:$BE$256,0)))</f>
        <v/>
      </c>
      <c r="BO55" s="18">
        <f>IF(Inputs!$F$217=1,INDEX(Inputs!$J$258:$BE$258,MATCH(BO11,Inputs!$J$256:$BE$256,0)),INDEX(Inputs!$J$257:$BE$257,MATCH(BO11,Inputs!$J$256:$BE$256,0)))</f>
        <v/>
      </c>
      <c r="BP55" s="18">
        <f>IF(Inputs!$F$217=1,INDEX(Inputs!$J$258:$BE$258,MATCH(BP11,Inputs!$J$256:$BE$256,0)),INDEX(Inputs!$J$257:$BE$257,MATCH(BP11,Inputs!$J$256:$BE$256,0)))</f>
        <v/>
      </c>
      <c r="BQ55" s="18">
        <f>IF(Inputs!$F$217=1,INDEX(Inputs!$J$258:$BE$258,MATCH(BQ11,Inputs!$J$256:$BE$256,0)),INDEX(Inputs!$J$257:$BE$257,MATCH(BQ11,Inputs!$J$256:$BE$256,0)))</f>
        <v/>
      </c>
      <c r="BR55" s="18">
        <f>IF(Inputs!$F$217=1,INDEX(Inputs!$J$258:$BE$258,MATCH(BR11,Inputs!$J$256:$BE$256,0)),INDEX(Inputs!$J$257:$BE$257,MATCH(BR11,Inputs!$J$256:$BE$256,0)))</f>
        <v/>
      </c>
      <c r="BS55" s="18">
        <f>IF(Inputs!$F$217=1,INDEX(Inputs!$J$258:$BE$258,MATCH(BS11,Inputs!$J$256:$BE$256,0)),INDEX(Inputs!$J$257:$BE$257,MATCH(BS11,Inputs!$J$256:$BE$256,0)))</f>
        <v/>
      </c>
      <c r="BT55" s="18">
        <f>IF(Inputs!$F$217=1,INDEX(Inputs!$J$258:$BE$258,MATCH(BT11,Inputs!$J$256:$BE$256,0)),INDEX(Inputs!$J$257:$BE$257,MATCH(BT11,Inputs!$J$256:$BE$256,0)))</f>
        <v/>
      </c>
      <c r="BU55" s="18">
        <f>IF(Inputs!$F$217=1,INDEX(Inputs!$J$258:$BE$258,MATCH(BU11,Inputs!$J$256:$BE$256,0)),INDEX(Inputs!$J$257:$BE$257,MATCH(BU11,Inputs!$J$256:$BE$256,0)))</f>
        <v/>
      </c>
      <c r="BV55" s="18">
        <f>IF(Inputs!$F$217=1,INDEX(Inputs!$J$258:$BE$258,MATCH(BV11,Inputs!$J$256:$BE$256,0)),INDEX(Inputs!$J$257:$BE$257,MATCH(BV11,Inputs!$J$256:$BE$256,0)))</f>
        <v/>
      </c>
      <c r="BW55" s="18">
        <f>IF(Inputs!$F$217=1,INDEX(Inputs!$J$258:$BE$258,MATCH(BW11,Inputs!$J$256:$BE$256,0)),INDEX(Inputs!$J$257:$BE$257,MATCH(BW11,Inputs!$J$256:$BE$256,0)))</f>
        <v/>
      </c>
      <c r="BX55" s="18">
        <f>IF(Inputs!$F$217=1,INDEX(Inputs!$J$258:$BE$258,MATCH(BX11,Inputs!$J$256:$BE$256,0)),INDEX(Inputs!$J$257:$BE$257,MATCH(BX11,Inputs!$J$256:$BE$256,0)))</f>
        <v/>
      </c>
      <c r="BY55" s="18">
        <f>IF(Inputs!$F$217=1,INDEX(Inputs!$J$258:$BE$258,MATCH(BY11,Inputs!$J$256:$BE$256,0)),INDEX(Inputs!$J$257:$BE$257,MATCH(BY11,Inputs!$J$256:$BE$256,0)))</f>
        <v/>
      </c>
      <c r="BZ55" s="18">
        <f>IF(Inputs!$F$217=1,INDEX(Inputs!$J$258:$BE$258,MATCH(BZ11,Inputs!$J$256:$BE$256,0)),INDEX(Inputs!$J$257:$BE$257,MATCH(BZ11,Inputs!$J$256:$BE$256,0)))</f>
        <v/>
      </c>
      <c r="CA55" s="18">
        <f>IF(Inputs!$F$217=1,INDEX(Inputs!$J$258:$BE$258,MATCH(CA11,Inputs!$J$256:$BE$256,0)),INDEX(Inputs!$J$257:$BE$257,MATCH(CA11,Inputs!$J$256:$BE$256,0)))</f>
        <v/>
      </c>
      <c r="CB55" s="18">
        <f>IF(Inputs!$F$217=1,INDEX(Inputs!$J$258:$BE$258,MATCH(CB11,Inputs!$J$256:$BE$256,0)),INDEX(Inputs!$J$257:$BE$257,MATCH(CB11,Inputs!$J$256:$BE$256,0)))</f>
        <v/>
      </c>
      <c r="CC55" s="18">
        <f>IF(Inputs!$F$217=1,INDEX(Inputs!$J$258:$BE$258,MATCH(CC11,Inputs!$J$256:$BE$256,0)),INDEX(Inputs!$J$257:$BE$257,MATCH(CC11,Inputs!$J$256:$BE$256,0)))</f>
        <v/>
      </c>
      <c r="CD55" s="18">
        <f>IF(Inputs!$F$217=1,INDEX(Inputs!$J$258:$BE$258,MATCH(CD11,Inputs!$J$256:$BE$256,0)),INDEX(Inputs!$J$257:$BE$257,MATCH(CD11,Inputs!$J$256:$BE$256,0)))</f>
        <v/>
      </c>
      <c r="CE55" s="18">
        <f>IF(Inputs!$F$217=1,INDEX(Inputs!$J$258:$BE$258,MATCH(CE11,Inputs!$J$256:$BE$256,0)),INDEX(Inputs!$J$257:$BE$257,MATCH(CE11,Inputs!$J$256:$BE$256,0)))</f>
        <v/>
      </c>
      <c r="CF55" s="18">
        <f>IF(Inputs!$F$217=1,INDEX(Inputs!$J$258:$BE$258,MATCH(CF11,Inputs!$J$256:$BE$256,0)),INDEX(Inputs!$J$257:$BE$257,MATCH(CF11,Inputs!$J$256:$BE$256,0)))</f>
        <v/>
      </c>
      <c r="CG55" s="18">
        <f>IF(Inputs!$F$217=1,INDEX(Inputs!$J$258:$BE$258,MATCH(CG11,Inputs!$J$256:$BE$256,0)),INDEX(Inputs!$J$257:$BE$257,MATCH(CG11,Inputs!$J$256:$BE$256,0)))</f>
        <v/>
      </c>
      <c r="CH55" s="18">
        <f>IF(Inputs!$F$217=1,INDEX(Inputs!$J$258:$BE$258,MATCH(CH11,Inputs!$J$256:$BE$256,0)),INDEX(Inputs!$J$257:$BE$257,MATCH(CH11,Inputs!$J$256:$BE$256,0)))</f>
        <v/>
      </c>
      <c r="CI55" s="18">
        <f>IF(Inputs!$F$217=1,INDEX(Inputs!$J$258:$BE$258,MATCH(CI11,Inputs!$J$256:$BE$256,0)),INDEX(Inputs!$J$257:$BE$257,MATCH(CI11,Inputs!$J$256:$BE$256,0)))</f>
        <v/>
      </c>
      <c r="CJ55" s="18">
        <f>IF(Inputs!$F$217=1,INDEX(Inputs!$J$258:$BE$258,MATCH(CJ11,Inputs!$J$256:$BE$256,0)),INDEX(Inputs!$J$257:$BE$257,MATCH(CJ11,Inputs!$J$256:$BE$256,0)))</f>
        <v/>
      </c>
      <c r="CK55" s="18">
        <f>IF(Inputs!$F$217=1,INDEX(Inputs!$J$258:$BE$258,MATCH(CK11,Inputs!$J$256:$BE$256,0)),INDEX(Inputs!$J$257:$BE$257,MATCH(CK11,Inputs!$J$256:$BE$256,0)))</f>
        <v/>
      </c>
      <c r="CL55" s="18">
        <f>IF(Inputs!$F$217=1,INDEX(Inputs!$J$258:$BE$258,MATCH(CL11,Inputs!$J$256:$BE$256,0)),INDEX(Inputs!$J$257:$BE$257,MATCH(CL11,Inputs!$J$256:$BE$256,0)))</f>
        <v/>
      </c>
      <c r="CM55" s="18">
        <f>IF(Inputs!$F$217=1,INDEX(Inputs!$J$258:$BE$258,MATCH(CM11,Inputs!$J$256:$BE$256,0)),INDEX(Inputs!$J$257:$BE$257,MATCH(CM11,Inputs!$J$256:$BE$256,0)))</f>
        <v/>
      </c>
      <c r="CN55" s="18">
        <f>IF(Inputs!$F$217=1,INDEX(Inputs!$J$258:$BE$258,MATCH(CN11,Inputs!$J$256:$BE$256,0)),INDEX(Inputs!$J$257:$BE$257,MATCH(CN11,Inputs!$J$256:$BE$256,0)))</f>
        <v/>
      </c>
      <c r="CO55" s="18">
        <f>IF(Inputs!$F$217=1,INDEX(Inputs!$J$258:$BE$258,MATCH(CO11,Inputs!$J$256:$BE$256,0)),INDEX(Inputs!$J$257:$BE$257,MATCH(CO11,Inputs!$J$256:$BE$256,0)))</f>
        <v/>
      </c>
      <c r="CP55" s="18">
        <f>IF(Inputs!$F$217=1,INDEX(Inputs!$J$258:$BE$258,MATCH(CP11,Inputs!$J$256:$BE$256,0)),INDEX(Inputs!$J$257:$BE$257,MATCH(CP11,Inputs!$J$256:$BE$256,0)))</f>
        <v/>
      </c>
      <c r="CQ55" s="18">
        <f>IF(Inputs!$F$217=1,INDEX(Inputs!$J$258:$BE$258,MATCH(CQ11,Inputs!$J$256:$BE$256,0)),INDEX(Inputs!$J$257:$BE$257,MATCH(CQ11,Inputs!$J$256:$BE$256,0)))</f>
        <v/>
      </c>
      <c r="CR55" s="18">
        <f>IF(Inputs!$F$217=1,INDEX(Inputs!$J$258:$BE$258,MATCH(CR11,Inputs!$J$256:$BE$256,0)),INDEX(Inputs!$J$257:$BE$257,MATCH(CR11,Inputs!$J$256:$BE$256,0)))</f>
        <v/>
      </c>
      <c r="CS55" s="18">
        <f>IF(Inputs!$F$217=1,INDEX(Inputs!$J$258:$BE$258,MATCH(CS11,Inputs!$J$256:$BE$256,0)),INDEX(Inputs!$J$257:$BE$257,MATCH(CS11,Inputs!$J$256:$BE$256,0)))</f>
        <v/>
      </c>
      <c r="CT55" s="18">
        <f>IF(Inputs!$F$217=1,INDEX(Inputs!$J$258:$BE$258,MATCH(CT11,Inputs!$J$256:$BE$256,0)),INDEX(Inputs!$J$257:$BE$257,MATCH(CT11,Inputs!$J$256:$BE$256,0)))</f>
        <v/>
      </c>
      <c r="CU55" s="18">
        <f>IF(Inputs!$F$217=1,INDEX(Inputs!$J$258:$BE$258,MATCH(CU11,Inputs!$J$256:$BE$256,0)),INDEX(Inputs!$J$257:$BE$257,MATCH(CU11,Inputs!$J$256:$BE$256,0)))</f>
        <v/>
      </c>
      <c r="CV55" s="18">
        <f>IF(Inputs!$F$217=1,INDEX(Inputs!$J$258:$BE$258,MATCH(CV11,Inputs!$J$256:$BE$256,0)),INDEX(Inputs!$J$257:$BE$257,MATCH(CV11,Inputs!$J$256:$BE$256,0)))</f>
        <v/>
      </c>
      <c r="CW55" s="18">
        <f>IF(Inputs!$F$217=1,INDEX(Inputs!$J$258:$BE$258,MATCH(CW11,Inputs!$J$256:$BE$256,0)),INDEX(Inputs!$J$257:$BE$257,MATCH(CW11,Inputs!$J$256:$BE$256,0)))</f>
        <v/>
      </c>
      <c r="CX55" s="18">
        <f>IF(Inputs!$F$217=1,INDEX(Inputs!$J$258:$BE$258,MATCH(CX11,Inputs!$J$256:$BE$256,0)),INDEX(Inputs!$J$257:$BE$257,MATCH(CX11,Inputs!$J$256:$BE$256,0)))</f>
        <v/>
      </c>
      <c r="CY55" s="18">
        <f>IF(Inputs!$F$217=1,INDEX(Inputs!$J$258:$BE$258,MATCH(CY11,Inputs!$J$256:$BE$256,0)),INDEX(Inputs!$J$257:$BE$257,MATCH(CY11,Inputs!$J$256:$BE$256,0)))</f>
        <v/>
      </c>
      <c r="CZ55" s="18">
        <f>IF(Inputs!$F$217=1,INDEX(Inputs!$J$258:$BE$258,MATCH(CZ11,Inputs!$J$256:$BE$256,0)),INDEX(Inputs!$J$257:$BE$257,MATCH(CZ11,Inputs!$J$256:$BE$256,0)))</f>
        <v/>
      </c>
      <c r="DA55" s="18">
        <f>IF(Inputs!$F$217=1,INDEX(Inputs!$J$258:$BE$258,MATCH(DA11,Inputs!$J$256:$BE$256,0)),INDEX(Inputs!$J$257:$BE$257,MATCH(DA11,Inputs!$J$256:$BE$256,0)))</f>
        <v/>
      </c>
      <c r="DB55" s="18">
        <f>IF(Inputs!$F$217=1,INDEX(Inputs!$J$258:$BE$258,MATCH(DB11,Inputs!$J$256:$BE$256,0)),INDEX(Inputs!$J$257:$BE$257,MATCH(DB11,Inputs!$J$256:$BE$256,0)))</f>
        <v/>
      </c>
    </row>
    <row r="56">
      <c r="D56" t="inlineStr">
        <is>
          <t>CPI factor (2015 = 1.0)</t>
        </is>
      </c>
      <c r="E56" t="inlineStr">
        <is>
          <t>factor</t>
        </is>
      </c>
      <c r="J56" s="27">
        <f>IF(J6=1,1,I56*IF(J11&gt;I11,1+J55/100,1))</f>
        <v/>
      </c>
      <c r="K56" s="27">
        <f>IF(K6=1,1,J56*IF(K11&gt;J11,1+K55/100,1))</f>
        <v/>
      </c>
      <c r="L56" s="27">
        <f>IF(L6=1,1,K56*IF(L11&gt;K11,1+L55/100,1))</f>
        <v/>
      </c>
      <c r="M56" s="27">
        <f>IF(M6=1,1,L56*IF(M11&gt;L11,1+M55/100,1))</f>
        <v/>
      </c>
      <c r="N56" s="27">
        <f>IF(N6=1,1,M56*IF(N11&gt;M11,1+N55/100,1))</f>
        <v/>
      </c>
      <c r="O56" s="27">
        <f>IF(O6=1,1,N56*IF(O11&gt;N11,1+O55/100,1))</f>
        <v/>
      </c>
      <c r="P56" s="27">
        <f>IF(P6=1,1,O56*IF(P11&gt;O11,1+P55/100,1))</f>
        <v/>
      </c>
      <c r="Q56" s="27">
        <f>IF(Q6=1,1,P56*IF(Q11&gt;P11,1+Q55/100,1))</f>
        <v/>
      </c>
      <c r="R56" s="27">
        <f>IF(R6=1,1,Q56*IF(R11&gt;Q11,1+R55/100,1))</f>
        <v/>
      </c>
      <c r="S56" s="27">
        <f>IF(S6=1,1,R56*IF(S11&gt;R11,1+S55/100,1))</f>
        <v/>
      </c>
      <c r="T56" s="27">
        <f>IF(T6=1,1,S56*IF(T11&gt;S11,1+T55/100,1))</f>
        <v/>
      </c>
      <c r="U56" s="27">
        <f>IF(U6=1,1,T56*IF(U11&gt;T11,1+U55/100,1))</f>
        <v/>
      </c>
      <c r="V56" s="27">
        <f>IF(V6=1,1,U56*IF(V11&gt;U11,1+V55/100,1))</f>
        <v/>
      </c>
      <c r="W56" s="27">
        <f>IF(W6=1,1,V56*IF(W11&gt;V11,1+W55/100,1))</f>
        <v/>
      </c>
      <c r="X56" s="27">
        <f>IF(X6=1,1,W56*IF(X11&gt;W11,1+X55/100,1))</f>
        <v/>
      </c>
      <c r="Y56" s="27">
        <f>IF(Y6=1,1,X56*IF(Y11&gt;X11,1+Y55/100,1))</f>
        <v/>
      </c>
      <c r="Z56" s="27">
        <f>IF(Z6=1,1,Y56*IF(Z11&gt;Y11,1+Z55/100,1))</f>
        <v/>
      </c>
      <c r="AA56" s="27">
        <f>IF(AA6=1,1,Z56*IF(AA11&gt;Z11,1+AA55/100,1))</f>
        <v/>
      </c>
      <c r="AB56" s="27">
        <f>IF(AB6=1,1,AA56*IF(AB11&gt;AA11,1+AB55/100,1))</f>
        <v/>
      </c>
      <c r="AC56" s="27">
        <f>IF(AC6=1,1,AB56*IF(AC11&gt;AB11,1+AC55/100,1))</f>
        <v/>
      </c>
      <c r="AD56" s="27">
        <f>IF(AD6=1,1,AC56*IF(AD11&gt;AC11,1+AD55/100,1))</f>
        <v/>
      </c>
      <c r="AE56" s="27">
        <f>IF(AE6=1,1,AD56*IF(AE11&gt;AD11,1+AE55/100,1))</f>
        <v/>
      </c>
      <c r="AF56" s="27">
        <f>IF(AF6=1,1,AE56*IF(AF11&gt;AE11,1+AF55/100,1))</f>
        <v/>
      </c>
      <c r="AG56" s="27">
        <f>IF(AG6=1,1,AF56*IF(AG11&gt;AF11,1+AG55/100,1))</f>
        <v/>
      </c>
      <c r="AH56" s="27">
        <f>IF(AH6=1,1,AG56*IF(AH11&gt;AG11,1+AH55/100,1))</f>
        <v/>
      </c>
      <c r="AI56" s="27">
        <f>IF(AI6=1,1,AH56*IF(AI11&gt;AH11,1+AI55/100,1))</f>
        <v/>
      </c>
      <c r="AJ56" s="27">
        <f>IF(AJ6=1,1,AI56*IF(AJ11&gt;AI11,1+AJ55/100,1))</f>
        <v/>
      </c>
      <c r="AK56" s="27">
        <f>IF(AK6=1,1,AJ56*IF(AK11&gt;AJ11,1+AK55/100,1))</f>
        <v/>
      </c>
      <c r="AL56" s="27">
        <f>IF(AL6=1,1,AK56*IF(AL11&gt;AK11,1+AL55/100,1))</f>
        <v/>
      </c>
      <c r="AM56" s="27">
        <f>IF(AM6=1,1,AL56*IF(AM11&gt;AL11,1+AM55/100,1))</f>
        <v/>
      </c>
      <c r="AN56" s="27">
        <f>IF(AN6=1,1,AM56*IF(AN11&gt;AM11,1+AN55/100,1))</f>
        <v/>
      </c>
      <c r="AO56" s="27">
        <f>IF(AO6=1,1,AN56*IF(AO11&gt;AN11,1+AO55/100,1))</f>
        <v/>
      </c>
      <c r="AP56" s="27">
        <f>IF(AP6=1,1,AO56*IF(AP11&gt;AO11,1+AP55/100,1))</f>
        <v/>
      </c>
      <c r="AQ56" s="27">
        <f>IF(AQ6=1,1,AP56*IF(AQ11&gt;AP11,1+AQ55/100,1))</f>
        <v/>
      </c>
      <c r="AR56" s="27">
        <f>IF(AR6=1,1,AQ56*IF(AR11&gt;AQ11,1+AR55/100,1))</f>
        <v/>
      </c>
      <c r="AS56" s="27">
        <f>IF(AS6=1,1,AR56*IF(AS11&gt;AR11,1+AS55/100,1))</f>
        <v/>
      </c>
      <c r="AT56" s="27">
        <f>IF(AT6=1,1,AS56*IF(AT11&gt;AS11,1+AT55/100,1))</f>
        <v/>
      </c>
      <c r="AU56" s="27">
        <f>IF(AU6=1,1,AT56*IF(AU11&gt;AT11,1+AU55/100,1))</f>
        <v/>
      </c>
      <c r="AV56" s="27">
        <f>IF(AV6=1,1,AU56*IF(AV11&gt;AU11,1+AV55/100,1))</f>
        <v/>
      </c>
      <c r="AW56" s="27">
        <f>IF(AW6=1,1,AV56*IF(AW11&gt;AV11,1+AW55/100,1))</f>
        <v/>
      </c>
      <c r="AX56" s="27">
        <f>IF(AX6=1,1,AW56*IF(AX11&gt;AW11,1+AX55/100,1))</f>
        <v/>
      </c>
      <c r="AY56" s="27">
        <f>IF(AY6=1,1,AX56*IF(AY11&gt;AX11,1+AY55/100,1))</f>
        <v/>
      </c>
      <c r="AZ56" s="27">
        <f>IF(AZ6=1,1,AY56*IF(AZ11&gt;AY11,1+AZ55/100,1))</f>
        <v/>
      </c>
      <c r="BA56" s="27">
        <f>IF(BA6=1,1,AZ56*IF(BA11&gt;AZ11,1+BA55/100,1))</f>
        <v/>
      </c>
      <c r="BB56" s="27">
        <f>IF(BB6=1,1,BA56*IF(BB11&gt;BA11,1+BB55/100,1))</f>
        <v/>
      </c>
      <c r="BC56" s="27">
        <f>IF(BC6=1,1,BB56*IF(BC11&gt;BB11,1+BC55/100,1))</f>
        <v/>
      </c>
      <c r="BD56" s="27">
        <f>IF(BD6=1,1,BC56*IF(BD11&gt;BC11,1+BD55/100,1))</f>
        <v/>
      </c>
      <c r="BE56" s="27">
        <f>IF(BE6=1,1,BD56*IF(BE11&gt;BD11,1+BE55/100,1))</f>
        <v/>
      </c>
      <c r="BF56" s="27">
        <f>IF(BF6=1,1,BE56*IF(BF11&gt;BE11,1+BF55/100,1))</f>
        <v/>
      </c>
      <c r="BG56" s="27">
        <f>IF(BG6=1,1,BF56*IF(BG11&gt;BF11,1+BG55/100,1))</f>
        <v/>
      </c>
      <c r="BH56" s="27">
        <f>IF(BH6=1,1,BG56*IF(BH11&gt;BG11,1+BH55/100,1))</f>
        <v/>
      </c>
      <c r="BI56" s="27">
        <f>IF(BI6=1,1,BH56*IF(BI11&gt;BH11,1+BI55/100,1))</f>
        <v/>
      </c>
      <c r="BJ56" s="27">
        <f>IF(BJ6=1,1,BI56*IF(BJ11&gt;BI11,1+BJ55/100,1))</f>
        <v/>
      </c>
      <c r="BK56" s="27">
        <f>IF(BK6=1,1,BJ56*IF(BK11&gt;BJ11,1+BK55/100,1))</f>
        <v/>
      </c>
      <c r="BL56" s="27">
        <f>IF(BL6=1,1,BK56*IF(BL11&gt;BK11,1+BL55/100,1))</f>
        <v/>
      </c>
      <c r="BM56" s="27">
        <f>IF(BM6=1,1,BL56*IF(BM11&gt;BL11,1+BM55/100,1))</f>
        <v/>
      </c>
      <c r="BN56" s="27">
        <f>IF(BN6=1,1,BM56*IF(BN11&gt;BM11,1+BN55/100,1))</f>
        <v/>
      </c>
      <c r="BO56" s="27">
        <f>IF(BO6=1,1,BN56*IF(BO11&gt;BN11,1+BO55/100,1))</f>
        <v/>
      </c>
      <c r="BP56" s="27">
        <f>IF(BP6=1,1,BO56*IF(BP11&gt;BO11,1+BP55/100,1))</f>
        <v/>
      </c>
      <c r="BQ56" s="27">
        <f>IF(BQ6=1,1,BP56*IF(BQ11&gt;BP11,1+BQ55/100,1))</f>
        <v/>
      </c>
      <c r="BR56" s="27">
        <f>IF(BR6=1,1,BQ56*IF(BR11&gt;BQ11,1+BR55/100,1))</f>
        <v/>
      </c>
      <c r="BS56" s="27">
        <f>IF(BS6=1,1,BR56*IF(BS11&gt;BR11,1+BS55/100,1))</f>
        <v/>
      </c>
      <c r="BT56" s="27">
        <f>IF(BT6=1,1,BS56*IF(BT11&gt;BS11,1+BT55/100,1))</f>
        <v/>
      </c>
      <c r="BU56" s="27">
        <f>IF(BU6=1,1,BT56*IF(BU11&gt;BT11,1+BU55/100,1))</f>
        <v/>
      </c>
      <c r="BV56" s="27">
        <f>IF(BV6=1,1,BU56*IF(BV11&gt;BU11,1+BV55/100,1))</f>
        <v/>
      </c>
      <c r="BW56" s="27">
        <f>IF(BW6=1,1,BV56*IF(BW11&gt;BV11,1+BW55/100,1))</f>
        <v/>
      </c>
      <c r="BX56" s="27">
        <f>IF(BX6=1,1,BW56*IF(BX11&gt;BW11,1+BX55/100,1))</f>
        <v/>
      </c>
      <c r="BY56" s="27">
        <f>IF(BY6=1,1,BX56*IF(BY11&gt;BX11,1+BY55/100,1))</f>
        <v/>
      </c>
      <c r="BZ56" s="27">
        <f>IF(BZ6=1,1,BY56*IF(BZ11&gt;BY11,1+BZ55/100,1))</f>
        <v/>
      </c>
      <c r="CA56" s="27">
        <f>IF(CA6=1,1,BZ56*IF(CA11&gt;BZ11,1+CA55/100,1))</f>
        <v/>
      </c>
      <c r="CB56" s="27">
        <f>IF(CB6=1,1,CA56*IF(CB11&gt;CA11,1+CB55/100,1))</f>
        <v/>
      </c>
      <c r="CC56" s="27">
        <f>IF(CC6=1,1,CB56*IF(CC11&gt;CB11,1+CC55/100,1))</f>
        <v/>
      </c>
      <c r="CD56" s="27">
        <f>IF(CD6=1,1,CC56*IF(CD11&gt;CC11,1+CD55/100,1))</f>
        <v/>
      </c>
      <c r="CE56" s="27">
        <f>IF(CE6=1,1,CD56*IF(CE11&gt;CD11,1+CE55/100,1))</f>
        <v/>
      </c>
      <c r="CF56" s="27">
        <f>IF(CF6=1,1,CE56*IF(CF11&gt;CE11,1+CF55/100,1))</f>
        <v/>
      </c>
      <c r="CG56" s="27">
        <f>IF(CG6=1,1,CF56*IF(CG11&gt;CF11,1+CG55/100,1))</f>
        <v/>
      </c>
      <c r="CH56" s="27">
        <f>IF(CH6=1,1,CG56*IF(CH11&gt;CG11,1+CH55/100,1))</f>
        <v/>
      </c>
      <c r="CI56" s="27">
        <f>IF(CI6=1,1,CH56*IF(CI11&gt;CH11,1+CI55/100,1))</f>
        <v/>
      </c>
      <c r="CJ56" s="27">
        <f>IF(CJ6=1,1,CI56*IF(CJ11&gt;CI11,1+CJ55/100,1))</f>
        <v/>
      </c>
      <c r="CK56" s="27">
        <f>IF(CK6=1,1,CJ56*IF(CK11&gt;CJ11,1+CK55/100,1))</f>
        <v/>
      </c>
      <c r="CL56" s="27">
        <f>IF(CL6=1,1,CK56*IF(CL11&gt;CK11,1+CL55/100,1))</f>
        <v/>
      </c>
      <c r="CM56" s="27">
        <f>IF(CM6=1,1,CL56*IF(CM11&gt;CL11,1+CM55/100,1))</f>
        <v/>
      </c>
      <c r="CN56" s="27">
        <f>IF(CN6=1,1,CM56*IF(CN11&gt;CM11,1+CN55/100,1))</f>
        <v/>
      </c>
      <c r="CO56" s="27">
        <f>IF(CO6=1,1,CN56*IF(CO11&gt;CN11,1+CO55/100,1))</f>
        <v/>
      </c>
      <c r="CP56" s="27">
        <f>IF(CP6=1,1,CO56*IF(CP11&gt;CO11,1+CP55/100,1))</f>
        <v/>
      </c>
      <c r="CQ56" s="27">
        <f>IF(CQ6=1,1,CP56*IF(CQ11&gt;CP11,1+CQ55/100,1))</f>
        <v/>
      </c>
      <c r="CR56" s="27">
        <f>IF(CR6=1,1,CQ56*IF(CR11&gt;CQ11,1+CR55/100,1))</f>
        <v/>
      </c>
      <c r="CS56" s="27">
        <f>IF(CS6=1,1,CR56*IF(CS11&gt;CR11,1+CS55/100,1))</f>
        <v/>
      </c>
      <c r="CT56" s="27">
        <f>IF(CT6=1,1,CS56*IF(CT11&gt;CS11,1+CT55/100,1))</f>
        <v/>
      </c>
      <c r="CU56" s="27">
        <f>IF(CU6=1,1,CT56*IF(CU11&gt;CT11,1+CU55/100,1))</f>
        <v/>
      </c>
      <c r="CV56" s="27">
        <f>IF(CV6=1,1,CU56*IF(CV11&gt;CU11,1+CV55/100,1))</f>
        <v/>
      </c>
      <c r="CW56" s="27">
        <f>IF(CW6=1,1,CV56*IF(CW11&gt;CV11,1+CW55/100,1))</f>
        <v/>
      </c>
      <c r="CX56" s="27">
        <f>IF(CX6=1,1,CW56*IF(CX11&gt;CW11,1+CX55/100,1))</f>
        <v/>
      </c>
      <c r="CY56" s="27">
        <f>IF(CY6=1,1,CX56*IF(CY11&gt;CX11,1+CY55/100,1))</f>
        <v/>
      </c>
      <c r="CZ56" s="27">
        <f>IF(CZ6=1,1,CY56*IF(CZ11&gt;CY11,1+CZ55/100,1))</f>
        <v/>
      </c>
      <c r="DA56" s="27">
        <f>IF(DA6=1,1,CZ56*IF(DA11&gt;CZ11,1+DA55/100,1))</f>
        <v/>
      </c>
      <c r="DB56" s="27">
        <f>IF(DB6=1,1,DA56*IF(DB11&gt;DA11,1+DB55/100,1))</f>
        <v/>
      </c>
    </row>
    <row r="57">
      <c r="D57" t="inlineStr">
        <is>
          <t>CPI factor 2023 (2015 = 1.0)</t>
        </is>
      </c>
      <c r="E57" t="inlineStr">
        <is>
          <t>factor</t>
        </is>
      </c>
      <c r="F57" s="27">
        <f>IF(Inputs!$F$217=1,EXP(SUMPRODUCT((Inputs!$J$256:$BE$256&gt;=Inputs!$F$62)*(Inputs!$J$256:$BE$256&lt;=Inputs!$F$63)*LN(1+Inputs!$J$258:$BE$258/100))),EXP(SUMPRODUCT((Inputs!$J$256:$BE$256&gt;=Inputs!$F$62)*(Inputs!$J$256:$BE$256&lt;=Inputs!$F$63)*LN(1+Inputs!$J$257:$BE$257/100))))</f>
        <v/>
      </c>
    </row>
    <row r="58">
      <c r="D58" t="inlineStr">
        <is>
          <t>Flag_TollEscalation (contains July 1)</t>
        </is>
      </c>
      <c r="E58" t="inlineStr">
        <is>
          <t>flag</t>
        </is>
      </c>
      <c r="J58" s="14">
        <f>IF(AND(J7&lt;DATE(J11,Inputs!$F$52,1),DATE(J11,Inputs!$F$52,1)&lt;=J8),1,0)</f>
        <v/>
      </c>
      <c r="K58" s="14">
        <f>IF(AND(K7&lt;DATE(K11,Inputs!$F$52,1),DATE(K11,Inputs!$F$52,1)&lt;=K8),1,0)</f>
        <v/>
      </c>
      <c r="L58" s="14">
        <f>IF(AND(L7&lt;DATE(L11,Inputs!$F$52,1),DATE(L11,Inputs!$F$52,1)&lt;=L8),1,0)</f>
        <v/>
      </c>
      <c r="M58" s="14">
        <f>IF(AND(M7&lt;DATE(M11,Inputs!$F$52,1),DATE(M11,Inputs!$F$52,1)&lt;=M8),1,0)</f>
        <v/>
      </c>
      <c r="N58" s="14">
        <f>IF(AND(N7&lt;DATE(N11,Inputs!$F$52,1),DATE(N11,Inputs!$F$52,1)&lt;=N8),1,0)</f>
        <v/>
      </c>
      <c r="O58" s="14">
        <f>IF(AND(O7&lt;DATE(O11,Inputs!$F$52,1),DATE(O11,Inputs!$F$52,1)&lt;=O8),1,0)</f>
        <v/>
      </c>
      <c r="P58" s="14">
        <f>IF(AND(P7&lt;DATE(P11,Inputs!$F$52,1),DATE(P11,Inputs!$F$52,1)&lt;=P8),1,0)</f>
        <v/>
      </c>
      <c r="Q58" s="14">
        <f>IF(AND(Q7&lt;DATE(Q11,Inputs!$F$52,1),DATE(Q11,Inputs!$F$52,1)&lt;=Q8),1,0)</f>
        <v/>
      </c>
      <c r="R58" s="14">
        <f>IF(AND(R7&lt;DATE(R11,Inputs!$F$52,1),DATE(R11,Inputs!$F$52,1)&lt;=R8),1,0)</f>
        <v/>
      </c>
      <c r="S58" s="14">
        <f>IF(AND(S7&lt;DATE(S11,Inputs!$F$52,1),DATE(S11,Inputs!$F$52,1)&lt;=S8),1,0)</f>
        <v/>
      </c>
      <c r="T58" s="14">
        <f>IF(AND(T7&lt;DATE(T11,Inputs!$F$52,1),DATE(T11,Inputs!$F$52,1)&lt;=T8),1,0)</f>
        <v/>
      </c>
      <c r="U58" s="14">
        <f>IF(AND(U7&lt;DATE(U11,Inputs!$F$52,1),DATE(U11,Inputs!$F$52,1)&lt;=U8),1,0)</f>
        <v/>
      </c>
      <c r="V58" s="14">
        <f>IF(AND(V7&lt;DATE(V11,Inputs!$F$52,1),DATE(V11,Inputs!$F$52,1)&lt;=V8),1,0)</f>
        <v/>
      </c>
      <c r="W58" s="14">
        <f>IF(AND(W7&lt;DATE(W11,Inputs!$F$52,1),DATE(W11,Inputs!$F$52,1)&lt;=W8),1,0)</f>
        <v/>
      </c>
      <c r="X58" s="14">
        <f>IF(AND(X7&lt;DATE(X11,Inputs!$F$52,1),DATE(X11,Inputs!$F$52,1)&lt;=X8),1,0)</f>
        <v/>
      </c>
      <c r="Y58" s="14">
        <f>IF(AND(Y7&lt;DATE(Y11,Inputs!$F$52,1),DATE(Y11,Inputs!$F$52,1)&lt;=Y8),1,0)</f>
        <v/>
      </c>
      <c r="Z58" s="14">
        <f>IF(AND(Z7&lt;DATE(Z11,Inputs!$F$52,1),DATE(Z11,Inputs!$F$52,1)&lt;=Z8),1,0)</f>
        <v/>
      </c>
      <c r="AA58" s="14">
        <f>IF(AND(AA7&lt;DATE(AA11,Inputs!$F$52,1),DATE(AA11,Inputs!$F$52,1)&lt;=AA8),1,0)</f>
        <v/>
      </c>
      <c r="AB58" s="14">
        <f>IF(AND(AB7&lt;DATE(AB11,Inputs!$F$52,1),DATE(AB11,Inputs!$F$52,1)&lt;=AB8),1,0)</f>
        <v/>
      </c>
      <c r="AC58" s="14">
        <f>IF(AND(AC7&lt;DATE(AC11,Inputs!$F$52,1),DATE(AC11,Inputs!$F$52,1)&lt;=AC8),1,0)</f>
        <v/>
      </c>
      <c r="AD58" s="14">
        <f>IF(AND(AD7&lt;DATE(AD11,Inputs!$F$52,1),DATE(AD11,Inputs!$F$52,1)&lt;=AD8),1,0)</f>
        <v/>
      </c>
      <c r="AE58" s="14">
        <f>IF(AND(AE7&lt;DATE(AE11,Inputs!$F$52,1),DATE(AE11,Inputs!$F$52,1)&lt;=AE8),1,0)</f>
        <v/>
      </c>
      <c r="AF58" s="14">
        <f>IF(AND(AF7&lt;DATE(AF11,Inputs!$F$52,1),DATE(AF11,Inputs!$F$52,1)&lt;=AF8),1,0)</f>
        <v/>
      </c>
      <c r="AG58" s="14">
        <f>IF(AND(AG7&lt;DATE(AG11,Inputs!$F$52,1),DATE(AG11,Inputs!$F$52,1)&lt;=AG8),1,0)</f>
        <v/>
      </c>
      <c r="AH58" s="14">
        <f>IF(AND(AH7&lt;DATE(AH11,Inputs!$F$52,1),DATE(AH11,Inputs!$F$52,1)&lt;=AH8),1,0)</f>
        <v/>
      </c>
      <c r="AI58" s="14">
        <f>IF(AND(AI7&lt;DATE(AI11,Inputs!$F$52,1),DATE(AI11,Inputs!$F$52,1)&lt;=AI8),1,0)</f>
        <v/>
      </c>
      <c r="AJ58" s="14">
        <f>IF(AND(AJ7&lt;DATE(AJ11,Inputs!$F$52,1),DATE(AJ11,Inputs!$F$52,1)&lt;=AJ8),1,0)</f>
        <v/>
      </c>
      <c r="AK58" s="14">
        <f>IF(AND(AK7&lt;DATE(AK11,Inputs!$F$52,1),DATE(AK11,Inputs!$F$52,1)&lt;=AK8),1,0)</f>
        <v/>
      </c>
      <c r="AL58" s="14">
        <f>IF(AND(AL7&lt;DATE(AL11,Inputs!$F$52,1),DATE(AL11,Inputs!$F$52,1)&lt;=AL8),1,0)</f>
        <v/>
      </c>
      <c r="AM58" s="14">
        <f>IF(AND(AM7&lt;DATE(AM11,Inputs!$F$52,1),DATE(AM11,Inputs!$F$52,1)&lt;=AM8),1,0)</f>
        <v/>
      </c>
      <c r="AN58" s="14">
        <f>IF(AND(AN7&lt;DATE(AN11,Inputs!$F$52,1),DATE(AN11,Inputs!$F$52,1)&lt;=AN8),1,0)</f>
        <v/>
      </c>
      <c r="AO58" s="14">
        <f>IF(AND(AO7&lt;DATE(AO11,Inputs!$F$52,1),DATE(AO11,Inputs!$F$52,1)&lt;=AO8),1,0)</f>
        <v/>
      </c>
      <c r="AP58" s="14">
        <f>IF(AND(AP7&lt;DATE(AP11,Inputs!$F$52,1),DATE(AP11,Inputs!$F$52,1)&lt;=AP8),1,0)</f>
        <v/>
      </c>
      <c r="AQ58" s="14">
        <f>IF(AND(AQ7&lt;DATE(AQ11,Inputs!$F$52,1),DATE(AQ11,Inputs!$F$52,1)&lt;=AQ8),1,0)</f>
        <v/>
      </c>
      <c r="AR58" s="14">
        <f>IF(AND(AR7&lt;DATE(AR11,Inputs!$F$52,1),DATE(AR11,Inputs!$F$52,1)&lt;=AR8),1,0)</f>
        <v/>
      </c>
      <c r="AS58" s="14">
        <f>IF(AND(AS7&lt;DATE(AS11,Inputs!$F$52,1),DATE(AS11,Inputs!$F$52,1)&lt;=AS8),1,0)</f>
        <v/>
      </c>
      <c r="AT58" s="14">
        <f>IF(AND(AT7&lt;DATE(AT11,Inputs!$F$52,1),DATE(AT11,Inputs!$F$52,1)&lt;=AT8),1,0)</f>
        <v/>
      </c>
      <c r="AU58" s="14">
        <f>IF(AND(AU7&lt;DATE(AU11,Inputs!$F$52,1),DATE(AU11,Inputs!$F$52,1)&lt;=AU8),1,0)</f>
        <v/>
      </c>
      <c r="AV58" s="14">
        <f>IF(AND(AV7&lt;DATE(AV11,Inputs!$F$52,1),DATE(AV11,Inputs!$F$52,1)&lt;=AV8),1,0)</f>
        <v/>
      </c>
      <c r="AW58" s="14">
        <f>IF(AND(AW7&lt;DATE(AW11,Inputs!$F$52,1),DATE(AW11,Inputs!$F$52,1)&lt;=AW8),1,0)</f>
        <v/>
      </c>
      <c r="AX58" s="14">
        <f>IF(AND(AX7&lt;DATE(AX11,Inputs!$F$52,1),DATE(AX11,Inputs!$F$52,1)&lt;=AX8),1,0)</f>
        <v/>
      </c>
      <c r="AY58" s="14">
        <f>IF(AND(AY7&lt;DATE(AY11,Inputs!$F$52,1),DATE(AY11,Inputs!$F$52,1)&lt;=AY8),1,0)</f>
        <v/>
      </c>
      <c r="AZ58" s="14">
        <f>IF(AND(AZ7&lt;DATE(AZ11,Inputs!$F$52,1),DATE(AZ11,Inputs!$F$52,1)&lt;=AZ8),1,0)</f>
        <v/>
      </c>
      <c r="BA58" s="14">
        <f>IF(AND(BA7&lt;DATE(BA11,Inputs!$F$52,1),DATE(BA11,Inputs!$F$52,1)&lt;=BA8),1,0)</f>
        <v/>
      </c>
      <c r="BB58" s="14">
        <f>IF(AND(BB7&lt;DATE(BB11,Inputs!$F$52,1),DATE(BB11,Inputs!$F$52,1)&lt;=BB8),1,0)</f>
        <v/>
      </c>
      <c r="BC58" s="14">
        <f>IF(AND(BC7&lt;DATE(BC11,Inputs!$F$52,1),DATE(BC11,Inputs!$F$52,1)&lt;=BC8),1,0)</f>
        <v/>
      </c>
      <c r="BD58" s="14">
        <f>IF(AND(BD7&lt;DATE(BD11,Inputs!$F$52,1),DATE(BD11,Inputs!$F$52,1)&lt;=BD8),1,0)</f>
        <v/>
      </c>
      <c r="BE58" s="14">
        <f>IF(AND(BE7&lt;DATE(BE11,Inputs!$F$52,1),DATE(BE11,Inputs!$F$52,1)&lt;=BE8),1,0)</f>
        <v/>
      </c>
      <c r="BF58" s="14">
        <f>IF(AND(BF7&lt;DATE(BF11,Inputs!$F$52,1),DATE(BF11,Inputs!$F$52,1)&lt;=BF8),1,0)</f>
        <v/>
      </c>
      <c r="BG58" s="14">
        <f>IF(AND(BG7&lt;DATE(BG11,Inputs!$F$52,1),DATE(BG11,Inputs!$F$52,1)&lt;=BG8),1,0)</f>
        <v/>
      </c>
      <c r="BH58" s="14">
        <f>IF(AND(BH7&lt;DATE(BH11,Inputs!$F$52,1),DATE(BH11,Inputs!$F$52,1)&lt;=BH8),1,0)</f>
        <v/>
      </c>
      <c r="BI58" s="14">
        <f>IF(AND(BI7&lt;DATE(BI11,Inputs!$F$52,1),DATE(BI11,Inputs!$F$52,1)&lt;=BI8),1,0)</f>
        <v/>
      </c>
      <c r="BJ58" s="14">
        <f>IF(AND(BJ7&lt;DATE(BJ11,Inputs!$F$52,1),DATE(BJ11,Inputs!$F$52,1)&lt;=BJ8),1,0)</f>
        <v/>
      </c>
      <c r="BK58" s="14">
        <f>IF(AND(BK7&lt;DATE(BK11,Inputs!$F$52,1),DATE(BK11,Inputs!$F$52,1)&lt;=BK8),1,0)</f>
        <v/>
      </c>
      <c r="BL58" s="14">
        <f>IF(AND(BL7&lt;DATE(BL11,Inputs!$F$52,1),DATE(BL11,Inputs!$F$52,1)&lt;=BL8),1,0)</f>
        <v/>
      </c>
      <c r="BM58" s="14">
        <f>IF(AND(BM7&lt;DATE(BM11,Inputs!$F$52,1),DATE(BM11,Inputs!$F$52,1)&lt;=BM8),1,0)</f>
        <v/>
      </c>
      <c r="BN58" s="14">
        <f>IF(AND(BN7&lt;DATE(BN11,Inputs!$F$52,1),DATE(BN11,Inputs!$F$52,1)&lt;=BN8),1,0)</f>
        <v/>
      </c>
      <c r="BO58" s="14">
        <f>IF(AND(BO7&lt;DATE(BO11,Inputs!$F$52,1),DATE(BO11,Inputs!$F$52,1)&lt;=BO8),1,0)</f>
        <v/>
      </c>
      <c r="BP58" s="14">
        <f>IF(AND(BP7&lt;DATE(BP11,Inputs!$F$52,1),DATE(BP11,Inputs!$F$52,1)&lt;=BP8),1,0)</f>
        <v/>
      </c>
      <c r="BQ58" s="14">
        <f>IF(AND(BQ7&lt;DATE(BQ11,Inputs!$F$52,1),DATE(BQ11,Inputs!$F$52,1)&lt;=BQ8),1,0)</f>
        <v/>
      </c>
      <c r="BR58" s="14">
        <f>IF(AND(BR7&lt;DATE(BR11,Inputs!$F$52,1),DATE(BR11,Inputs!$F$52,1)&lt;=BR8),1,0)</f>
        <v/>
      </c>
      <c r="BS58" s="14">
        <f>IF(AND(BS7&lt;DATE(BS11,Inputs!$F$52,1),DATE(BS11,Inputs!$F$52,1)&lt;=BS8),1,0)</f>
        <v/>
      </c>
      <c r="BT58" s="14">
        <f>IF(AND(BT7&lt;DATE(BT11,Inputs!$F$52,1),DATE(BT11,Inputs!$F$52,1)&lt;=BT8),1,0)</f>
        <v/>
      </c>
      <c r="BU58" s="14">
        <f>IF(AND(BU7&lt;DATE(BU11,Inputs!$F$52,1),DATE(BU11,Inputs!$F$52,1)&lt;=BU8),1,0)</f>
        <v/>
      </c>
      <c r="BV58" s="14">
        <f>IF(AND(BV7&lt;DATE(BV11,Inputs!$F$52,1),DATE(BV11,Inputs!$F$52,1)&lt;=BV8),1,0)</f>
        <v/>
      </c>
      <c r="BW58" s="14">
        <f>IF(AND(BW7&lt;DATE(BW11,Inputs!$F$52,1),DATE(BW11,Inputs!$F$52,1)&lt;=BW8),1,0)</f>
        <v/>
      </c>
      <c r="BX58" s="14">
        <f>IF(AND(BX7&lt;DATE(BX11,Inputs!$F$52,1),DATE(BX11,Inputs!$F$52,1)&lt;=BX8),1,0)</f>
        <v/>
      </c>
      <c r="BY58" s="14">
        <f>IF(AND(BY7&lt;DATE(BY11,Inputs!$F$52,1),DATE(BY11,Inputs!$F$52,1)&lt;=BY8),1,0)</f>
        <v/>
      </c>
      <c r="BZ58" s="14">
        <f>IF(AND(BZ7&lt;DATE(BZ11,Inputs!$F$52,1),DATE(BZ11,Inputs!$F$52,1)&lt;=BZ8),1,0)</f>
        <v/>
      </c>
      <c r="CA58" s="14">
        <f>IF(AND(CA7&lt;DATE(CA11,Inputs!$F$52,1),DATE(CA11,Inputs!$F$52,1)&lt;=CA8),1,0)</f>
        <v/>
      </c>
      <c r="CB58" s="14">
        <f>IF(AND(CB7&lt;DATE(CB11,Inputs!$F$52,1),DATE(CB11,Inputs!$F$52,1)&lt;=CB8),1,0)</f>
        <v/>
      </c>
      <c r="CC58" s="14">
        <f>IF(AND(CC7&lt;DATE(CC11,Inputs!$F$52,1),DATE(CC11,Inputs!$F$52,1)&lt;=CC8),1,0)</f>
        <v/>
      </c>
      <c r="CD58" s="14">
        <f>IF(AND(CD7&lt;DATE(CD11,Inputs!$F$52,1),DATE(CD11,Inputs!$F$52,1)&lt;=CD8),1,0)</f>
        <v/>
      </c>
      <c r="CE58" s="14">
        <f>IF(AND(CE7&lt;DATE(CE11,Inputs!$F$52,1),DATE(CE11,Inputs!$F$52,1)&lt;=CE8),1,0)</f>
        <v/>
      </c>
      <c r="CF58" s="14">
        <f>IF(AND(CF7&lt;DATE(CF11,Inputs!$F$52,1),DATE(CF11,Inputs!$F$52,1)&lt;=CF8),1,0)</f>
        <v/>
      </c>
      <c r="CG58" s="14">
        <f>IF(AND(CG7&lt;DATE(CG11,Inputs!$F$52,1),DATE(CG11,Inputs!$F$52,1)&lt;=CG8),1,0)</f>
        <v/>
      </c>
      <c r="CH58" s="14">
        <f>IF(AND(CH7&lt;DATE(CH11,Inputs!$F$52,1),DATE(CH11,Inputs!$F$52,1)&lt;=CH8),1,0)</f>
        <v/>
      </c>
      <c r="CI58" s="14">
        <f>IF(AND(CI7&lt;DATE(CI11,Inputs!$F$52,1),DATE(CI11,Inputs!$F$52,1)&lt;=CI8),1,0)</f>
        <v/>
      </c>
      <c r="CJ58" s="14">
        <f>IF(AND(CJ7&lt;DATE(CJ11,Inputs!$F$52,1),DATE(CJ11,Inputs!$F$52,1)&lt;=CJ8),1,0)</f>
        <v/>
      </c>
      <c r="CK58" s="14">
        <f>IF(AND(CK7&lt;DATE(CK11,Inputs!$F$52,1),DATE(CK11,Inputs!$F$52,1)&lt;=CK8),1,0)</f>
        <v/>
      </c>
      <c r="CL58" s="14">
        <f>IF(AND(CL7&lt;DATE(CL11,Inputs!$F$52,1),DATE(CL11,Inputs!$F$52,1)&lt;=CL8),1,0)</f>
        <v/>
      </c>
      <c r="CM58" s="14">
        <f>IF(AND(CM7&lt;DATE(CM11,Inputs!$F$52,1),DATE(CM11,Inputs!$F$52,1)&lt;=CM8),1,0)</f>
        <v/>
      </c>
      <c r="CN58" s="14">
        <f>IF(AND(CN7&lt;DATE(CN11,Inputs!$F$52,1),DATE(CN11,Inputs!$F$52,1)&lt;=CN8),1,0)</f>
        <v/>
      </c>
      <c r="CO58" s="14">
        <f>IF(AND(CO7&lt;DATE(CO11,Inputs!$F$52,1),DATE(CO11,Inputs!$F$52,1)&lt;=CO8),1,0)</f>
        <v/>
      </c>
      <c r="CP58" s="14">
        <f>IF(AND(CP7&lt;DATE(CP11,Inputs!$F$52,1),DATE(CP11,Inputs!$F$52,1)&lt;=CP8),1,0)</f>
        <v/>
      </c>
      <c r="CQ58" s="14">
        <f>IF(AND(CQ7&lt;DATE(CQ11,Inputs!$F$52,1),DATE(CQ11,Inputs!$F$52,1)&lt;=CQ8),1,0)</f>
        <v/>
      </c>
      <c r="CR58" s="14">
        <f>IF(AND(CR7&lt;DATE(CR11,Inputs!$F$52,1),DATE(CR11,Inputs!$F$52,1)&lt;=CR8),1,0)</f>
        <v/>
      </c>
      <c r="CS58" s="14">
        <f>IF(AND(CS7&lt;DATE(CS11,Inputs!$F$52,1),DATE(CS11,Inputs!$F$52,1)&lt;=CS8),1,0)</f>
        <v/>
      </c>
      <c r="CT58" s="14">
        <f>IF(AND(CT7&lt;DATE(CT11,Inputs!$F$52,1),DATE(CT11,Inputs!$F$52,1)&lt;=CT8),1,0)</f>
        <v/>
      </c>
      <c r="CU58" s="14">
        <f>IF(AND(CU7&lt;DATE(CU11,Inputs!$F$52,1),DATE(CU11,Inputs!$F$52,1)&lt;=CU8),1,0)</f>
        <v/>
      </c>
      <c r="CV58" s="14">
        <f>IF(AND(CV7&lt;DATE(CV11,Inputs!$F$52,1),DATE(CV11,Inputs!$F$52,1)&lt;=CV8),1,0)</f>
        <v/>
      </c>
      <c r="CW58" s="14">
        <f>IF(AND(CW7&lt;DATE(CW11,Inputs!$F$52,1),DATE(CW11,Inputs!$F$52,1)&lt;=CW8),1,0)</f>
        <v/>
      </c>
      <c r="CX58" s="14">
        <f>IF(AND(CX7&lt;DATE(CX11,Inputs!$F$52,1),DATE(CX11,Inputs!$F$52,1)&lt;=CX8),1,0)</f>
        <v/>
      </c>
      <c r="CY58" s="14">
        <f>IF(AND(CY7&lt;DATE(CY11,Inputs!$F$52,1),DATE(CY11,Inputs!$F$52,1)&lt;=CY8),1,0)</f>
        <v/>
      </c>
      <c r="CZ58" s="14">
        <f>IF(AND(CZ7&lt;DATE(CZ11,Inputs!$F$52,1),DATE(CZ11,Inputs!$F$52,1)&lt;=CZ8),1,0)</f>
        <v/>
      </c>
      <c r="DA58" s="14">
        <f>IF(AND(DA7&lt;DATE(DA11,Inputs!$F$52,1),DATE(DA11,Inputs!$F$52,1)&lt;=DA8),1,0)</f>
        <v/>
      </c>
      <c r="DB58" s="14">
        <f>IF(AND(DB7&lt;DATE(DB11,Inputs!$F$52,1),DATE(DB11,Inputs!$F$52,1)&lt;=DB8),1,0)</f>
        <v/>
      </c>
    </row>
    <row r="59">
      <c r="D59" t="inlineStr">
        <is>
          <t>Toll escalation factor</t>
        </is>
      </c>
      <c r="E59" t="inlineStr">
        <is>
          <t>factor</t>
        </is>
      </c>
      <c r="J59" s="27">
        <f>IF(OR(Inputs!$F$221=1,AND(Inputs!$F$216=1,J11&gt;=Inputs!$F$55),J11&gt;Inputs!$F$54),1+J55/100,MAX(1+J55/100,1+Inputs!$F$127))</f>
        <v/>
      </c>
      <c r="K59" s="27">
        <f>IF(OR(Inputs!$F$221=1,AND(Inputs!$F$216=1,K11&gt;=Inputs!$F$55),K11&gt;Inputs!$F$54),1+K55/100,MAX(1+K55/100,1+Inputs!$F$127))</f>
        <v/>
      </c>
      <c r="L59" s="27">
        <f>IF(OR(Inputs!$F$221=1,AND(Inputs!$F$216=1,L11&gt;=Inputs!$F$55),L11&gt;Inputs!$F$54),1+L55/100,MAX(1+L55/100,1+Inputs!$F$127))</f>
        <v/>
      </c>
      <c r="M59" s="27">
        <f>IF(OR(Inputs!$F$221=1,AND(Inputs!$F$216=1,M11&gt;=Inputs!$F$55),M11&gt;Inputs!$F$54),1+M55/100,MAX(1+M55/100,1+Inputs!$F$127))</f>
        <v/>
      </c>
      <c r="N59" s="27">
        <f>IF(OR(Inputs!$F$221=1,AND(Inputs!$F$216=1,N11&gt;=Inputs!$F$55),N11&gt;Inputs!$F$54),1+N55/100,MAX(1+N55/100,1+Inputs!$F$127))</f>
        <v/>
      </c>
      <c r="O59" s="27">
        <f>IF(OR(Inputs!$F$221=1,AND(Inputs!$F$216=1,O11&gt;=Inputs!$F$55),O11&gt;Inputs!$F$54),1+O55/100,MAX(1+O55/100,1+Inputs!$F$127))</f>
        <v/>
      </c>
      <c r="P59" s="27">
        <f>IF(OR(Inputs!$F$221=1,AND(Inputs!$F$216=1,P11&gt;=Inputs!$F$55),P11&gt;Inputs!$F$54),1+P55/100,MAX(1+P55/100,1+Inputs!$F$127))</f>
        <v/>
      </c>
      <c r="Q59" s="27">
        <f>IF(OR(Inputs!$F$221=1,AND(Inputs!$F$216=1,Q11&gt;=Inputs!$F$55),Q11&gt;Inputs!$F$54),1+Q55/100,MAX(1+Q55/100,1+Inputs!$F$127))</f>
        <v/>
      </c>
      <c r="R59" s="27">
        <f>IF(OR(Inputs!$F$221=1,AND(Inputs!$F$216=1,R11&gt;=Inputs!$F$55),R11&gt;Inputs!$F$54),1+R55/100,MAX(1+R55/100,1+Inputs!$F$127))</f>
        <v/>
      </c>
      <c r="S59" s="27">
        <f>IF(OR(Inputs!$F$221=1,AND(Inputs!$F$216=1,S11&gt;=Inputs!$F$55),S11&gt;Inputs!$F$54),1+S55/100,MAX(1+S55/100,1+Inputs!$F$127))</f>
        <v/>
      </c>
      <c r="T59" s="27">
        <f>IF(OR(Inputs!$F$221=1,AND(Inputs!$F$216=1,T11&gt;=Inputs!$F$55),T11&gt;Inputs!$F$54),1+T55/100,MAX(1+T55/100,1+Inputs!$F$127))</f>
        <v/>
      </c>
      <c r="U59" s="27">
        <f>IF(OR(Inputs!$F$221=1,AND(Inputs!$F$216=1,U11&gt;=Inputs!$F$55),U11&gt;Inputs!$F$54),1+U55/100,MAX(1+U55/100,1+Inputs!$F$127))</f>
        <v/>
      </c>
      <c r="V59" s="27">
        <f>IF(OR(Inputs!$F$221=1,AND(Inputs!$F$216=1,V11&gt;=Inputs!$F$55),V11&gt;Inputs!$F$54),1+V55/100,MAX(1+V55/100,1+Inputs!$F$127))</f>
        <v/>
      </c>
      <c r="W59" s="27">
        <f>IF(OR(Inputs!$F$221=1,AND(Inputs!$F$216=1,W11&gt;=Inputs!$F$55),W11&gt;Inputs!$F$54),1+W55/100,MAX(1+W55/100,1+Inputs!$F$127))</f>
        <v/>
      </c>
      <c r="X59" s="27">
        <f>IF(OR(Inputs!$F$221=1,AND(Inputs!$F$216=1,X11&gt;=Inputs!$F$55),X11&gt;Inputs!$F$54),1+X55/100,MAX(1+X55/100,1+Inputs!$F$127))</f>
        <v/>
      </c>
      <c r="Y59" s="27">
        <f>IF(OR(Inputs!$F$221=1,AND(Inputs!$F$216=1,Y11&gt;=Inputs!$F$55),Y11&gt;Inputs!$F$54),1+Y55/100,MAX(1+Y55/100,1+Inputs!$F$127))</f>
        <v/>
      </c>
      <c r="Z59" s="27">
        <f>IF(OR(Inputs!$F$221=1,AND(Inputs!$F$216=1,Z11&gt;=Inputs!$F$55),Z11&gt;Inputs!$F$54),1+Z55/100,MAX(1+Z55/100,1+Inputs!$F$127))</f>
        <v/>
      </c>
      <c r="AA59" s="27">
        <f>IF(OR(Inputs!$F$221=1,AND(Inputs!$F$216=1,AA11&gt;=Inputs!$F$55),AA11&gt;Inputs!$F$54),1+AA55/100,MAX(1+AA55/100,1+Inputs!$F$127))</f>
        <v/>
      </c>
      <c r="AB59" s="27">
        <f>IF(OR(Inputs!$F$221=1,AND(Inputs!$F$216=1,AB11&gt;=Inputs!$F$55),AB11&gt;Inputs!$F$54),1+AB55/100,MAX(1+AB55/100,1+Inputs!$F$127))</f>
        <v/>
      </c>
      <c r="AC59" s="27">
        <f>IF(OR(Inputs!$F$221=1,AND(Inputs!$F$216=1,AC11&gt;=Inputs!$F$55),AC11&gt;Inputs!$F$54),1+AC55/100,MAX(1+AC55/100,1+Inputs!$F$127))</f>
        <v/>
      </c>
      <c r="AD59" s="27">
        <f>IF(OR(Inputs!$F$221=1,AND(Inputs!$F$216=1,AD11&gt;=Inputs!$F$55),AD11&gt;Inputs!$F$54),1+AD55/100,MAX(1+AD55/100,1+Inputs!$F$127))</f>
        <v/>
      </c>
      <c r="AE59" s="27">
        <f>IF(OR(Inputs!$F$221=1,AND(Inputs!$F$216=1,AE11&gt;=Inputs!$F$55),AE11&gt;Inputs!$F$54),1+AE55/100,MAX(1+AE55/100,1+Inputs!$F$127))</f>
        <v/>
      </c>
      <c r="AF59" s="27">
        <f>IF(OR(Inputs!$F$221=1,AND(Inputs!$F$216=1,AF11&gt;=Inputs!$F$55),AF11&gt;Inputs!$F$54),1+AF55/100,MAX(1+AF55/100,1+Inputs!$F$127))</f>
        <v/>
      </c>
      <c r="AG59" s="27">
        <f>IF(OR(Inputs!$F$221=1,AND(Inputs!$F$216=1,AG11&gt;=Inputs!$F$55),AG11&gt;Inputs!$F$54),1+AG55/100,MAX(1+AG55/100,1+Inputs!$F$127))</f>
        <v/>
      </c>
      <c r="AH59" s="27">
        <f>IF(OR(Inputs!$F$221=1,AND(Inputs!$F$216=1,AH11&gt;=Inputs!$F$55),AH11&gt;Inputs!$F$54),1+AH55/100,MAX(1+AH55/100,1+Inputs!$F$127))</f>
        <v/>
      </c>
      <c r="AI59" s="27">
        <f>IF(OR(Inputs!$F$221=1,AND(Inputs!$F$216=1,AI11&gt;=Inputs!$F$55),AI11&gt;Inputs!$F$54),1+AI55/100,MAX(1+AI55/100,1+Inputs!$F$127))</f>
        <v/>
      </c>
      <c r="AJ59" s="27">
        <f>IF(OR(Inputs!$F$221=1,AND(Inputs!$F$216=1,AJ11&gt;=Inputs!$F$55),AJ11&gt;Inputs!$F$54),1+AJ55/100,MAX(1+AJ55/100,1+Inputs!$F$127))</f>
        <v/>
      </c>
      <c r="AK59" s="27">
        <f>IF(OR(Inputs!$F$221=1,AND(Inputs!$F$216=1,AK11&gt;=Inputs!$F$55),AK11&gt;Inputs!$F$54),1+AK55/100,MAX(1+AK55/100,1+Inputs!$F$127))</f>
        <v/>
      </c>
      <c r="AL59" s="27">
        <f>IF(OR(Inputs!$F$221=1,AND(Inputs!$F$216=1,AL11&gt;=Inputs!$F$55),AL11&gt;Inputs!$F$54),1+AL55/100,MAX(1+AL55/100,1+Inputs!$F$127))</f>
        <v/>
      </c>
      <c r="AM59" s="27">
        <f>IF(OR(Inputs!$F$221=1,AND(Inputs!$F$216=1,AM11&gt;=Inputs!$F$55),AM11&gt;Inputs!$F$54),1+AM55/100,MAX(1+AM55/100,1+Inputs!$F$127))</f>
        <v/>
      </c>
      <c r="AN59" s="27">
        <f>IF(OR(Inputs!$F$221=1,AND(Inputs!$F$216=1,AN11&gt;=Inputs!$F$55),AN11&gt;Inputs!$F$54),1+AN55/100,MAX(1+AN55/100,1+Inputs!$F$127))</f>
        <v/>
      </c>
      <c r="AO59" s="27">
        <f>IF(OR(Inputs!$F$221=1,AND(Inputs!$F$216=1,AO11&gt;=Inputs!$F$55),AO11&gt;Inputs!$F$54),1+AO55/100,MAX(1+AO55/100,1+Inputs!$F$127))</f>
        <v/>
      </c>
      <c r="AP59" s="27">
        <f>IF(OR(Inputs!$F$221=1,AND(Inputs!$F$216=1,AP11&gt;=Inputs!$F$55),AP11&gt;Inputs!$F$54),1+AP55/100,MAX(1+AP55/100,1+Inputs!$F$127))</f>
        <v/>
      </c>
      <c r="AQ59" s="27">
        <f>IF(OR(Inputs!$F$221=1,AND(Inputs!$F$216=1,AQ11&gt;=Inputs!$F$55),AQ11&gt;Inputs!$F$54),1+AQ55/100,MAX(1+AQ55/100,1+Inputs!$F$127))</f>
        <v/>
      </c>
      <c r="AR59" s="27">
        <f>IF(OR(Inputs!$F$221=1,AND(Inputs!$F$216=1,AR11&gt;=Inputs!$F$55),AR11&gt;Inputs!$F$54),1+AR55/100,MAX(1+AR55/100,1+Inputs!$F$127))</f>
        <v/>
      </c>
      <c r="AS59" s="27">
        <f>IF(OR(Inputs!$F$221=1,AND(Inputs!$F$216=1,AS11&gt;=Inputs!$F$55),AS11&gt;Inputs!$F$54),1+AS55/100,MAX(1+AS55/100,1+Inputs!$F$127))</f>
        <v/>
      </c>
      <c r="AT59" s="27">
        <f>IF(OR(Inputs!$F$221=1,AND(Inputs!$F$216=1,AT11&gt;=Inputs!$F$55),AT11&gt;Inputs!$F$54),1+AT55/100,MAX(1+AT55/100,1+Inputs!$F$127))</f>
        <v/>
      </c>
      <c r="AU59" s="27">
        <f>IF(OR(Inputs!$F$221=1,AND(Inputs!$F$216=1,AU11&gt;=Inputs!$F$55),AU11&gt;Inputs!$F$54),1+AU55/100,MAX(1+AU55/100,1+Inputs!$F$127))</f>
        <v/>
      </c>
      <c r="AV59" s="27">
        <f>IF(OR(Inputs!$F$221=1,AND(Inputs!$F$216=1,AV11&gt;=Inputs!$F$55),AV11&gt;Inputs!$F$54),1+AV55/100,MAX(1+AV55/100,1+Inputs!$F$127))</f>
        <v/>
      </c>
      <c r="AW59" s="27">
        <f>IF(OR(Inputs!$F$221=1,AND(Inputs!$F$216=1,AW11&gt;=Inputs!$F$55),AW11&gt;Inputs!$F$54),1+AW55/100,MAX(1+AW55/100,1+Inputs!$F$127))</f>
        <v/>
      </c>
      <c r="AX59" s="27">
        <f>IF(OR(Inputs!$F$221=1,AND(Inputs!$F$216=1,AX11&gt;=Inputs!$F$55),AX11&gt;Inputs!$F$54),1+AX55/100,MAX(1+AX55/100,1+Inputs!$F$127))</f>
        <v/>
      </c>
      <c r="AY59" s="27">
        <f>IF(OR(Inputs!$F$221=1,AND(Inputs!$F$216=1,AY11&gt;=Inputs!$F$55),AY11&gt;Inputs!$F$54),1+AY55/100,MAX(1+AY55/100,1+Inputs!$F$127))</f>
        <v/>
      </c>
      <c r="AZ59" s="27">
        <f>IF(OR(Inputs!$F$221=1,AND(Inputs!$F$216=1,AZ11&gt;=Inputs!$F$55),AZ11&gt;Inputs!$F$54),1+AZ55/100,MAX(1+AZ55/100,1+Inputs!$F$127))</f>
        <v/>
      </c>
      <c r="BA59" s="27">
        <f>IF(OR(Inputs!$F$221=1,AND(Inputs!$F$216=1,BA11&gt;=Inputs!$F$55),BA11&gt;Inputs!$F$54),1+BA55/100,MAX(1+BA55/100,1+Inputs!$F$127))</f>
        <v/>
      </c>
      <c r="BB59" s="27">
        <f>IF(OR(Inputs!$F$221=1,AND(Inputs!$F$216=1,BB11&gt;=Inputs!$F$55),BB11&gt;Inputs!$F$54),1+BB55/100,MAX(1+BB55/100,1+Inputs!$F$127))</f>
        <v/>
      </c>
      <c r="BC59" s="27">
        <f>IF(OR(Inputs!$F$221=1,AND(Inputs!$F$216=1,BC11&gt;=Inputs!$F$55),BC11&gt;Inputs!$F$54),1+BC55/100,MAX(1+BC55/100,1+Inputs!$F$127))</f>
        <v/>
      </c>
      <c r="BD59" s="27">
        <f>IF(OR(Inputs!$F$221=1,AND(Inputs!$F$216=1,BD11&gt;=Inputs!$F$55),BD11&gt;Inputs!$F$54),1+BD55/100,MAX(1+BD55/100,1+Inputs!$F$127))</f>
        <v/>
      </c>
      <c r="BE59" s="27">
        <f>IF(OR(Inputs!$F$221=1,AND(Inputs!$F$216=1,BE11&gt;=Inputs!$F$55),BE11&gt;Inputs!$F$54),1+BE55/100,MAX(1+BE55/100,1+Inputs!$F$127))</f>
        <v/>
      </c>
      <c r="BF59" s="27">
        <f>IF(OR(Inputs!$F$221=1,AND(Inputs!$F$216=1,BF11&gt;=Inputs!$F$55),BF11&gt;Inputs!$F$54),1+BF55/100,MAX(1+BF55/100,1+Inputs!$F$127))</f>
        <v/>
      </c>
      <c r="BG59" s="27">
        <f>IF(OR(Inputs!$F$221=1,AND(Inputs!$F$216=1,BG11&gt;=Inputs!$F$55),BG11&gt;Inputs!$F$54),1+BG55/100,MAX(1+BG55/100,1+Inputs!$F$127))</f>
        <v/>
      </c>
      <c r="BH59" s="27">
        <f>IF(OR(Inputs!$F$221=1,AND(Inputs!$F$216=1,BH11&gt;=Inputs!$F$55),BH11&gt;Inputs!$F$54),1+BH55/100,MAX(1+BH55/100,1+Inputs!$F$127))</f>
        <v/>
      </c>
      <c r="BI59" s="27">
        <f>IF(OR(Inputs!$F$221=1,AND(Inputs!$F$216=1,BI11&gt;=Inputs!$F$55),BI11&gt;Inputs!$F$54),1+BI55/100,MAX(1+BI55/100,1+Inputs!$F$127))</f>
        <v/>
      </c>
      <c r="BJ59" s="27">
        <f>IF(OR(Inputs!$F$221=1,AND(Inputs!$F$216=1,BJ11&gt;=Inputs!$F$55),BJ11&gt;Inputs!$F$54),1+BJ55/100,MAX(1+BJ55/100,1+Inputs!$F$127))</f>
        <v/>
      </c>
      <c r="BK59" s="27">
        <f>IF(OR(Inputs!$F$221=1,AND(Inputs!$F$216=1,BK11&gt;=Inputs!$F$55),BK11&gt;Inputs!$F$54),1+BK55/100,MAX(1+BK55/100,1+Inputs!$F$127))</f>
        <v/>
      </c>
      <c r="BL59" s="27">
        <f>IF(OR(Inputs!$F$221=1,AND(Inputs!$F$216=1,BL11&gt;=Inputs!$F$55),BL11&gt;Inputs!$F$54),1+BL55/100,MAX(1+BL55/100,1+Inputs!$F$127))</f>
        <v/>
      </c>
      <c r="BM59" s="27">
        <f>IF(OR(Inputs!$F$221=1,AND(Inputs!$F$216=1,BM11&gt;=Inputs!$F$55),BM11&gt;Inputs!$F$54),1+BM55/100,MAX(1+BM55/100,1+Inputs!$F$127))</f>
        <v/>
      </c>
      <c r="BN59" s="27">
        <f>IF(OR(Inputs!$F$221=1,AND(Inputs!$F$216=1,BN11&gt;=Inputs!$F$55),BN11&gt;Inputs!$F$54),1+BN55/100,MAX(1+BN55/100,1+Inputs!$F$127))</f>
        <v/>
      </c>
      <c r="BO59" s="27">
        <f>IF(OR(Inputs!$F$221=1,AND(Inputs!$F$216=1,BO11&gt;=Inputs!$F$55),BO11&gt;Inputs!$F$54),1+BO55/100,MAX(1+BO55/100,1+Inputs!$F$127))</f>
        <v/>
      </c>
      <c r="BP59" s="27">
        <f>IF(OR(Inputs!$F$221=1,AND(Inputs!$F$216=1,BP11&gt;=Inputs!$F$55),BP11&gt;Inputs!$F$54),1+BP55/100,MAX(1+BP55/100,1+Inputs!$F$127))</f>
        <v/>
      </c>
      <c r="BQ59" s="27">
        <f>IF(OR(Inputs!$F$221=1,AND(Inputs!$F$216=1,BQ11&gt;=Inputs!$F$55),BQ11&gt;Inputs!$F$54),1+BQ55/100,MAX(1+BQ55/100,1+Inputs!$F$127))</f>
        <v/>
      </c>
      <c r="BR59" s="27">
        <f>IF(OR(Inputs!$F$221=1,AND(Inputs!$F$216=1,BR11&gt;=Inputs!$F$55),BR11&gt;Inputs!$F$54),1+BR55/100,MAX(1+BR55/100,1+Inputs!$F$127))</f>
        <v/>
      </c>
      <c r="BS59" s="27">
        <f>IF(OR(Inputs!$F$221=1,AND(Inputs!$F$216=1,BS11&gt;=Inputs!$F$55),BS11&gt;Inputs!$F$54),1+BS55/100,MAX(1+BS55/100,1+Inputs!$F$127))</f>
        <v/>
      </c>
      <c r="BT59" s="27">
        <f>IF(OR(Inputs!$F$221=1,AND(Inputs!$F$216=1,BT11&gt;=Inputs!$F$55),BT11&gt;Inputs!$F$54),1+BT55/100,MAX(1+BT55/100,1+Inputs!$F$127))</f>
        <v/>
      </c>
      <c r="BU59" s="27">
        <f>IF(OR(Inputs!$F$221=1,AND(Inputs!$F$216=1,BU11&gt;=Inputs!$F$55),BU11&gt;Inputs!$F$54),1+BU55/100,MAX(1+BU55/100,1+Inputs!$F$127))</f>
        <v/>
      </c>
      <c r="BV59" s="27">
        <f>IF(OR(Inputs!$F$221=1,AND(Inputs!$F$216=1,BV11&gt;=Inputs!$F$55),BV11&gt;Inputs!$F$54),1+BV55/100,MAX(1+BV55/100,1+Inputs!$F$127))</f>
        <v/>
      </c>
      <c r="BW59" s="27">
        <f>IF(OR(Inputs!$F$221=1,AND(Inputs!$F$216=1,BW11&gt;=Inputs!$F$55),BW11&gt;Inputs!$F$54),1+BW55/100,MAX(1+BW55/100,1+Inputs!$F$127))</f>
        <v/>
      </c>
      <c r="BX59" s="27">
        <f>IF(OR(Inputs!$F$221=1,AND(Inputs!$F$216=1,BX11&gt;=Inputs!$F$55),BX11&gt;Inputs!$F$54),1+BX55/100,MAX(1+BX55/100,1+Inputs!$F$127))</f>
        <v/>
      </c>
      <c r="BY59" s="27">
        <f>IF(OR(Inputs!$F$221=1,AND(Inputs!$F$216=1,BY11&gt;=Inputs!$F$55),BY11&gt;Inputs!$F$54),1+BY55/100,MAX(1+BY55/100,1+Inputs!$F$127))</f>
        <v/>
      </c>
      <c r="BZ59" s="27">
        <f>IF(OR(Inputs!$F$221=1,AND(Inputs!$F$216=1,BZ11&gt;=Inputs!$F$55),BZ11&gt;Inputs!$F$54),1+BZ55/100,MAX(1+BZ55/100,1+Inputs!$F$127))</f>
        <v/>
      </c>
      <c r="CA59" s="27">
        <f>IF(OR(Inputs!$F$221=1,AND(Inputs!$F$216=1,CA11&gt;=Inputs!$F$55),CA11&gt;Inputs!$F$54),1+CA55/100,MAX(1+CA55/100,1+Inputs!$F$127))</f>
        <v/>
      </c>
      <c r="CB59" s="27">
        <f>IF(OR(Inputs!$F$221=1,AND(Inputs!$F$216=1,CB11&gt;=Inputs!$F$55),CB11&gt;Inputs!$F$54),1+CB55/100,MAX(1+CB55/100,1+Inputs!$F$127))</f>
        <v/>
      </c>
      <c r="CC59" s="27">
        <f>IF(OR(Inputs!$F$221=1,AND(Inputs!$F$216=1,CC11&gt;=Inputs!$F$55),CC11&gt;Inputs!$F$54),1+CC55/100,MAX(1+CC55/100,1+Inputs!$F$127))</f>
        <v/>
      </c>
      <c r="CD59" s="27">
        <f>IF(OR(Inputs!$F$221=1,AND(Inputs!$F$216=1,CD11&gt;=Inputs!$F$55),CD11&gt;Inputs!$F$54),1+CD55/100,MAX(1+CD55/100,1+Inputs!$F$127))</f>
        <v/>
      </c>
      <c r="CE59" s="27">
        <f>IF(OR(Inputs!$F$221=1,AND(Inputs!$F$216=1,CE11&gt;=Inputs!$F$55),CE11&gt;Inputs!$F$54),1+CE55/100,MAX(1+CE55/100,1+Inputs!$F$127))</f>
        <v/>
      </c>
      <c r="CF59" s="27">
        <f>IF(OR(Inputs!$F$221=1,AND(Inputs!$F$216=1,CF11&gt;=Inputs!$F$55),CF11&gt;Inputs!$F$54),1+CF55/100,MAX(1+CF55/100,1+Inputs!$F$127))</f>
        <v/>
      </c>
      <c r="CG59" s="27">
        <f>IF(OR(Inputs!$F$221=1,AND(Inputs!$F$216=1,CG11&gt;=Inputs!$F$55),CG11&gt;Inputs!$F$54),1+CG55/100,MAX(1+CG55/100,1+Inputs!$F$127))</f>
        <v/>
      </c>
      <c r="CH59" s="27">
        <f>IF(OR(Inputs!$F$221=1,AND(Inputs!$F$216=1,CH11&gt;=Inputs!$F$55),CH11&gt;Inputs!$F$54),1+CH55/100,MAX(1+CH55/100,1+Inputs!$F$127))</f>
        <v/>
      </c>
      <c r="CI59" s="27">
        <f>IF(OR(Inputs!$F$221=1,AND(Inputs!$F$216=1,CI11&gt;=Inputs!$F$55),CI11&gt;Inputs!$F$54),1+CI55/100,MAX(1+CI55/100,1+Inputs!$F$127))</f>
        <v/>
      </c>
      <c r="CJ59" s="27">
        <f>IF(OR(Inputs!$F$221=1,AND(Inputs!$F$216=1,CJ11&gt;=Inputs!$F$55),CJ11&gt;Inputs!$F$54),1+CJ55/100,MAX(1+CJ55/100,1+Inputs!$F$127))</f>
        <v/>
      </c>
      <c r="CK59" s="27">
        <f>IF(OR(Inputs!$F$221=1,AND(Inputs!$F$216=1,CK11&gt;=Inputs!$F$55),CK11&gt;Inputs!$F$54),1+CK55/100,MAX(1+CK55/100,1+Inputs!$F$127))</f>
        <v/>
      </c>
      <c r="CL59" s="27">
        <f>IF(OR(Inputs!$F$221=1,AND(Inputs!$F$216=1,CL11&gt;=Inputs!$F$55),CL11&gt;Inputs!$F$54),1+CL55/100,MAX(1+CL55/100,1+Inputs!$F$127))</f>
        <v/>
      </c>
      <c r="CM59" s="27">
        <f>IF(OR(Inputs!$F$221=1,AND(Inputs!$F$216=1,CM11&gt;=Inputs!$F$55),CM11&gt;Inputs!$F$54),1+CM55/100,MAX(1+CM55/100,1+Inputs!$F$127))</f>
        <v/>
      </c>
      <c r="CN59" s="27">
        <f>IF(OR(Inputs!$F$221=1,AND(Inputs!$F$216=1,CN11&gt;=Inputs!$F$55),CN11&gt;Inputs!$F$54),1+CN55/100,MAX(1+CN55/100,1+Inputs!$F$127))</f>
        <v/>
      </c>
      <c r="CO59" s="27">
        <f>IF(OR(Inputs!$F$221=1,AND(Inputs!$F$216=1,CO11&gt;=Inputs!$F$55),CO11&gt;Inputs!$F$54),1+CO55/100,MAX(1+CO55/100,1+Inputs!$F$127))</f>
        <v/>
      </c>
      <c r="CP59" s="27">
        <f>IF(OR(Inputs!$F$221=1,AND(Inputs!$F$216=1,CP11&gt;=Inputs!$F$55),CP11&gt;Inputs!$F$54),1+CP55/100,MAX(1+CP55/100,1+Inputs!$F$127))</f>
        <v/>
      </c>
      <c r="CQ59" s="27">
        <f>IF(OR(Inputs!$F$221=1,AND(Inputs!$F$216=1,CQ11&gt;=Inputs!$F$55),CQ11&gt;Inputs!$F$54),1+CQ55/100,MAX(1+CQ55/100,1+Inputs!$F$127))</f>
        <v/>
      </c>
      <c r="CR59" s="27">
        <f>IF(OR(Inputs!$F$221=1,AND(Inputs!$F$216=1,CR11&gt;=Inputs!$F$55),CR11&gt;Inputs!$F$54),1+CR55/100,MAX(1+CR55/100,1+Inputs!$F$127))</f>
        <v/>
      </c>
      <c r="CS59" s="27">
        <f>IF(OR(Inputs!$F$221=1,AND(Inputs!$F$216=1,CS11&gt;=Inputs!$F$55),CS11&gt;Inputs!$F$54),1+CS55/100,MAX(1+CS55/100,1+Inputs!$F$127))</f>
        <v/>
      </c>
      <c r="CT59" s="27">
        <f>IF(OR(Inputs!$F$221=1,AND(Inputs!$F$216=1,CT11&gt;=Inputs!$F$55),CT11&gt;Inputs!$F$54),1+CT55/100,MAX(1+CT55/100,1+Inputs!$F$127))</f>
        <v/>
      </c>
      <c r="CU59" s="27">
        <f>IF(OR(Inputs!$F$221=1,AND(Inputs!$F$216=1,CU11&gt;=Inputs!$F$55),CU11&gt;Inputs!$F$54),1+CU55/100,MAX(1+CU55/100,1+Inputs!$F$127))</f>
        <v/>
      </c>
      <c r="CV59" s="27">
        <f>IF(OR(Inputs!$F$221=1,AND(Inputs!$F$216=1,CV11&gt;=Inputs!$F$55),CV11&gt;Inputs!$F$54),1+CV55/100,MAX(1+CV55/100,1+Inputs!$F$127))</f>
        <v/>
      </c>
      <c r="CW59" s="27">
        <f>IF(OR(Inputs!$F$221=1,AND(Inputs!$F$216=1,CW11&gt;=Inputs!$F$55),CW11&gt;Inputs!$F$54),1+CW55/100,MAX(1+CW55/100,1+Inputs!$F$127))</f>
        <v/>
      </c>
      <c r="CX59" s="27">
        <f>IF(OR(Inputs!$F$221=1,AND(Inputs!$F$216=1,CX11&gt;=Inputs!$F$55),CX11&gt;Inputs!$F$54),1+CX55/100,MAX(1+CX55/100,1+Inputs!$F$127))</f>
        <v/>
      </c>
      <c r="CY59" s="27">
        <f>IF(OR(Inputs!$F$221=1,AND(Inputs!$F$216=1,CY11&gt;=Inputs!$F$55),CY11&gt;Inputs!$F$54),1+CY55/100,MAX(1+CY55/100,1+Inputs!$F$127))</f>
        <v/>
      </c>
      <c r="CZ59" s="27">
        <f>IF(OR(Inputs!$F$221=1,AND(Inputs!$F$216=1,CZ11&gt;=Inputs!$F$55),CZ11&gt;Inputs!$F$54),1+CZ55/100,MAX(1+CZ55/100,1+Inputs!$F$127))</f>
        <v/>
      </c>
      <c r="DA59" s="27">
        <f>IF(OR(Inputs!$F$221=1,AND(Inputs!$F$216=1,DA11&gt;=Inputs!$F$55),DA11&gt;Inputs!$F$54),1+DA55/100,MAX(1+DA55/100,1+Inputs!$F$127))</f>
        <v/>
      </c>
      <c r="DB59" s="27">
        <f>IF(OR(Inputs!$F$221=1,AND(Inputs!$F$216=1,DB11&gt;=Inputs!$F$55),DB11&gt;Inputs!$F$54),1+DB55/100,MAX(1+DB55/100,1+Inputs!$F$127))</f>
        <v/>
      </c>
    </row>
    <row r="60">
      <c r="D60" t="inlineStr">
        <is>
          <t>Car toll per km</t>
        </is>
      </c>
      <c r="E60" t="inlineStr">
        <is>
          <t>ARD/km</t>
        </is>
      </c>
      <c r="J60" s="16">
        <f>IF(J6=1,IF(J58=1,ROUND(Inputs!$F$126*J59,Inputs!$F$53),Inputs!$F$126),IF(J58=1,ROUND(I60*J59,Inputs!$F$53),I60))</f>
        <v/>
      </c>
      <c r="K60" s="16">
        <f>IF(K6=1,IF(K58=1,ROUND(Inputs!$F$126*K59,Inputs!$F$53),Inputs!$F$126),IF(K58=1,ROUND(J60*K59,Inputs!$F$53),J60))</f>
        <v/>
      </c>
      <c r="L60" s="16">
        <f>IF(L6=1,IF(L58=1,ROUND(Inputs!$F$126*L59,Inputs!$F$53),Inputs!$F$126),IF(L58=1,ROUND(K60*L59,Inputs!$F$53),K60))</f>
        <v/>
      </c>
      <c r="M60" s="16">
        <f>IF(M6=1,IF(M58=1,ROUND(Inputs!$F$126*M59,Inputs!$F$53),Inputs!$F$126),IF(M58=1,ROUND(L60*M59,Inputs!$F$53),L60))</f>
        <v/>
      </c>
      <c r="N60" s="16">
        <f>IF(N6=1,IF(N58=1,ROUND(Inputs!$F$126*N59,Inputs!$F$53),Inputs!$F$126),IF(N58=1,ROUND(M60*N59,Inputs!$F$53),M60))</f>
        <v/>
      </c>
      <c r="O60" s="16">
        <f>IF(O6=1,IF(O58=1,ROUND(Inputs!$F$126*O59,Inputs!$F$53),Inputs!$F$126),IF(O58=1,ROUND(N60*O59,Inputs!$F$53),N60))</f>
        <v/>
      </c>
      <c r="P60" s="16">
        <f>IF(P6=1,IF(P58=1,ROUND(Inputs!$F$126*P59,Inputs!$F$53),Inputs!$F$126),IF(P58=1,ROUND(O60*P59,Inputs!$F$53),O60))</f>
        <v/>
      </c>
      <c r="Q60" s="16">
        <f>IF(Q6=1,IF(Q58=1,ROUND(Inputs!$F$126*Q59,Inputs!$F$53),Inputs!$F$126),IF(Q58=1,ROUND(P60*Q59,Inputs!$F$53),P60))</f>
        <v/>
      </c>
      <c r="R60" s="16">
        <f>IF(R6=1,IF(R58=1,ROUND(Inputs!$F$126*R59,Inputs!$F$53),Inputs!$F$126),IF(R58=1,ROUND(Q60*R59,Inputs!$F$53),Q60))</f>
        <v/>
      </c>
      <c r="S60" s="16">
        <f>IF(S6=1,IF(S58=1,ROUND(Inputs!$F$126*S59,Inputs!$F$53),Inputs!$F$126),IF(S58=1,ROUND(R60*S59,Inputs!$F$53),R60))</f>
        <v/>
      </c>
      <c r="T60" s="16">
        <f>IF(T6=1,IF(T58=1,ROUND(Inputs!$F$126*T59,Inputs!$F$53),Inputs!$F$126),IF(T58=1,ROUND(S60*T59,Inputs!$F$53),S60))</f>
        <v/>
      </c>
      <c r="U60" s="16">
        <f>IF(U6=1,IF(U58=1,ROUND(Inputs!$F$126*U59,Inputs!$F$53),Inputs!$F$126),IF(U58=1,ROUND(T60*U59,Inputs!$F$53),T60))</f>
        <v/>
      </c>
      <c r="V60" s="16">
        <f>IF(V6=1,IF(V58=1,ROUND(Inputs!$F$126*V59,Inputs!$F$53),Inputs!$F$126),IF(V58=1,ROUND(U60*V59,Inputs!$F$53),U60))</f>
        <v/>
      </c>
      <c r="W60" s="16">
        <f>IF(W6=1,IF(W58=1,ROUND(Inputs!$F$126*W59,Inputs!$F$53),Inputs!$F$126),IF(W58=1,ROUND(V60*W59,Inputs!$F$53),V60))</f>
        <v/>
      </c>
      <c r="X60" s="16">
        <f>IF(X6=1,IF(X58=1,ROUND(Inputs!$F$126*X59,Inputs!$F$53),Inputs!$F$126),IF(X58=1,ROUND(W60*X59,Inputs!$F$53),W60))</f>
        <v/>
      </c>
      <c r="Y60" s="16">
        <f>IF(Y6=1,IF(Y58=1,ROUND(Inputs!$F$126*Y59,Inputs!$F$53),Inputs!$F$126),IF(Y58=1,ROUND(X60*Y59,Inputs!$F$53),X60))</f>
        <v/>
      </c>
      <c r="Z60" s="16">
        <f>IF(Z6=1,IF(Z58=1,ROUND(Inputs!$F$126*Z59,Inputs!$F$53),Inputs!$F$126),IF(Z58=1,ROUND(Y60*Z59,Inputs!$F$53),Y60))</f>
        <v/>
      </c>
      <c r="AA60" s="16">
        <f>IF(AA6=1,IF(AA58=1,ROUND(Inputs!$F$126*AA59,Inputs!$F$53),Inputs!$F$126),IF(AA58=1,ROUND(Z60*AA59,Inputs!$F$53),Z60))</f>
        <v/>
      </c>
      <c r="AB60" s="16">
        <f>IF(AB6=1,IF(AB58=1,ROUND(Inputs!$F$126*AB59,Inputs!$F$53),Inputs!$F$126),IF(AB58=1,ROUND(AA60*AB59,Inputs!$F$53),AA60))</f>
        <v/>
      </c>
      <c r="AC60" s="16">
        <f>IF(AC6=1,IF(AC58=1,ROUND(Inputs!$F$126*AC59,Inputs!$F$53),Inputs!$F$126),IF(AC58=1,ROUND(AB60*AC59,Inputs!$F$53),AB60))</f>
        <v/>
      </c>
      <c r="AD60" s="16">
        <f>IF(AD6=1,IF(AD58=1,ROUND(Inputs!$F$126*AD59,Inputs!$F$53),Inputs!$F$126),IF(AD58=1,ROUND(AC60*AD59,Inputs!$F$53),AC60))</f>
        <v/>
      </c>
      <c r="AE60" s="16">
        <f>IF(AE6=1,IF(AE58=1,ROUND(Inputs!$F$126*AE59,Inputs!$F$53),Inputs!$F$126),IF(AE58=1,ROUND(AD60*AE59,Inputs!$F$53),AD60))</f>
        <v/>
      </c>
      <c r="AF60" s="16">
        <f>IF(AF6=1,IF(AF58=1,ROUND(Inputs!$F$126*AF59,Inputs!$F$53),Inputs!$F$126),IF(AF58=1,ROUND(AE60*AF59,Inputs!$F$53),AE60))</f>
        <v/>
      </c>
      <c r="AG60" s="16">
        <f>IF(AG6=1,IF(AG58=1,ROUND(Inputs!$F$126*AG59,Inputs!$F$53),Inputs!$F$126),IF(AG58=1,ROUND(AF60*AG59,Inputs!$F$53),AF60))</f>
        <v/>
      </c>
      <c r="AH60" s="16">
        <f>IF(AH6=1,IF(AH58=1,ROUND(Inputs!$F$126*AH59,Inputs!$F$53),Inputs!$F$126),IF(AH58=1,ROUND(AG60*AH59,Inputs!$F$53),AG60))</f>
        <v/>
      </c>
      <c r="AI60" s="16">
        <f>IF(AI6=1,IF(AI58=1,ROUND(Inputs!$F$126*AI59,Inputs!$F$53),Inputs!$F$126),IF(AI58=1,ROUND(AH60*AI59,Inputs!$F$53),AH60))</f>
        <v/>
      </c>
      <c r="AJ60" s="16">
        <f>IF(AJ6=1,IF(AJ58=1,ROUND(Inputs!$F$126*AJ59,Inputs!$F$53),Inputs!$F$126),IF(AJ58=1,ROUND(AI60*AJ59,Inputs!$F$53),AI60))</f>
        <v/>
      </c>
      <c r="AK60" s="16">
        <f>IF(AK6=1,IF(AK58=1,ROUND(Inputs!$F$126*AK59,Inputs!$F$53),Inputs!$F$126),IF(AK58=1,ROUND(AJ60*AK59,Inputs!$F$53),AJ60))</f>
        <v/>
      </c>
      <c r="AL60" s="16">
        <f>IF(AL6=1,IF(AL58=1,ROUND(Inputs!$F$126*AL59,Inputs!$F$53),Inputs!$F$126),IF(AL58=1,ROUND(AK60*AL59,Inputs!$F$53),AK60))</f>
        <v/>
      </c>
      <c r="AM60" s="16">
        <f>IF(AM6=1,IF(AM58=1,ROUND(Inputs!$F$126*AM59,Inputs!$F$53),Inputs!$F$126),IF(AM58=1,ROUND(AL60*AM59,Inputs!$F$53),AL60))</f>
        <v/>
      </c>
      <c r="AN60" s="16">
        <f>IF(AN6=1,IF(AN58=1,ROUND(Inputs!$F$126*AN59,Inputs!$F$53),Inputs!$F$126),IF(AN58=1,ROUND(AM60*AN59,Inputs!$F$53),AM60))</f>
        <v/>
      </c>
      <c r="AO60" s="16">
        <f>IF(AO6=1,IF(AO58=1,ROUND(Inputs!$F$126*AO59,Inputs!$F$53),Inputs!$F$126),IF(AO58=1,ROUND(AN60*AO59,Inputs!$F$53),AN60))</f>
        <v/>
      </c>
      <c r="AP60" s="16">
        <f>IF(AP6=1,IF(AP58=1,ROUND(Inputs!$F$126*AP59,Inputs!$F$53),Inputs!$F$126),IF(AP58=1,ROUND(AO60*AP59,Inputs!$F$53),AO60))</f>
        <v/>
      </c>
      <c r="AQ60" s="16">
        <f>IF(AQ6=1,IF(AQ58=1,ROUND(Inputs!$F$126*AQ59,Inputs!$F$53),Inputs!$F$126),IF(AQ58=1,ROUND(AP60*AQ59,Inputs!$F$53),AP60))</f>
        <v/>
      </c>
      <c r="AR60" s="16">
        <f>IF(AR6=1,IF(AR58=1,ROUND(Inputs!$F$126*AR59,Inputs!$F$53),Inputs!$F$126),IF(AR58=1,ROUND(AQ60*AR59,Inputs!$F$53),AQ60))</f>
        <v/>
      </c>
      <c r="AS60" s="16">
        <f>IF(AS6=1,IF(AS58=1,ROUND(Inputs!$F$126*AS59,Inputs!$F$53),Inputs!$F$126),IF(AS58=1,ROUND(AR60*AS59,Inputs!$F$53),AR60))</f>
        <v/>
      </c>
      <c r="AT60" s="16">
        <f>IF(AT6=1,IF(AT58=1,ROUND(Inputs!$F$126*AT59,Inputs!$F$53),Inputs!$F$126),IF(AT58=1,ROUND(AS60*AT59,Inputs!$F$53),AS60))</f>
        <v/>
      </c>
      <c r="AU60" s="16">
        <f>IF(AU6=1,IF(AU58=1,ROUND(Inputs!$F$126*AU59,Inputs!$F$53),Inputs!$F$126),IF(AU58=1,ROUND(AT60*AU59,Inputs!$F$53),AT60))</f>
        <v/>
      </c>
      <c r="AV60" s="16">
        <f>IF(AV6=1,IF(AV58=1,ROUND(Inputs!$F$126*AV59,Inputs!$F$53),Inputs!$F$126),IF(AV58=1,ROUND(AU60*AV59,Inputs!$F$53),AU60))</f>
        <v/>
      </c>
      <c r="AW60" s="16">
        <f>IF(AW6=1,IF(AW58=1,ROUND(Inputs!$F$126*AW59,Inputs!$F$53),Inputs!$F$126),IF(AW58=1,ROUND(AV60*AW59,Inputs!$F$53),AV60))</f>
        <v/>
      </c>
      <c r="AX60" s="16">
        <f>IF(AX6=1,IF(AX58=1,ROUND(Inputs!$F$126*AX59,Inputs!$F$53),Inputs!$F$126),IF(AX58=1,ROUND(AW60*AX59,Inputs!$F$53),AW60))</f>
        <v/>
      </c>
      <c r="AY60" s="16">
        <f>IF(AY6=1,IF(AY58=1,ROUND(Inputs!$F$126*AY59,Inputs!$F$53),Inputs!$F$126),IF(AY58=1,ROUND(AX60*AY59,Inputs!$F$53),AX60))</f>
        <v/>
      </c>
      <c r="AZ60" s="16">
        <f>IF(AZ6=1,IF(AZ58=1,ROUND(Inputs!$F$126*AZ59,Inputs!$F$53),Inputs!$F$126),IF(AZ58=1,ROUND(AY60*AZ59,Inputs!$F$53),AY60))</f>
        <v/>
      </c>
      <c r="BA60" s="16">
        <f>IF(BA6=1,IF(BA58=1,ROUND(Inputs!$F$126*BA59,Inputs!$F$53),Inputs!$F$126),IF(BA58=1,ROUND(AZ60*BA59,Inputs!$F$53),AZ60))</f>
        <v/>
      </c>
      <c r="BB60" s="16">
        <f>IF(BB6=1,IF(BB58=1,ROUND(Inputs!$F$126*BB59,Inputs!$F$53),Inputs!$F$126),IF(BB58=1,ROUND(BA60*BB59,Inputs!$F$53),BA60))</f>
        <v/>
      </c>
      <c r="BC60" s="16">
        <f>IF(BC6=1,IF(BC58=1,ROUND(Inputs!$F$126*BC59,Inputs!$F$53),Inputs!$F$126),IF(BC58=1,ROUND(BB60*BC59,Inputs!$F$53),BB60))</f>
        <v/>
      </c>
      <c r="BD60" s="16">
        <f>IF(BD6=1,IF(BD58=1,ROUND(Inputs!$F$126*BD59,Inputs!$F$53),Inputs!$F$126),IF(BD58=1,ROUND(BC60*BD59,Inputs!$F$53),BC60))</f>
        <v/>
      </c>
      <c r="BE60" s="16">
        <f>IF(BE6=1,IF(BE58=1,ROUND(Inputs!$F$126*BE59,Inputs!$F$53),Inputs!$F$126),IF(BE58=1,ROUND(BD60*BE59,Inputs!$F$53),BD60))</f>
        <v/>
      </c>
      <c r="BF60" s="16">
        <f>IF(BF6=1,IF(BF58=1,ROUND(Inputs!$F$126*BF59,Inputs!$F$53),Inputs!$F$126),IF(BF58=1,ROUND(BE60*BF59,Inputs!$F$53),BE60))</f>
        <v/>
      </c>
      <c r="BG60" s="16">
        <f>IF(BG6=1,IF(BG58=1,ROUND(Inputs!$F$126*BG59,Inputs!$F$53),Inputs!$F$126),IF(BG58=1,ROUND(BF60*BG59,Inputs!$F$53),BF60))</f>
        <v/>
      </c>
      <c r="BH60" s="16">
        <f>IF(BH6=1,IF(BH58=1,ROUND(Inputs!$F$126*BH59,Inputs!$F$53),Inputs!$F$126),IF(BH58=1,ROUND(BG60*BH59,Inputs!$F$53),BG60))</f>
        <v/>
      </c>
      <c r="BI60" s="16">
        <f>IF(BI6=1,IF(BI58=1,ROUND(Inputs!$F$126*BI59,Inputs!$F$53),Inputs!$F$126),IF(BI58=1,ROUND(BH60*BI59,Inputs!$F$53),BH60))</f>
        <v/>
      </c>
      <c r="BJ60" s="16">
        <f>IF(BJ6=1,IF(BJ58=1,ROUND(Inputs!$F$126*BJ59,Inputs!$F$53),Inputs!$F$126),IF(BJ58=1,ROUND(BI60*BJ59,Inputs!$F$53),BI60))</f>
        <v/>
      </c>
      <c r="BK60" s="16">
        <f>IF(BK6=1,IF(BK58=1,ROUND(Inputs!$F$126*BK59,Inputs!$F$53),Inputs!$F$126),IF(BK58=1,ROUND(BJ60*BK59,Inputs!$F$53),BJ60))</f>
        <v/>
      </c>
      <c r="BL60" s="16">
        <f>IF(BL6=1,IF(BL58=1,ROUND(Inputs!$F$126*BL59,Inputs!$F$53),Inputs!$F$126),IF(BL58=1,ROUND(BK60*BL59,Inputs!$F$53),BK60))</f>
        <v/>
      </c>
      <c r="BM60" s="16">
        <f>IF(BM6=1,IF(BM58=1,ROUND(Inputs!$F$126*BM59,Inputs!$F$53),Inputs!$F$126),IF(BM58=1,ROUND(BL60*BM59,Inputs!$F$53),BL60))</f>
        <v/>
      </c>
      <c r="BN60" s="16">
        <f>IF(BN6=1,IF(BN58=1,ROUND(Inputs!$F$126*BN59,Inputs!$F$53),Inputs!$F$126),IF(BN58=1,ROUND(BM60*BN59,Inputs!$F$53),BM60))</f>
        <v/>
      </c>
      <c r="BO60" s="16">
        <f>IF(BO6=1,IF(BO58=1,ROUND(Inputs!$F$126*BO59,Inputs!$F$53),Inputs!$F$126),IF(BO58=1,ROUND(BN60*BO59,Inputs!$F$53),BN60))</f>
        <v/>
      </c>
      <c r="BP60" s="16">
        <f>IF(BP6=1,IF(BP58=1,ROUND(Inputs!$F$126*BP59,Inputs!$F$53),Inputs!$F$126),IF(BP58=1,ROUND(BO60*BP59,Inputs!$F$53),BO60))</f>
        <v/>
      </c>
      <c r="BQ60" s="16">
        <f>IF(BQ6=1,IF(BQ58=1,ROUND(Inputs!$F$126*BQ59,Inputs!$F$53),Inputs!$F$126),IF(BQ58=1,ROUND(BP60*BQ59,Inputs!$F$53),BP60))</f>
        <v/>
      </c>
      <c r="BR60" s="16">
        <f>IF(BR6=1,IF(BR58=1,ROUND(Inputs!$F$126*BR59,Inputs!$F$53),Inputs!$F$126),IF(BR58=1,ROUND(BQ60*BR59,Inputs!$F$53),BQ60))</f>
        <v/>
      </c>
      <c r="BS60" s="16">
        <f>IF(BS6=1,IF(BS58=1,ROUND(Inputs!$F$126*BS59,Inputs!$F$53),Inputs!$F$126),IF(BS58=1,ROUND(BR60*BS59,Inputs!$F$53),BR60))</f>
        <v/>
      </c>
      <c r="BT60" s="16">
        <f>IF(BT6=1,IF(BT58=1,ROUND(Inputs!$F$126*BT59,Inputs!$F$53),Inputs!$F$126),IF(BT58=1,ROUND(BS60*BT59,Inputs!$F$53),BS60))</f>
        <v/>
      </c>
      <c r="BU60" s="16">
        <f>IF(BU6=1,IF(BU58=1,ROUND(Inputs!$F$126*BU59,Inputs!$F$53),Inputs!$F$126),IF(BU58=1,ROUND(BT60*BU59,Inputs!$F$53),BT60))</f>
        <v/>
      </c>
      <c r="BV60" s="16">
        <f>IF(BV6=1,IF(BV58=1,ROUND(Inputs!$F$126*BV59,Inputs!$F$53),Inputs!$F$126),IF(BV58=1,ROUND(BU60*BV59,Inputs!$F$53),BU60))</f>
        <v/>
      </c>
      <c r="BW60" s="16">
        <f>IF(BW6=1,IF(BW58=1,ROUND(Inputs!$F$126*BW59,Inputs!$F$53),Inputs!$F$126),IF(BW58=1,ROUND(BV60*BW59,Inputs!$F$53),BV60))</f>
        <v/>
      </c>
      <c r="BX60" s="16">
        <f>IF(BX6=1,IF(BX58=1,ROUND(Inputs!$F$126*BX59,Inputs!$F$53),Inputs!$F$126),IF(BX58=1,ROUND(BW60*BX59,Inputs!$F$53),BW60))</f>
        <v/>
      </c>
      <c r="BY60" s="16">
        <f>IF(BY6=1,IF(BY58=1,ROUND(Inputs!$F$126*BY59,Inputs!$F$53),Inputs!$F$126),IF(BY58=1,ROUND(BX60*BY59,Inputs!$F$53),BX60))</f>
        <v/>
      </c>
      <c r="BZ60" s="16">
        <f>IF(BZ6=1,IF(BZ58=1,ROUND(Inputs!$F$126*BZ59,Inputs!$F$53),Inputs!$F$126),IF(BZ58=1,ROUND(BY60*BZ59,Inputs!$F$53),BY60))</f>
        <v/>
      </c>
      <c r="CA60" s="16">
        <f>IF(CA6=1,IF(CA58=1,ROUND(Inputs!$F$126*CA59,Inputs!$F$53),Inputs!$F$126),IF(CA58=1,ROUND(BZ60*CA59,Inputs!$F$53),BZ60))</f>
        <v/>
      </c>
      <c r="CB60" s="16">
        <f>IF(CB6=1,IF(CB58=1,ROUND(Inputs!$F$126*CB59,Inputs!$F$53),Inputs!$F$126),IF(CB58=1,ROUND(CA60*CB59,Inputs!$F$53),CA60))</f>
        <v/>
      </c>
      <c r="CC60" s="16">
        <f>IF(CC6=1,IF(CC58=1,ROUND(Inputs!$F$126*CC59,Inputs!$F$53),Inputs!$F$126),IF(CC58=1,ROUND(CB60*CC59,Inputs!$F$53),CB60))</f>
        <v/>
      </c>
      <c r="CD60" s="16">
        <f>IF(CD6=1,IF(CD58=1,ROUND(Inputs!$F$126*CD59,Inputs!$F$53),Inputs!$F$126),IF(CD58=1,ROUND(CC60*CD59,Inputs!$F$53),CC60))</f>
        <v/>
      </c>
      <c r="CE60" s="16">
        <f>IF(CE6=1,IF(CE58=1,ROUND(Inputs!$F$126*CE59,Inputs!$F$53),Inputs!$F$126),IF(CE58=1,ROUND(CD60*CE59,Inputs!$F$53),CD60))</f>
        <v/>
      </c>
      <c r="CF60" s="16">
        <f>IF(CF6=1,IF(CF58=1,ROUND(Inputs!$F$126*CF59,Inputs!$F$53),Inputs!$F$126),IF(CF58=1,ROUND(CE60*CF59,Inputs!$F$53),CE60))</f>
        <v/>
      </c>
      <c r="CG60" s="16">
        <f>IF(CG6=1,IF(CG58=1,ROUND(Inputs!$F$126*CG59,Inputs!$F$53),Inputs!$F$126),IF(CG58=1,ROUND(CF60*CG59,Inputs!$F$53),CF60))</f>
        <v/>
      </c>
      <c r="CH60" s="16">
        <f>IF(CH6=1,IF(CH58=1,ROUND(Inputs!$F$126*CH59,Inputs!$F$53),Inputs!$F$126),IF(CH58=1,ROUND(CG60*CH59,Inputs!$F$53),CG60))</f>
        <v/>
      </c>
      <c r="CI60" s="16">
        <f>IF(CI6=1,IF(CI58=1,ROUND(Inputs!$F$126*CI59,Inputs!$F$53),Inputs!$F$126),IF(CI58=1,ROUND(CH60*CI59,Inputs!$F$53),CH60))</f>
        <v/>
      </c>
      <c r="CJ60" s="16">
        <f>IF(CJ6=1,IF(CJ58=1,ROUND(Inputs!$F$126*CJ59,Inputs!$F$53),Inputs!$F$126),IF(CJ58=1,ROUND(CI60*CJ59,Inputs!$F$53),CI60))</f>
        <v/>
      </c>
      <c r="CK60" s="16">
        <f>IF(CK6=1,IF(CK58=1,ROUND(Inputs!$F$126*CK59,Inputs!$F$53),Inputs!$F$126),IF(CK58=1,ROUND(CJ60*CK59,Inputs!$F$53),CJ60))</f>
        <v/>
      </c>
      <c r="CL60" s="16">
        <f>IF(CL6=1,IF(CL58=1,ROUND(Inputs!$F$126*CL59,Inputs!$F$53),Inputs!$F$126),IF(CL58=1,ROUND(CK60*CL59,Inputs!$F$53),CK60))</f>
        <v/>
      </c>
      <c r="CM60" s="16">
        <f>IF(CM6=1,IF(CM58=1,ROUND(Inputs!$F$126*CM59,Inputs!$F$53),Inputs!$F$126),IF(CM58=1,ROUND(CL60*CM59,Inputs!$F$53),CL60))</f>
        <v/>
      </c>
      <c r="CN60" s="16">
        <f>IF(CN6=1,IF(CN58=1,ROUND(Inputs!$F$126*CN59,Inputs!$F$53),Inputs!$F$126),IF(CN58=1,ROUND(CM60*CN59,Inputs!$F$53),CM60))</f>
        <v/>
      </c>
      <c r="CO60" s="16">
        <f>IF(CO6=1,IF(CO58=1,ROUND(Inputs!$F$126*CO59,Inputs!$F$53),Inputs!$F$126),IF(CO58=1,ROUND(CN60*CO59,Inputs!$F$53),CN60))</f>
        <v/>
      </c>
      <c r="CP60" s="16">
        <f>IF(CP6=1,IF(CP58=1,ROUND(Inputs!$F$126*CP59,Inputs!$F$53),Inputs!$F$126),IF(CP58=1,ROUND(CO60*CP59,Inputs!$F$53),CO60))</f>
        <v/>
      </c>
      <c r="CQ60" s="16">
        <f>IF(CQ6=1,IF(CQ58=1,ROUND(Inputs!$F$126*CQ59,Inputs!$F$53),Inputs!$F$126),IF(CQ58=1,ROUND(CP60*CQ59,Inputs!$F$53),CP60))</f>
        <v/>
      </c>
      <c r="CR60" s="16">
        <f>IF(CR6=1,IF(CR58=1,ROUND(Inputs!$F$126*CR59,Inputs!$F$53),Inputs!$F$126),IF(CR58=1,ROUND(CQ60*CR59,Inputs!$F$53),CQ60))</f>
        <v/>
      </c>
      <c r="CS60" s="16">
        <f>IF(CS6=1,IF(CS58=1,ROUND(Inputs!$F$126*CS59,Inputs!$F$53),Inputs!$F$126),IF(CS58=1,ROUND(CR60*CS59,Inputs!$F$53),CR60))</f>
        <v/>
      </c>
      <c r="CT60" s="16">
        <f>IF(CT6=1,IF(CT58=1,ROUND(Inputs!$F$126*CT59,Inputs!$F$53),Inputs!$F$126),IF(CT58=1,ROUND(CS60*CT59,Inputs!$F$53),CS60))</f>
        <v/>
      </c>
      <c r="CU60" s="16">
        <f>IF(CU6=1,IF(CU58=1,ROUND(Inputs!$F$126*CU59,Inputs!$F$53),Inputs!$F$126),IF(CU58=1,ROUND(CT60*CU59,Inputs!$F$53),CT60))</f>
        <v/>
      </c>
      <c r="CV60" s="16">
        <f>IF(CV6=1,IF(CV58=1,ROUND(Inputs!$F$126*CV59,Inputs!$F$53),Inputs!$F$126),IF(CV58=1,ROUND(CU60*CV59,Inputs!$F$53),CU60))</f>
        <v/>
      </c>
      <c r="CW60" s="16">
        <f>IF(CW6=1,IF(CW58=1,ROUND(Inputs!$F$126*CW59,Inputs!$F$53),Inputs!$F$126),IF(CW58=1,ROUND(CV60*CW59,Inputs!$F$53),CV60))</f>
        <v/>
      </c>
      <c r="CX60" s="16">
        <f>IF(CX6=1,IF(CX58=1,ROUND(Inputs!$F$126*CX59,Inputs!$F$53),Inputs!$F$126),IF(CX58=1,ROUND(CW60*CX59,Inputs!$F$53),CW60))</f>
        <v/>
      </c>
      <c r="CY60" s="16">
        <f>IF(CY6=1,IF(CY58=1,ROUND(Inputs!$F$126*CY59,Inputs!$F$53),Inputs!$F$126),IF(CY58=1,ROUND(CX60*CY59,Inputs!$F$53),CX60))</f>
        <v/>
      </c>
      <c r="CZ60" s="16">
        <f>IF(CZ6=1,IF(CZ58=1,ROUND(Inputs!$F$126*CZ59,Inputs!$F$53),Inputs!$F$126),IF(CZ58=1,ROUND(CY60*CZ59,Inputs!$F$53),CY60))</f>
        <v/>
      </c>
      <c r="DA60" s="16">
        <f>IF(DA6=1,IF(DA58=1,ROUND(Inputs!$F$126*DA59,Inputs!$F$53),Inputs!$F$126),IF(DA58=1,ROUND(CZ60*DA59,Inputs!$F$53),CZ60))</f>
        <v/>
      </c>
      <c r="DB60" s="16">
        <f>IF(DB6=1,IF(DB58=1,ROUND(Inputs!$F$126*DB59,Inputs!$F$53),Inputs!$F$126),IF(DB58=1,ROUND(DA60*DB59,Inputs!$F$53),DA60))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D1:DB14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Construction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Construction costs (paid at period end)</t>
        </is>
      </c>
    </row>
    <row r="6">
      <c r="D6" t="inlineStr">
        <is>
          <t>D&amp;C contract payments (incl. 5% retention at completion)</t>
        </is>
      </c>
      <c r="E6" t="inlineStr">
        <is>
          <t>ARD m</t>
        </is>
      </c>
      <c r="G6" s="19">
        <f>SUM(J6:DB6)</f>
        <v/>
      </c>
      <c r="J6" s="19">
        <f>Inputs!$F$69*Inputs!J270+IF(Time!J8=Inputs!$F$16,Inputs!$F$69*(Inputs!$F$70+Inputs!$F$71),0)</f>
        <v/>
      </c>
      <c r="K6" s="19">
        <f>Inputs!$F$69*Inputs!K270+IF(Time!K8=Inputs!$F$16,Inputs!$F$69*(Inputs!$F$70+Inputs!$F$71),0)</f>
        <v/>
      </c>
      <c r="L6" s="19">
        <f>Inputs!$F$69*Inputs!L270+IF(Time!L8=Inputs!$F$16,Inputs!$F$69*(Inputs!$F$70+Inputs!$F$71),0)</f>
        <v/>
      </c>
      <c r="M6" s="19">
        <f>Inputs!$F$69*Inputs!M270+IF(Time!M8=Inputs!$F$16,Inputs!$F$69*(Inputs!$F$70+Inputs!$F$71),0)</f>
        <v/>
      </c>
      <c r="N6" s="19">
        <f>Inputs!$F$69*Inputs!N270+IF(Time!N8=Inputs!$F$16,Inputs!$F$69*(Inputs!$F$70+Inputs!$F$71),0)</f>
        <v/>
      </c>
      <c r="O6" s="19">
        <f>Inputs!$F$69*Inputs!O270+IF(Time!O8=Inputs!$F$16,Inputs!$F$69*(Inputs!$F$70+Inputs!$F$71),0)</f>
        <v/>
      </c>
      <c r="P6" s="19">
        <f>Inputs!$F$69*Inputs!P270+IF(Time!P8=Inputs!$F$16,Inputs!$F$69*(Inputs!$F$70+Inputs!$F$71),0)</f>
        <v/>
      </c>
      <c r="Q6" s="19">
        <f>Inputs!$F$69*Inputs!Q270+IF(Time!Q8=Inputs!$F$16,Inputs!$F$69*(Inputs!$F$70+Inputs!$F$71),0)</f>
        <v/>
      </c>
      <c r="R6" s="19">
        <f>Inputs!$F$69*Inputs!R270+IF(Time!R8=Inputs!$F$16,Inputs!$F$69*(Inputs!$F$70+Inputs!$F$71),0)</f>
        <v/>
      </c>
      <c r="S6" s="19">
        <f>Inputs!$F$69*Inputs!S270+IF(Time!S8=Inputs!$F$16,Inputs!$F$69*(Inputs!$F$70+Inputs!$F$71),0)</f>
        <v/>
      </c>
      <c r="T6" s="19">
        <f>Inputs!$F$69*Inputs!T270+IF(Time!T8=Inputs!$F$16,Inputs!$F$69*(Inputs!$F$70+Inputs!$F$71),0)</f>
        <v/>
      </c>
      <c r="U6" s="19">
        <f>Inputs!$F$69*Inputs!U270+IF(Time!U8=Inputs!$F$16,Inputs!$F$69*(Inputs!$F$70+Inputs!$F$71),0)</f>
        <v/>
      </c>
      <c r="V6" s="19">
        <f>Inputs!$F$69*Inputs!V270+IF(Time!V8=Inputs!$F$16,Inputs!$F$69*(Inputs!$F$70+Inputs!$F$71),0)</f>
        <v/>
      </c>
      <c r="W6" s="19">
        <f>Inputs!$F$69*Inputs!W270+IF(Time!W8=Inputs!$F$16,Inputs!$F$69*(Inputs!$F$70+Inputs!$F$71),0)</f>
        <v/>
      </c>
      <c r="X6" s="19">
        <f>Inputs!$F$69*Inputs!X270+IF(Time!X8=Inputs!$F$16,Inputs!$F$69*(Inputs!$F$70+Inputs!$F$71),0)</f>
        <v/>
      </c>
      <c r="Y6" s="19">
        <f>Inputs!$F$69*Inputs!Y270+IF(Time!Y8=Inputs!$F$16,Inputs!$F$69*(Inputs!$F$70+Inputs!$F$71),0)</f>
        <v/>
      </c>
      <c r="Z6" s="19">
        <f>Inputs!$F$69*Inputs!Z270+IF(Time!Z8=Inputs!$F$16,Inputs!$F$69*(Inputs!$F$70+Inputs!$F$71),0)</f>
        <v/>
      </c>
      <c r="AA6" s="19">
        <f>Inputs!$F$69*Inputs!AA270+IF(Time!AA8=Inputs!$F$16,Inputs!$F$69*(Inputs!$F$70+Inputs!$F$71),0)</f>
        <v/>
      </c>
      <c r="AB6" s="19">
        <f>Inputs!$F$69*Inputs!AB270+IF(Time!AB8=Inputs!$F$16,Inputs!$F$69*(Inputs!$F$70+Inputs!$F$71),0)</f>
        <v/>
      </c>
      <c r="AC6" s="19">
        <f>Inputs!$F$69*Inputs!AC270+IF(Time!AC8=Inputs!$F$16,Inputs!$F$69*(Inputs!$F$70+Inputs!$F$71),0)</f>
        <v/>
      </c>
      <c r="AD6" s="19">
        <f>Inputs!$F$69*Inputs!AD270+IF(Time!AD8=Inputs!$F$16,Inputs!$F$69*(Inputs!$F$70+Inputs!$F$71),0)</f>
        <v/>
      </c>
      <c r="AE6" s="19">
        <f>Inputs!$F$69*Inputs!AE270+IF(Time!AE8=Inputs!$F$16,Inputs!$F$69*(Inputs!$F$70+Inputs!$F$71),0)</f>
        <v/>
      </c>
      <c r="AF6" s="19">
        <f>Inputs!$F$69*Inputs!AF270+IF(Time!AF8=Inputs!$F$16,Inputs!$F$69*(Inputs!$F$70+Inputs!$F$71),0)</f>
        <v/>
      </c>
      <c r="AG6" s="19">
        <f>Inputs!$F$69*Inputs!AG270+IF(Time!AG8=Inputs!$F$16,Inputs!$F$69*(Inputs!$F$70+Inputs!$F$71),0)</f>
        <v/>
      </c>
      <c r="AH6" s="19">
        <f>Inputs!$F$69*Inputs!AH270+IF(Time!AH8=Inputs!$F$16,Inputs!$F$69*(Inputs!$F$70+Inputs!$F$71),0)</f>
        <v/>
      </c>
      <c r="AI6" s="19">
        <f>Inputs!$F$69*Inputs!AI270+IF(Time!AI8=Inputs!$F$16,Inputs!$F$69*(Inputs!$F$70+Inputs!$F$71),0)</f>
        <v/>
      </c>
      <c r="AJ6" s="19">
        <f>Inputs!$F$69*Inputs!AJ270+IF(Time!AJ8=Inputs!$F$16,Inputs!$F$69*(Inputs!$F$70+Inputs!$F$71),0)</f>
        <v/>
      </c>
      <c r="AK6" s="19">
        <f>Inputs!$F$69*Inputs!AK270+IF(Time!AK8=Inputs!$F$16,Inputs!$F$69*(Inputs!$F$70+Inputs!$F$71),0)</f>
        <v/>
      </c>
      <c r="AL6" s="19">
        <f>Inputs!$F$69*Inputs!AL270+IF(Time!AL8=Inputs!$F$16,Inputs!$F$69*(Inputs!$F$70+Inputs!$F$71),0)</f>
        <v/>
      </c>
      <c r="AM6" s="19">
        <f>Inputs!$F$69*Inputs!AM270+IF(Time!AM8=Inputs!$F$16,Inputs!$F$69*(Inputs!$F$70+Inputs!$F$71),0)</f>
        <v/>
      </c>
      <c r="AN6" s="19">
        <f>Inputs!$F$69*Inputs!AN270+IF(Time!AN8=Inputs!$F$16,Inputs!$F$69*(Inputs!$F$70+Inputs!$F$71),0)</f>
        <v/>
      </c>
      <c r="AO6" s="19">
        <f>Inputs!$F$69*Inputs!AO270+IF(Time!AO8=Inputs!$F$16,Inputs!$F$69*(Inputs!$F$70+Inputs!$F$71),0)</f>
        <v/>
      </c>
      <c r="AP6" s="19">
        <f>Inputs!$F$69*Inputs!AP270+IF(Time!AP8=Inputs!$F$16,Inputs!$F$69*(Inputs!$F$70+Inputs!$F$71),0)</f>
        <v/>
      </c>
      <c r="AQ6" s="19">
        <f>Inputs!$F$69*Inputs!AQ270+IF(Time!AQ8=Inputs!$F$16,Inputs!$F$69*(Inputs!$F$70+Inputs!$F$71),0)</f>
        <v/>
      </c>
      <c r="AR6" s="19">
        <f>Inputs!$F$69*Inputs!AR270+IF(Time!AR8=Inputs!$F$16,Inputs!$F$69*(Inputs!$F$70+Inputs!$F$71),0)</f>
        <v/>
      </c>
      <c r="AS6" s="19">
        <f>Inputs!$F$69*Inputs!AS270+IF(Time!AS8=Inputs!$F$16,Inputs!$F$69*(Inputs!$F$70+Inputs!$F$71),0)</f>
        <v/>
      </c>
      <c r="AT6" s="19">
        <f>Inputs!$F$69*Inputs!AT270+IF(Time!AT8=Inputs!$F$16,Inputs!$F$69*(Inputs!$F$70+Inputs!$F$71),0)</f>
        <v/>
      </c>
      <c r="AU6" s="19">
        <f>Inputs!$F$69*Inputs!AU270+IF(Time!AU8=Inputs!$F$16,Inputs!$F$69*(Inputs!$F$70+Inputs!$F$71),0)</f>
        <v/>
      </c>
      <c r="AV6" s="19">
        <f>Inputs!$F$69*Inputs!AV270+IF(Time!AV8=Inputs!$F$16,Inputs!$F$69*(Inputs!$F$70+Inputs!$F$71),0)</f>
        <v/>
      </c>
      <c r="AW6" s="19">
        <f>Inputs!$F$69*Inputs!AW270+IF(Time!AW8=Inputs!$F$16,Inputs!$F$69*(Inputs!$F$70+Inputs!$F$71),0)</f>
        <v/>
      </c>
      <c r="AX6" s="19">
        <f>Inputs!$F$69*Inputs!AX270+IF(Time!AX8=Inputs!$F$16,Inputs!$F$69*(Inputs!$F$70+Inputs!$F$71),0)</f>
        <v/>
      </c>
      <c r="AY6" s="19">
        <f>Inputs!$F$69*Inputs!AY270+IF(Time!AY8=Inputs!$F$16,Inputs!$F$69*(Inputs!$F$70+Inputs!$F$71),0)</f>
        <v/>
      </c>
      <c r="AZ6" s="19">
        <f>Inputs!$F$69*Inputs!AZ270+IF(Time!AZ8=Inputs!$F$16,Inputs!$F$69*(Inputs!$F$70+Inputs!$F$71),0)</f>
        <v/>
      </c>
      <c r="BA6" s="19">
        <f>Inputs!$F$69*Inputs!BA270+IF(Time!BA8=Inputs!$F$16,Inputs!$F$69*(Inputs!$F$70+Inputs!$F$71),0)</f>
        <v/>
      </c>
      <c r="BB6" s="19">
        <f>Inputs!$F$69*Inputs!BB270+IF(Time!BB8=Inputs!$F$16,Inputs!$F$69*(Inputs!$F$70+Inputs!$F$71),0)</f>
        <v/>
      </c>
      <c r="BC6" s="19">
        <f>Inputs!$F$69*Inputs!BC270+IF(Time!BC8=Inputs!$F$16,Inputs!$F$69*(Inputs!$F$70+Inputs!$F$71),0)</f>
        <v/>
      </c>
      <c r="BD6" s="19">
        <f>Inputs!$F$69*Inputs!BD270+IF(Time!BD8=Inputs!$F$16,Inputs!$F$69*(Inputs!$F$70+Inputs!$F$71),0)</f>
        <v/>
      </c>
      <c r="BE6" s="19">
        <f>Inputs!$F$69*Inputs!BE270+IF(Time!BE8=Inputs!$F$16,Inputs!$F$69*(Inputs!$F$70+Inputs!$F$71),0)</f>
        <v/>
      </c>
      <c r="BF6" s="19">
        <f>Inputs!$F$69*Inputs!BF270+IF(Time!BF8=Inputs!$F$16,Inputs!$F$69*(Inputs!$F$70+Inputs!$F$71),0)</f>
        <v/>
      </c>
      <c r="BG6" s="19">
        <f>Inputs!$F$69*Inputs!BG270+IF(Time!BG8=Inputs!$F$16,Inputs!$F$69*(Inputs!$F$70+Inputs!$F$71),0)</f>
        <v/>
      </c>
      <c r="BH6" s="19">
        <f>Inputs!$F$69*Inputs!BH270+IF(Time!BH8=Inputs!$F$16,Inputs!$F$69*(Inputs!$F$70+Inputs!$F$71),0)</f>
        <v/>
      </c>
      <c r="BI6" s="19">
        <f>Inputs!$F$69*Inputs!BI270+IF(Time!BI8=Inputs!$F$16,Inputs!$F$69*(Inputs!$F$70+Inputs!$F$71),0)</f>
        <v/>
      </c>
      <c r="BJ6" s="19">
        <f>Inputs!$F$69*Inputs!BJ270+IF(Time!BJ8=Inputs!$F$16,Inputs!$F$69*(Inputs!$F$70+Inputs!$F$71),0)</f>
        <v/>
      </c>
      <c r="BK6" s="19">
        <f>Inputs!$F$69*Inputs!BK270+IF(Time!BK8=Inputs!$F$16,Inputs!$F$69*(Inputs!$F$70+Inputs!$F$71),0)</f>
        <v/>
      </c>
      <c r="BL6" s="19">
        <f>Inputs!$F$69*Inputs!BL270+IF(Time!BL8=Inputs!$F$16,Inputs!$F$69*(Inputs!$F$70+Inputs!$F$71),0)</f>
        <v/>
      </c>
      <c r="BM6" s="19">
        <f>Inputs!$F$69*Inputs!BM270+IF(Time!BM8=Inputs!$F$16,Inputs!$F$69*(Inputs!$F$70+Inputs!$F$71),0)</f>
        <v/>
      </c>
      <c r="BN6" s="19">
        <f>Inputs!$F$69*Inputs!BN270+IF(Time!BN8=Inputs!$F$16,Inputs!$F$69*(Inputs!$F$70+Inputs!$F$71),0)</f>
        <v/>
      </c>
      <c r="BO6" s="19">
        <f>Inputs!$F$69*Inputs!BO270+IF(Time!BO8=Inputs!$F$16,Inputs!$F$69*(Inputs!$F$70+Inputs!$F$71),0)</f>
        <v/>
      </c>
      <c r="BP6" s="19">
        <f>Inputs!$F$69*Inputs!BP270+IF(Time!BP8=Inputs!$F$16,Inputs!$F$69*(Inputs!$F$70+Inputs!$F$71),0)</f>
        <v/>
      </c>
      <c r="BQ6" s="19">
        <f>Inputs!$F$69*Inputs!BQ270+IF(Time!BQ8=Inputs!$F$16,Inputs!$F$69*(Inputs!$F$70+Inputs!$F$71),0)</f>
        <v/>
      </c>
      <c r="BR6" s="19">
        <f>Inputs!$F$69*Inputs!BR270+IF(Time!BR8=Inputs!$F$16,Inputs!$F$69*(Inputs!$F$70+Inputs!$F$71),0)</f>
        <v/>
      </c>
      <c r="BS6" s="19">
        <f>Inputs!$F$69*Inputs!BS270+IF(Time!BS8=Inputs!$F$16,Inputs!$F$69*(Inputs!$F$70+Inputs!$F$71),0)</f>
        <v/>
      </c>
      <c r="BT6" s="19">
        <f>Inputs!$F$69*Inputs!BT270+IF(Time!BT8=Inputs!$F$16,Inputs!$F$69*(Inputs!$F$70+Inputs!$F$71),0)</f>
        <v/>
      </c>
      <c r="BU6" s="19">
        <f>Inputs!$F$69*Inputs!BU270+IF(Time!BU8=Inputs!$F$16,Inputs!$F$69*(Inputs!$F$70+Inputs!$F$71),0)</f>
        <v/>
      </c>
      <c r="BV6" s="19">
        <f>Inputs!$F$69*Inputs!BV270+IF(Time!BV8=Inputs!$F$16,Inputs!$F$69*(Inputs!$F$70+Inputs!$F$71),0)</f>
        <v/>
      </c>
      <c r="BW6" s="19">
        <f>Inputs!$F$69*Inputs!BW270+IF(Time!BW8=Inputs!$F$16,Inputs!$F$69*(Inputs!$F$70+Inputs!$F$71),0)</f>
        <v/>
      </c>
      <c r="BX6" s="19">
        <f>Inputs!$F$69*Inputs!BX270+IF(Time!BX8=Inputs!$F$16,Inputs!$F$69*(Inputs!$F$70+Inputs!$F$71),0)</f>
        <v/>
      </c>
      <c r="BY6" s="19">
        <f>Inputs!$F$69*Inputs!BY270+IF(Time!BY8=Inputs!$F$16,Inputs!$F$69*(Inputs!$F$70+Inputs!$F$71),0)</f>
        <v/>
      </c>
      <c r="BZ6" s="19">
        <f>Inputs!$F$69*Inputs!BZ270+IF(Time!BZ8=Inputs!$F$16,Inputs!$F$69*(Inputs!$F$70+Inputs!$F$71),0)</f>
        <v/>
      </c>
      <c r="CA6" s="19">
        <f>Inputs!$F$69*Inputs!CA270+IF(Time!CA8=Inputs!$F$16,Inputs!$F$69*(Inputs!$F$70+Inputs!$F$71),0)</f>
        <v/>
      </c>
      <c r="CB6" s="19">
        <f>Inputs!$F$69*Inputs!CB270+IF(Time!CB8=Inputs!$F$16,Inputs!$F$69*(Inputs!$F$70+Inputs!$F$71),0)</f>
        <v/>
      </c>
      <c r="CC6" s="19">
        <f>Inputs!$F$69*Inputs!CC270+IF(Time!CC8=Inputs!$F$16,Inputs!$F$69*(Inputs!$F$70+Inputs!$F$71),0)</f>
        <v/>
      </c>
      <c r="CD6" s="19">
        <f>Inputs!$F$69*Inputs!CD270+IF(Time!CD8=Inputs!$F$16,Inputs!$F$69*(Inputs!$F$70+Inputs!$F$71),0)</f>
        <v/>
      </c>
      <c r="CE6" s="19">
        <f>Inputs!$F$69*Inputs!CE270+IF(Time!CE8=Inputs!$F$16,Inputs!$F$69*(Inputs!$F$70+Inputs!$F$71),0)</f>
        <v/>
      </c>
      <c r="CF6" s="19">
        <f>Inputs!$F$69*Inputs!CF270+IF(Time!CF8=Inputs!$F$16,Inputs!$F$69*(Inputs!$F$70+Inputs!$F$71),0)</f>
        <v/>
      </c>
      <c r="CG6" s="19">
        <f>Inputs!$F$69*Inputs!CG270+IF(Time!CG8=Inputs!$F$16,Inputs!$F$69*(Inputs!$F$70+Inputs!$F$71),0)</f>
        <v/>
      </c>
      <c r="CH6" s="19">
        <f>Inputs!$F$69*Inputs!CH270+IF(Time!CH8=Inputs!$F$16,Inputs!$F$69*(Inputs!$F$70+Inputs!$F$71),0)</f>
        <v/>
      </c>
      <c r="CI6" s="19">
        <f>Inputs!$F$69*Inputs!CI270+IF(Time!CI8=Inputs!$F$16,Inputs!$F$69*(Inputs!$F$70+Inputs!$F$71),0)</f>
        <v/>
      </c>
      <c r="CJ6" s="19">
        <f>Inputs!$F$69*Inputs!CJ270+IF(Time!CJ8=Inputs!$F$16,Inputs!$F$69*(Inputs!$F$70+Inputs!$F$71),0)</f>
        <v/>
      </c>
      <c r="CK6" s="19">
        <f>Inputs!$F$69*Inputs!CK270+IF(Time!CK8=Inputs!$F$16,Inputs!$F$69*(Inputs!$F$70+Inputs!$F$71),0)</f>
        <v/>
      </c>
      <c r="CL6" s="19">
        <f>Inputs!$F$69*Inputs!CL270+IF(Time!CL8=Inputs!$F$16,Inputs!$F$69*(Inputs!$F$70+Inputs!$F$71),0)</f>
        <v/>
      </c>
      <c r="CM6" s="19">
        <f>Inputs!$F$69*Inputs!CM270+IF(Time!CM8=Inputs!$F$16,Inputs!$F$69*(Inputs!$F$70+Inputs!$F$71),0)</f>
        <v/>
      </c>
      <c r="CN6" s="19">
        <f>Inputs!$F$69*Inputs!CN270+IF(Time!CN8=Inputs!$F$16,Inputs!$F$69*(Inputs!$F$70+Inputs!$F$71),0)</f>
        <v/>
      </c>
      <c r="CO6" s="19">
        <f>Inputs!$F$69*Inputs!CO270+IF(Time!CO8=Inputs!$F$16,Inputs!$F$69*(Inputs!$F$70+Inputs!$F$71),0)</f>
        <v/>
      </c>
      <c r="CP6" s="19">
        <f>Inputs!$F$69*Inputs!CP270+IF(Time!CP8=Inputs!$F$16,Inputs!$F$69*(Inputs!$F$70+Inputs!$F$71),0)</f>
        <v/>
      </c>
      <c r="CQ6" s="19">
        <f>Inputs!$F$69*Inputs!CQ270+IF(Time!CQ8=Inputs!$F$16,Inputs!$F$69*(Inputs!$F$70+Inputs!$F$71),0)</f>
        <v/>
      </c>
      <c r="CR6" s="19">
        <f>Inputs!$F$69*Inputs!CR270+IF(Time!CR8=Inputs!$F$16,Inputs!$F$69*(Inputs!$F$70+Inputs!$F$71),0)</f>
        <v/>
      </c>
      <c r="CS6" s="19">
        <f>Inputs!$F$69*Inputs!CS270+IF(Time!CS8=Inputs!$F$16,Inputs!$F$69*(Inputs!$F$70+Inputs!$F$71),0)</f>
        <v/>
      </c>
      <c r="CT6" s="19">
        <f>Inputs!$F$69*Inputs!CT270+IF(Time!CT8=Inputs!$F$16,Inputs!$F$69*(Inputs!$F$70+Inputs!$F$71),0)</f>
        <v/>
      </c>
      <c r="CU6" s="19">
        <f>Inputs!$F$69*Inputs!CU270+IF(Time!CU8=Inputs!$F$16,Inputs!$F$69*(Inputs!$F$70+Inputs!$F$71),0)</f>
        <v/>
      </c>
      <c r="CV6" s="19">
        <f>Inputs!$F$69*Inputs!CV270+IF(Time!CV8=Inputs!$F$16,Inputs!$F$69*(Inputs!$F$70+Inputs!$F$71),0)</f>
        <v/>
      </c>
      <c r="CW6" s="19">
        <f>Inputs!$F$69*Inputs!CW270+IF(Time!CW8=Inputs!$F$16,Inputs!$F$69*(Inputs!$F$70+Inputs!$F$71),0)</f>
        <v/>
      </c>
      <c r="CX6" s="19">
        <f>Inputs!$F$69*Inputs!CX270+IF(Time!CX8=Inputs!$F$16,Inputs!$F$69*(Inputs!$F$70+Inputs!$F$71),0)</f>
        <v/>
      </c>
      <c r="CY6" s="19">
        <f>Inputs!$F$69*Inputs!CY270+IF(Time!CY8=Inputs!$F$16,Inputs!$F$69*(Inputs!$F$70+Inputs!$F$71),0)</f>
        <v/>
      </c>
      <c r="CZ6" s="19">
        <f>Inputs!$F$69*Inputs!CZ270+IF(Time!CZ8=Inputs!$F$16,Inputs!$F$69*(Inputs!$F$70+Inputs!$F$71),0)</f>
        <v/>
      </c>
      <c r="DA6" s="19">
        <f>Inputs!$F$69*Inputs!DA270+IF(Time!DA8=Inputs!$F$16,Inputs!$F$69*(Inputs!$F$70+Inputs!$F$71),0)</f>
        <v/>
      </c>
      <c r="DB6" s="19">
        <f>Inputs!$F$69*Inputs!DB270+IF(Time!DB8=Inputs!$F$16,Inputs!$F$69*(Inputs!$F$70+Inputs!$F$71),0)</f>
        <v/>
      </c>
    </row>
    <row r="7">
      <c r="D7" t="inlineStr">
        <is>
          <t>Development and bid costs</t>
        </is>
      </c>
      <c r="E7" t="inlineStr">
        <is>
          <t>ARD m</t>
        </is>
      </c>
      <c r="G7" s="19">
        <f>SUM(J7:DB7)</f>
        <v/>
      </c>
      <c r="J7" s="19">
        <f>IF(Time!J6=1,Inputs!$F$72,0)</f>
        <v/>
      </c>
      <c r="K7" s="19">
        <f>IF(Time!K6=1,Inputs!$F$72,0)</f>
        <v/>
      </c>
      <c r="L7" s="19">
        <f>IF(Time!L6=1,Inputs!$F$72,0)</f>
        <v/>
      </c>
      <c r="M7" s="19">
        <f>IF(Time!M6=1,Inputs!$F$72,0)</f>
        <v/>
      </c>
      <c r="N7" s="19">
        <f>IF(Time!N6=1,Inputs!$F$72,0)</f>
        <v/>
      </c>
      <c r="O7" s="19">
        <f>IF(Time!O6=1,Inputs!$F$72,0)</f>
        <v/>
      </c>
      <c r="P7" s="19">
        <f>IF(Time!P6=1,Inputs!$F$72,0)</f>
        <v/>
      </c>
      <c r="Q7" s="19">
        <f>IF(Time!Q6=1,Inputs!$F$72,0)</f>
        <v/>
      </c>
      <c r="R7" s="19">
        <f>IF(Time!R6=1,Inputs!$F$72,0)</f>
        <v/>
      </c>
      <c r="S7" s="19">
        <f>IF(Time!S6=1,Inputs!$F$72,0)</f>
        <v/>
      </c>
      <c r="T7" s="19">
        <f>IF(Time!T6=1,Inputs!$F$72,0)</f>
        <v/>
      </c>
      <c r="U7" s="19">
        <f>IF(Time!U6=1,Inputs!$F$72,0)</f>
        <v/>
      </c>
      <c r="V7" s="19">
        <f>IF(Time!V6=1,Inputs!$F$72,0)</f>
        <v/>
      </c>
      <c r="W7" s="19">
        <f>IF(Time!W6=1,Inputs!$F$72,0)</f>
        <v/>
      </c>
      <c r="X7" s="19">
        <f>IF(Time!X6=1,Inputs!$F$72,0)</f>
        <v/>
      </c>
      <c r="Y7" s="19">
        <f>IF(Time!Y6=1,Inputs!$F$72,0)</f>
        <v/>
      </c>
      <c r="Z7" s="19">
        <f>IF(Time!Z6=1,Inputs!$F$72,0)</f>
        <v/>
      </c>
      <c r="AA7" s="19">
        <f>IF(Time!AA6=1,Inputs!$F$72,0)</f>
        <v/>
      </c>
      <c r="AB7" s="19">
        <f>IF(Time!AB6=1,Inputs!$F$72,0)</f>
        <v/>
      </c>
      <c r="AC7" s="19">
        <f>IF(Time!AC6=1,Inputs!$F$72,0)</f>
        <v/>
      </c>
      <c r="AD7" s="19">
        <f>IF(Time!AD6=1,Inputs!$F$72,0)</f>
        <v/>
      </c>
      <c r="AE7" s="19">
        <f>IF(Time!AE6=1,Inputs!$F$72,0)</f>
        <v/>
      </c>
      <c r="AF7" s="19">
        <f>IF(Time!AF6=1,Inputs!$F$72,0)</f>
        <v/>
      </c>
      <c r="AG7" s="19">
        <f>IF(Time!AG6=1,Inputs!$F$72,0)</f>
        <v/>
      </c>
      <c r="AH7" s="19">
        <f>IF(Time!AH6=1,Inputs!$F$72,0)</f>
        <v/>
      </c>
      <c r="AI7" s="19">
        <f>IF(Time!AI6=1,Inputs!$F$72,0)</f>
        <v/>
      </c>
      <c r="AJ7" s="19">
        <f>IF(Time!AJ6=1,Inputs!$F$72,0)</f>
        <v/>
      </c>
      <c r="AK7" s="19">
        <f>IF(Time!AK6=1,Inputs!$F$72,0)</f>
        <v/>
      </c>
      <c r="AL7" s="19">
        <f>IF(Time!AL6=1,Inputs!$F$72,0)</f>
        <v/>
      </c>
      <c r="AM7" s="19">
        <f>IF(Time!AM6=1,Inputs!$F$72,0)</f>
        <v/>
      </c>
      <c r="AN7" s="19">
        <f>IF(Time!AN6=1,Inputs!$F$72,0)</f>
        <v/>
      </c>
      <c r="AO7" s="19">
        <f>IF(Time!AO6=1,Inputs!$F$72,0)</f>
        <v/>
      </c>
      <c r="AP7" s="19">
        <f>IF(Time!AP6=1,Inputs!$F$72,0)</f>
        <v/>
      </c>
      <c r="AQ7" s="19">
        <f>IF(Time!AQ6=1,Inputs!$F$72,0)</f>
        <v/>
      </c>
      <c r="AR7" s="19">
        <f>IF(Time!AR6=1,Inputs!$F$72,0)</f>
        <v/>
      </c>
      <c r="AS7" s="19">
        <f>IF(Time!AS6=1,Inputs!$F$72,0)</f>
        <v/>
      </c>
      <c r="AT7" s="19">
        <f>IF(Time!AT6=1,Inputs!$F$72,0)</f>
        <v/>
      </c>
      <c r="AU7" s="19">
        <f>IF(Time!AU6=1,Inputs!$F$72,0)</f>
        <v/>
      </c>
      <c r="AV7" s="19">
        <f>IF(Time!AV6=1,Inputs!$F$72,0)</f>
        <v/>
      </c>
      <c r="AW7" s="19">
        <f>IF(Time!AW6=1,Inputs!$F$72,0)</f>
        <v/>
      </c>
      <c r="AX7" s="19">
        <f>IF(Time!AX6=1,Inputs!$F$72,0)</f>
        <v/>
      </c>
      <c r="AY7" s="19">
        <f>IF(Time!AY6=1,Inputs!$F$72,0)</f>
        <v/>
      </c>
      <c r="AZ7" s="19">
        <f>IF(Time!AZ6=1,Inputs!$F$72,0)</f>
        <v/>
      </c>
      <c r="BA7" s="19">
        <f>IF(Time!BA6=1,Inputs!$F$72,0)</f>
        <v/>
      </c>
      <c r="BB7" s="19">
        <f>IF(Time!BB6=1,Inputs!$F$72,0)</f>
        <v/>
      </c>
      <c r="BC7" s="19">
        <f>IF(Time!BC6=1,Inputs!$F$72,0)</f>
        <v/>
      </c>
      <c r="BD7" s="19">
        <f>IF(Time!BD6=1,Inputs!$F$72,0)</f>
        <v/>
      </c>
      <c r="BE7" s="19">
        <f>IF(Time!BE6=1,Inputs!$F$72,0)</f>
        <v/>
      </c>
      <c r="BF7" s="19">
        <f>IF(Time!BF6=1,Inputs!$F$72,0)</f>
        <v/>
      </c>
      <c r="BG7" s="19">
        <f>IF(Time!BG6=1,Inputs!$F$72,0)</f>
        <v/>
      </c>
      <c r="BH7" s="19">
        <f>IF(Time!BH6=1,Inputs!$F$72,0)</f>
        <v/>
      </c>
      <c r="BI7" s="19">
        <f>IF(Time!BI6=1,Inputs!$F$72,0)</f>
        <v/>
      </c>
      <c r="BJ7" s="19">
        <f>IF(Time!BJ6=1,Inputs!$F$72,0)</f>
        <v/>
      </c>
      <c r="BK7" s="19">
        <f>IF(Time!BK6=1,Inputs!$F$72,0)</f>
        <v/>
      </c>
      <c r="BL7" s="19">
        <f>IF(Time!BL6=1,Inputs!$F$72,0)</f>
        <v/>
      </c>
      <c r="BM7" s="19">
        <f>IF(Time!BM6=1,Inputs!$F$72,0)</f>
        <v/>
      </c>
      <c r="BN7" s="19">
        <f>IF(Time!BN6=1,Inputs!$F$72,0)</f>
        <v/>
      </c>
      <c r="BO7" s="19">
        <f>IF(Time!BO6=1,Inputs!$F$72,0)</f>
        <v/>
      </c>
      <c r="BP7" s="19">
        <f>IF(Time!BP6=1,Inputs!$F$72,0)</f>
        <v/>
      </c>
      <c r="BQ7" s="19">
        <f>IF(Time!BQ6=1,Inputs!$F$72,0)</f>
        <v/>
      </c>
      <c r="BR7" s="19">
        <f>IF(Time!BR6=1,Inputs!$F$72,0)</f>
        <v/>
      </c>
      <c r="BS7" s="19">
        <f>IF(Time!BS6=1,Inputs!$F$72,0)</f>
        <v/>
      </c>
      <c r="BT7" s="19">
        <f>IF(Time!BT6=1,Inputs!$F$72,0)</f>
        <v/>
      </c>
      <c r="BU7" s="19">
        <f>IF(Time!BU6=1,Inputs!$F$72,0)</f>
        <v/>
      </c>
      <c r="BV7" s="19">
        <f>IF(Time!BV6=1,Inputs!$F$72,0)</f>
        <v/>
      </c>
      <c r="BW7" s="19">
        <f>IF(Time!BW6=1,Inputs!$F$72,0)</f>
        <v/>
      </c>
      <c r="BX7" s="19">
        <f>IF(Time!BX6=1,Inputs!$F$72,0)</f>
        <v/>
      </c>
      <c r="BY7" s="19">
        <f>IF(Time!BY6=1,Inputs!$F$72,0)</f>
        <v/>
      </c>
      <c r="BZ7" s="19">
        <f>IF(Time!BZ6=1,Inputs!$F$72,0)</f>
        <v/>
      </c>
      <c r="CA7" s="19">
        <f>IF(Time!CA6=1,Inputs!$F$72,0)</f>
        <v/>
      </c>
      <c r="CB7" s="19">
        <f>IF(Time!CB6=1,Inputs!$F$72,0)</f>
        <v/>
      </c>
      <c r="CC7" s="19">
        <f>IF(Time!CC6=1,Inputs!$F$72,0)</f>
        <v/>
      </c>
      <c r="CD7" s="19">
        <f>IF(Time!CD6=1,Inputs!$F$72,0)</f>
        <v/>
      </c>
      <c r="CE7" s="19">
        <f>IF(Time!CE6=1,Inputs!$F$72,0)</f>
        <v/>
      </c>
      <c r="CF7" s="19">
        <f>IF(Time!CF6=1,Inputs!$F$72,0)</f>
        <v/>
      </c>
      <c r="CG7" s="19">
        <f>IF(Time!CG6=1,Inputs!$F$72,0)</f>
        <v/>
      </c>
      <c r="CH7" s="19">
        <f>IF(Time!CH6=1,Inputs!$F$72,0)</f>
        <v/>
      </c>
      <c r="CI7" s="19">
        <f>IF(Time!CI6=1,Inputs!$F$72,0)</f>
        <v/>
      </c>
      <c r="CJ7" s="19">
        <f>IF(Time!CJ6=1,Inputs!$F$72,0)</f>
        <v/>
      </c>
      <c r="CK7" s="19">
        <f>IF(Time!CK6=1,Inputs!$F$72,0)</f>
        <v/>
      </c>
      <c r="CL7" s="19">
        <f>IF(Time!CL6=1,Inputs!$F$72,0)</f>
        <v/>
      </c>
      <c r="CM7" s="19">
        <f>IF(Time!CM6=1,Inputs!$F$72,0)</f>
        <v/>
      </c>
      <c r="CN7" s="19">
        <f>IF(Time!CN6=1,Inputs!$F$72,0)</f>
        <v/>
      </c>
      <c r="CO7" s="19">
        <f>IF(Time!CO6=1,Inputs!$F$72,0)</f>
        <v/>
      </c>
      <c r="CP7" s="19">
        <f>IF(Time!CP6=1,Inputs!$F$72,0)</f>
        <v/>
      </c>
      <c r="CQ7" s="19">
        <f>IF(Time!CQ6=1,Inputs!$F$72,0)</f>
        <v/>
      </c>
      <c r="CR7" s="19">
        <f>IF(Time!CR6=1,Inputs!$F$72,0)</f>
        <v/>
      </c>
      <c r="CS7" s="19">
        <f>IF(Time!CS6=1,Inputs!$F$72,0)</f>
        <v/>
      </c>
      <c r="CT7" s="19">
        <f>IF(Time!CT6=1,Inputs!$F$72,0)</f>
        <v/>
      </c>
      <c r="CU7" s="19">
        <f>IF(Time!CU6=1,Inputs!$F$72,0)</f>
        <v/>
      </c>
      <c r="CV7" s="19">
        <f>IF(Time!CV6=1,Inputs!$F$72,0)</f>
        <v/>
      </c>
      <c r="CW7" s="19">
        <f>IF(Time!CW6=1,Inputs!$F$72,0)</f>
        <v/>
      </c>
      <c r="CX7" s="19">
        <f>IF(Time!CX6=1,Inputs!$F$72,0)</f>
        <v/>
      </c>
      <c r="CY7" s="19">
        <f>IF(Time!CY6=1,Inputs!$F$72,0)</f>
        <v/>
      </c>
      <c r="CZ7" s="19">
        <f>IF(Time!CZ6=1,Inputs!$F$72,0)</f>
        <v/>
      </c>
      <c r="DA7" s="19">
        <f>IF(Time!DA6=1,Inputs!$F$72,0)</f>
        <v/>
      </c>
      <c r="DB7" s="19">
        <f>IF(Time!DB6=1,Inputs!$F$72,0)</f>
        <v/>
      </c>
    </row>
    <row r="8">
      <c r="D8" t="inlineStr">
        <is>
          <t>Project company costs</t>
        </is>
      </c>
      <c r="E8" t="inlineStr">
        <is>
          <t>ARD m</t>
        </is>
      </c>
      <c r="G8" s="19">
        <f>SUM(J8:DB8)</f>
        <v/>
      </c>
      <c r="J8" s="19">
        <f>Inputs!$F$73*Time!J9/Time!$F$18*Time!J20</f>
        <v/>
      </c>
      <c r="K8" s="19">
        <f>Inputs!$F$73*Time!K9/Time!$F$18*Time!K20</f>
        <v/>
      </c>
      <c r="L8" s="19">
        <f>Inputs!$F$73*Time!L9/Time!$F$18*Time!L20</f>
        <v/>
      </c>
      <c r="M8" s="19">
        <f>Inputs!$F$73*Time!M9/Time!$F$18*Time!M20</f>
        <v/>
      </c>
      <c r="N8" s="19">
        <f>Inputs!$F$73*Time!N9/Time!$F$18*Time!N20</f>
        <v/>
      </c>
      <c r="O8" s="19">
        <f>Inputs!$F$73*Time!O9/Time!$F$18*Time!O20</f>
        <v/>
      </c>
      <c r="P8" s="19">
        <f>Inputs!$F$73*Time!P9/Time!$F$18*Time!P20</f>
        <v/>
      </c>
      <c r="Q8" s="19">
        <f>Inputs!$F$73*Time!Q9/Time!$F$18*Time!Q20</f>
        <v/>
      </c>
      <c r="R8" s="19">
        <f>Inputs!$F$73*Time!R9/Time!$F$18*Time!R20</f>
        <v/>
      </c>
      <c r="S8" s="19">
        <f>Inputs!$F$73*Time!S9/Time!$F$18*Time!S20</f>
        <v/>
      </c>
      <c r="T8" s="19">
        <f>Inputs!$F$73*Time!T9/Time!$F$18*Time!T20</f>
        <v/>
      </c>
      <c r="U8" s="19">
        <f>Inputs!$F$73*Time!U9/Time!$F$18*Time!U20</f>
        <v/>
      </c>
      <c r="V8" s="19">
        <f>Inputs!$F$73*Time!V9/Time!$F$18*Time!V20</f>
        <v/>
      </c>
      <c r="W8" s="19">
        <f>Inputs!$F$73*Time!W9/Time!$F$18*Time!W20</f>
        <v/>
      </c>
      <c r="X8" s="19">
        <f>Inputs!$F$73*Time!X9/Time!$F$18*Time!X20</f>
        <v/>
      </c>
      <c r="Y8" s="19">
        <f>Inputs!$F$73*Time!Y9/Time!$F$18*Time!Y20</f>
        <v/>
      </c>
      <c r="Z8" s="19">
        <f>Inputs!$F$73*Time!Z9/Time!$F$18*Time!Z20</f>
        <v/>
      </c>
      <c r="AA8" s="19">
        <f>Inputs!$F$73*Time!AA9/Time!$F$18*Time!AA20</f>
        <v/>
      </c>
      <c r="AB8" s="19">
        <f>Inputs!$F$73*Time!AB9/Time!$F$18*Time!AB20</f>
        <v/>
      </c>
      <c r="AC8" s="19">
        <f>Inputs!$F$73*Time!AC9/Time!$F$18*Time!AC20</f>
        <v/>
      </c>
      <c r="AD8" s="19">
        <f>Inputs!$F$73*Time!AD9/Time!$F$18*Time!AD20</f>
        <v/>
      </c>
      <c r="AE8" s="19">
        <f>Inputs!$F$73*Time!AE9/Time!$F$18*Time!AE20</f>
        <v/>
      </c>
      <c r="AF8" s="19">
        <f>Inputs!$F$73*Time!AF9/Time!$F$18*Time!AF20</f>
        <v/>
      </c>
      <c r="AG8" s="19">
        <f>Inputs!$F$73*Time!AG9/Time!$F$18*Time!AG20</f>
        <v/>
      </c>
      <c r="AH8" s="19">
        <f>Inputs!$F$73*Time!AH9/Time!$F$18*Time!AH20</f>
        <v/>
      </c>
      <c r="AI8" s="19">
        <f>Inputs!$F$73*Time!AI9/Time!$F$18*Time!AI20</f>
        <v/>
      </c>
      <c r="AJ8" s="19">
        <f>Inputs!$F$73*Time!AJ9/Time!$F$18*Time!AJ20</f>
        <v/>
      </c>
      <c r="AK8" s="19">
        <f>Inputs!$F$73*Time!AK9/Time!$F$18*Time!AK20</f>
        <v/>
      </c>
      <c r="AL8" s="19">
        <f>Inputs!$F$73*Time!AL9/Time!$F$18*Time!AL20</f>
        <v/>
      </c>
      <c r="AM8" s="19">
        <f>Inputs!$F$73*Time!AM9/Time!$F$18*Time!AM20</f>
        <v/>
      </c>
      <c r="AN8" s="19">
        <f>Inputs!$F$73*Time!AN9/Time!$F$18*Time!AN20</f>
        <v/>
      </c>
      <c r="AO8" s="19">
        <f>Inputs!$F$73*Time!AO9/Time!$F$18*Time!AO20</f>
        <v/>
      </c>
      <c r="AP8" s="19">
        <f>Inputs!$F$73*Time!AP9/Time!$F$18*Time!AP20</f>
        <v/>
      </c>
      <c r="AQ8" s="19">
        <f>Inputs!$F$73*Time!AQ9/Time!$F$18*Time!AQ20</f>
        <v/>
      </c>
      <c r="AR8" s="19">
        <f>Inputs!$F$73*Time!AR9/Time!$F$18*Time!AR20</f>
        <v/>
      </c>
      <c r="AS8" s="19">
        <f>Inputs!$F$73*Time!AS9/Time!$F$18*Time!AS20</f>
        <v/>
      </c>
      <c r="AT8" s="19">
        <f>Inputs!$F$73*Time!AT9/Time!$F$18*Time!AT20</f>
        <v/>
      </c>
      <c r="AU8" s="19">
        <f>Inputs!$F$73*Time!AU9/Time!$F$18*Time!AU20</f>
        <v/>
      </c>
      <c r="AV8" s="19">
        <f>Inputs!$F$73*Time!AV9/Time!$F$18*Time!AV20</f>
        <v/>
      </c>
      <c r="AW8" s="19">
        <f>Inputs!$F$73*Time!AW9/Time!$F$18*Time!AW20</f>
        <v/>
      </c>
      <c r="AX8" s="19">
        <f>Inputs!$F$73*Time!AX9/Time!$F$18*Time!AX20</f>
        <v/>
      </c>
      <c r="AY8" s="19">
        <f>Inputs!$F$73*Time!AY9/Time!$F$18*Time!AY20</f>
        <v/>
      </c>
      <c r="AZ8" s="19">
        <f>Inputs!$F$73*Time!AZ9/Time!$F$18*Time!AZ20</f>
        <v/>
      </c>
      <c r="BA8" s="19">
        <f>Inputs!$F$73*Time!BA9/Time!$F$18*Time!BA20</f>
        <v/>
      </c>
      <c r="BB8" s="19">
        <f>Inputs!$F$73*Time!BB9/Time!$F$18*Time!BB20</f>
        <v/>
      </c>
      <c r="BC8" s="19">
        <f>Inputs!$F$73*Time!BC9/Time!$F$18*Time!BC20</f>
        <v/>
      </c>
      <c r="BD8" s="19">
        <f>Inputs!$F$73*Time!BD9/Time!$F$18*Time!BD20</f>
        <v/>
      </c>
      <c r="BE8" s="19">
        <f>Inputs!$F$73*Time!BE9/Time!$F$18*Time!BE20</f>
        <v/>
      </c>
      <c r="BF8" s="19">
        <f>Inputs!$F$73*Time!BF9/Time!$F$18*Time!BF20</f>
        <v/>
      </c>
      <c r="BG8" s="19">
        <f>Inputs!$F$73*Time!BG9/Time!$F$18*Time!BG20</f>
        <v/>
      </c>
      <c r="BH8" s="19">
        <f>Inputs!$F$73*Time!BH9/Time!$F$18*Time!BH20</f>
        <v/>
      </c>
      <c r="BI8" s="19">
        <f>Inputs!$F$73*Time!BI9/Time!$F$18*Time!BI20</f>
        <v/>
      </c>
      <c r="BJ8" s="19">
        <f>Inputs!$F$73*Time!BJ9/Time!$F$18*Time!BJ20</f>
        <v/>
      </c>
      <c r="BK8" s="19">
        <f>Inputs!$F$73*Time!BK9/Time!$F$18*Time!BK20</f>
        <v/>
      </c>
      <c r="BL8" s="19">
        <f>Inputs!$F$73*Time!BL9/Time!$F$18*Time!BL20</f>
        <v/>
      </c>
      <c r="BM8" s="19">
        <f>Inputs!$F$73*Time!BM9/Time!$F$18*Time!BM20</f>
        <v/>
      </c>
      <c r="BN8" s="19">
        <f>Inputs!$F$73*Time!BN9/Time!$F$18*Time!BN20</f>
        <v/>
      </c>
      <c r="BO8" s="19">
        <f>Inputs!$F$73*Time!BO9/Time!$F$18*Time!BO20</f>
        <v/>
      </c>
      <c r="BP8" s="19">
        <f>Inputs!$F$73*Time!BP9/Time!$F$18*Time!BP20</f>
        <v/>
      </c>
      <c r="BQ8" s="19">
        <f>Inputs!$F$73*Time!BQ9/Time!$F$18*Time!BQ20</f>
        <v/>
      </c>
      <c r="BR8" s="19">
        <f>Inputs!$F$73*Time!BR9/Time!$F$18*Time!BR20</f>
        <v/>
      </c>
      <c r="BS8" s="19">
        <f>Inputs!$F$73*Time!BS9/Time!$F$18*Time!BS20</f>
        <v/>
      </c>
      <c r="BT8" s="19">
        <f>Inputs!$F$73*Time!BT9/Time!$F$18*Time!BT20</f>
        <v/>
      </c>
      <c r="BU8" s="19">
        <f>Inputs!$F$73*Time!BU9/Time!$F$18*Time!BU20</f>
        <v/>
      </c>
      <c r="BV8" s="19">
        <f>Inputs!$F$73*Time!BV9/Time!$F$18*Time!BV20</f>
        <v/>
      </c>
      <c r="BW8" s="19">
        <f>Inputs!$F$73*Time!BW9/Time!$F$18*Time!BW20</f>
        <v/>
      </c>
      <c r="BX8" s="19">
        <f>Inputs!$F$73*Time!BX9/Time!$F$18*Time!BX20</f>
        <v/>
      </c>
      <c r="BY8" s="19">
        <f>Inputs!$F$73*Time!BY9/Time!$F$18*Time!BY20</f>
        <v/>
      </c>
      <c r="BZ8" s="19">
        <f>Inputs!$F$73*Time!BZ9/Time!$F$18*Time!BZ20</f>
        <v/>
      </c>
      <c r="CA8" s="19">
        <f>Inputs!$F$73*Time!CA9/Time!$F$18*Time!CA20</f>
        <v/>
      </c>
      <c r="CB8" s="19">
        <f>Inputs!$F$73*Time!CB9/Time!$F$18*Time!CB20</f>
        <v/>
      </c>
      <c r="CC8" s="19">
        <f>Inputs!$F$73*Time!CC9/Time!$F$18*Time!CC20</f>
        <v/>
      </c>
      <c r="CD8" s="19">
        <f>Inputs!$F$73*Time!CD9/Time!$F$18*Time!CD20</f>
        <v/>
      </c>
      <c r="CE8" s="19">
        <f>Inputs!$F$73*Time!CE9/Time!$F$18*Time!CE20</f>
        <v/>
      </c>
      <c r="CF8" s="19">
        <f>Inputs!$F$73*Time!CF9/Time!$F$18*Time!CF20</f>
        <v/>
      </c>
      <c r="CG8" s="19">
        <f>Inputs!$F$73*Time!CG9/Time!$F$18*Time!CG20</f>
        <v/>
      </c>
      <c r="CH8" s="19">
        <f>Inputs!$F$73*Time!CH9/Time!$F$18*Time!CH20</f>
        <v/>
      </c>
      <c r="CI8" s="19">
        <f>Inputs!$F$73*Time!CI9/Time!$F$18*Time!CI20</f>
        <v/>
      </c>
      <c r="CJ8" s="19">
        <f>Inputs!$F$73*Time!CJ9/Time!$F$18*Time!CJ20</f>
        <v/>
      </c>
      <c r="CK8" s="19">
        <f>Inputs!$F$73*Time!CK9/Time!$F$18*Time!CK20</f>
        <v/>
      </c>
      <c r="CL8" s="19">
        <f>Inputs!$F$73*Time!CL9/Time!$F$18*Time!CL20</f>
        <v/>
      </c>
      <c r="CM8" s="19">
        <f>Inputs!$F$73*Time!CM9/Time!$F$18*Time!CM20</f>
        <v/>
      </c>
      <c r="CN8" s="19">
        <f>Inputs!$F$73*Time!CN9/Time!$F$18*Time!CN20</f>
        <v/>
      </c>
      <c r="CO8" s="19">
        <f>Inputs!$F$73*Time!CO9/Time!$F$18*Time!CO20</f>
        <v/>
      </c>
      <c r="CP8" s="19">
        <f>Inputs!$F$73*Time!CP9/Time!$F$18*Time!CP20</f>
        <v/>
      </c>
      <c r="CQ8" s="19">
        <f>Inputs!$F$73*Time!CQ9/Time!$F$18*Time!CQ20</f>
        <v/>
      </c>
      <c r="CR8" s="19">
        <f>Inputs!$F$73*Time!CR9/Time!$F$18*Time!CR20</f>
        <v/>
      </c>
      <c r="CS8" s="19">
        <f>Inputs!$F$73*Time!CS9/Time!$F$18*Time!CS20</f>
        <v/>
      </c>
      <c r="CT8" s="19">
        <f>Inputs!$F$73*Time!CT9/Time!$F$18*Time!CT20</f>
        <v/>
      </c>
      <c r="CU8" s="19">
        <f>Inputs!$F$73*Time!CU9/Time!$F$18*Time!CU20</f>
        <v/>
      </c>
      <c r="CV8" s="19">
        <f>Inputs!$F$73*Time!CV9/Time!$F$18*Time!CV20</f>
        <v/>
      </c>
      <c r="CW8" s="19">
        <f>Inputs!$F$73*Time!CW9/Time!$F$18*Time!CW20</f>
        <v/>
      </c>
      <c r="CX8" s="19">
        <f>Inputs!$F$73*Time!CX9/Time!$F$18*Time!CX20</f>
        <v/>
      </c>
      <c r="CY8" s="19">
        <f>Inputs!$F$73*Time!CY9/Time!$F$18*Time!CY20</f>
        <v/>
      </c>
      <c r="CZ8" s="19">
        <f>Inputs!$F$73*Time!CZ9/Time!$F$18*Time!CZ20</f>
        <v/>
      </c>
      <c r="DA8" s="19">
        <f>Inputs!$F$73*Time!DA9/Time!$F$18*Time!DA20</f>
        <v/>
      </c>
      <c r="DB8" s="19">
        <f>Inputs!$F$73*Time!DB9/Time!$F$18*Time!DB20</f>
        <v/>
      </c>
    </row>
    <row r="9">
      <c r="D9" t="inlineStr">
        <is>
          <t>Insurance during construction</t>
        </is>
      </c>
      <c r="E9" t="inlineStr">
        <is>
          <t>ARD m</t>
        </is>
      </c>
      <c r="G9" s="19">
        <f>SUM(J9:DB9)</f>
        <v/>
      </c>
      <c r="J9" s="19">
        <f>IF(Time!J6=1,Inputs!$F$74*Inputs!$F$75,IF(Time!J8=Inputs!$F$38,Inputs!$F$74*(1-Inputs!$F$75),0))</f>
        <v/>
      </c>
      <c r="K9" s="19">
        <f>IF(Time!K6=1,Inputs!$F$74*Inputs!$F$75,IF(Time!K8=Inputs!$F$38,Inputs!$F$74*(1-Inputs!$F$75),0))</f>
        <v/>
      </c>
      <c r="L9" s="19">
        <f>IF(Time!L6=1,Inputs!$F$74*Inputs!$F$75,IF(Time!L8=Inputs!$F$38,Inputs!$F$74*(1-Inputs!$F$75),0))</f>
        <v/>
      </c>
      <c r="M9" s="19">
        <f>IF(Time!M6=1,Inputs!$F$74*Inputs!$F$75,IF(Time!M8=Inputs!$F$38,Inputs!$F$74*(1-Inputs!$F$75),0))</f>
        <v/>
      </c>
      <c r="N9" s="19">
        <f>IF(Time!N6=1,Inputs!$F$74*Inputs!$F$75,IF(Time!N8=Inputs!$F$38,Inputs!$F$74*(1-Inputs!$F$75),0))</f>
        <v/>
      </c>
      <c r="O9" s="19">
        <f>IF(Time!O6=1,Inputs!$F$74*Inputs!$F$75,IF(Time!O8=Inputs!$F$38,Inputs!$F$74*(1-Inputs!$F$75),0))</f>
        <v/>
      </c>
      <c r="P9" s="19">
        <f>IF(Time!P6=1,Inputs!$F$74*Inputs!$F$75,IF(Time!P8=Inputs!$F$38,Inputs!$F$74*(1-Inputs!$F$75),0))</f>
        <v/>
      </c>
      <c r="Q9" s="19">
        <f>IF(Time!Q6=1,Inputs!$F$74*Inputs!$F$75,IF(Time!Q8=Inputs!$F$38,Inputs!$F$74*(1-Inputs!$F$75),0))</f>
        <v/>
      </c>
      <c r="R9" s="19">
        <f>IF(Time!R6=1,Inputs!$F$74*Inputs!$F$75,IF(Time!R8=Inputs!$F$38,Inputs!$F$74*(1-Inputs!$F$75),0))</f>
        <v/>
      </c>
      <c r="S9" s="19">
        <f>IF(Time!S6=1,Inputs!$F$74*Inputs!$F$75,IF(Time!S8=Inputs!$F$38,Inputs!$F$74*(1-Inputs!$F$75),0))</f>
        <v/>
      </c>
      <c r="T9" s="19">
        <f>IF(Time!T6=1,Inputs!$F$74*Inputs!$F$75,IF(Time!T8=Inputs!$F$38,Inputs!$F$74*(1-Inputs!$F$75),0))</f>
        <v/>
      </c>
      <c r="U9" s="19">
        <f>IF(Time!U6=1,Inputs!$F$74*Inputs!$F$75,IF(Time!U8=Inputs!$F$38,Inputs!$F$74*(1-Inputs!$F$75),0))</f>
        <v/>
      </c>
      <c r="V9" s="19">
        <f>IF(Time!V6=1,Inputs!$F$74*Inputs!$F$75,IF(Time!V8=Inputs!$F$38,Inputs!$F$74*(1-Inputs!$F$75),0))</f>
        <v/>
      </c>
      <c r="W9" s="19">
        <f>IF(Time!W6=1,Inputs!$F$74*Inputs!$F$75,IF(Time!W8=Inputs!$F$38,Inputs!$F$74*(1-Inputs!$F$75),0))</f>
        <v/>
      </c>
      <c r="X9" s="19">
        <f>IF(Time!X6=1,Inputs!$F$74*Inputs!$F$75,IF(Time!X8=Inputs!$F$38,Inputs!$F$74*(1-Inputs!$F$75),0))</f>
        <v/>
      </c>
      <c r="Y9" s="19">
        <f>IF(Time!Y6=1,Inputs!$F$74*Inputs!$F$75,IF(Time!Y8=Inputs!$F$38,Inputs!$F$74*(1-Inputs!$F$75),0))</f>
        <v/>
      </c>
      <c r="Z9" s="19">
        <f>IF(Time!Z6=1,Inputs!$F$74*Inputs!$F$75,IF(Time!Z8=Inputs!$F$38,Inputs!$F$74*(1-Inputs!$F$75),0))</f>
        <v/>
      </c>
      <c r="AA9" s="19">
        <f>IF(Time!AA6=1,Inputs!$F$74*Inputs!$F$75,IF(Time!AA8=Inputs!$F$38,Inputs!$F$74*(1-Inputs!$F$75),0))</f>
        <v/>
      </c>
      <c r="AB9" s="19">
        <f>IF(Time!AB6=1,Inputs!$F$74*Inputs!$F$75,IF(Time!AB8=Inputs!$F$38,Inputs!$F$74*(1-Inputs!$F$75),0))</f>
        <v/>
      </c>
      <c r="AC9" s="19">
        <f>IF(Time!AC6=1,Inputs!$F$74*Inputs!$F$75,IF(Time!AC8=Inputs!$F$38,Inputs!$F$74*(1-Inputs!$F$75),0))</f>
        <v/>
      </c>
      <c r="AD9" s="19">
        <f>IF(Time!AD6=1,Inputs!$F$74*Inputs!$F$75,IF(Time!AD8=Inputs!$F$38,Inputs!$F$74*(1-Inputs!$F$75),0))</f>
        <v/>
      </c>
      <c r="AE9" s="19">
        <f>IF(Time!AE6=1,Inputs!$F$74*Inputs!$F$75,IF(Time!AE8=Inputs!$F$38,Inputs!$F$74*(1-Inputs!$F$75),0))</f>
        <v/>
      </c>
      <c r="AF9" s="19">
        <f>IF(Time!AF6=1,Inputs!$F$74*Inputs!$F$75,IF(Time!AF8=Inputs!$F$38,Inputs!$F$74*(1-Inputs!$F$75),0))</f>
        <v/>
      </c>
      <c r="AG9" s="19">
        <f>IF(Time!AG6=1,Inputs!$F$74*Inputs!$F$75,IF(Time!AG8=Inputs!$F$38,Inputs!$F$74*(1-Inputs!$F$75),0))</f>
        <v/>
      </c>
      <c r="AH9" s="19">
        <f>IF(Time!AH6=1,Inputs!$F$74*Inputs!$F$75,IF(Time!AH8=Inputs!$F$38,Inputs!$F$74*(1-Inputs!$F$75),0))</f>
        <v/>
      </c>
      <c r="AI9" s="19">
        <f>IF(Time!AI6=1,Inputs!$F$74*Inputs!$F$75,IF(Time!AI8=Inputs!$F$38,Inputs!$F$74*(1-Inputs!$F$75),0))</f>
        <v/>
      </c>
      <c r="AJ9" s="19">
        <f>IF(Time!AJ6=1,Inputs!$F$74*Inputs!$F$75,IF(Time!AJ8=Inputs!$F$38,Inputs!$F$74*(1-Inputs!$F$75),0))</f>
        <v/>
      </c>
      <c r="AK9" s="19">
        <f>IF(Time!AK6=1,Inputs!$F$74*Inputs!$F$75,IF(Time!AK8=Inputs!$F$38,Inputs!$F$74*(1-Inputs!$F$75),0))</f>
        <v/>
      </c>
      <c r="AL9" s="19">
        <f>IF(Time!AL6=1,Inputs!$F$74*Inputs!$F$75,IF(Time!AL8=Inputs!$F$38,Inputs!$F$74*(1-Inputs!$F$75),0))</f>
        <v/>
      </c>
      <c r="AM9" s="19">
        <f>IF(Time!AM6=1,Inputs!$F$74*Inputs!$F$75,IF(Time!AM8=Inputs!$F$38,Inputs!$F$74*(1-Inputs!$F$75),0))</f>
        <v/>
      </c>
      <c r="AN9" s="19">
        <f>IF(Time!AN6=1,Inputs!$F$74*Inputs!$F$75,IF(Time!AN8=Inputs!$F$38,Inputs!$F$74*(1-Inputs!$F$75),0))</f>
        <v/>
      </c>
      <c r="AO9" s="19">
        <f>IF(Time!AO6=1,Inputs!$F$74*Inputs!$F$75,IF(Time!AO8=Inputs!$F$38,Inputs!$F$74*(1-Inputs!$F$75),0))</f>
        <v/>
      </c>
      <c r="AP9" s="19">
        <f>IF(Time!AP6=1,Inputs!$F$74*Inputs!$F$75,IF(Time!AP8=Inputs!$F$38,Inputs!$F$74*(1-Inputs!$F$75),0))</f>
        <v/>
      </c>
      <c r="AQ9" s="19">
        <f>IF(Time!AQ6=1,Inputs!$F$74*Inputs!$F$75,IF(Time!AQ8=Inputs!$F$38,Inputs!$F$74*(1-Inputs!$F$75),0))</f>
        <v/>
      </c>
      <c r="AR9" s="19">
        <f>IF(Time!AR6=1,Inputs!$F$74*Inputs!$F$75,IF(Time!AR8=Inputs!$F$38,Inputs!$F$74*(1-Inputs!$F$75),0))</f>
        <v/>
      </c>
      <c r="AS9" s="19">
        <f>IF(Time!AS6=1,Inputs!$F$74*Inputs!$F$75,IF(Time!AS8=Inputs!$F$38,Inputs!$F$74*(1-Inputs!$F$75),0))</f>
        <v/>
      </c>
      <c r="AT9" s="19">
        <f>IF(Time!AT6=1,Inputs!$F$74*Inputs!$F$75,IF(Time!AT8=Inputs!$F$38,Inputs!$F$74*(1-Inputs!$F$75),0))</f>
        <v/>
      </c>
      <c r="AU9" s="19">
        <f>IF(Time!AU6=1,Inputs!$F$74*Inputs!$F$75,IF(Time!AU8=Inputs!$F$38,Inputs!$F$74*(1-Inputs!$F$75),0))</f>
        <v/>
      </c>
      <c r="AV9" s="19">
        <f>IF(Time!AV6=1,Inputs!$F$74*Inputs!$F$75,IF(Time!AV8=Inputs!$F$38,Inputs!$F$74*(1-Inputs!$F$75),0))</f>
        <v/>
      </c>
      <c r="AW9" s="19">
        <f>IF(Time!AW6=1,Inputs!$F$74*Inputs!$F$75,IF(Time!AW8=Inputs!$F$38,Inputs!$F$74*(1-Inputs!$F$75),0))</f>
        <v/>
      </c>
      <c r="AX9" s="19">
        <f>IF(Time!AX6=1,Inputs!$F$74*Inputs!$F$75,IF(Time!AX8=Inputs!$F$38,Inputs!$F$74*(1-Inputs!$F$75),0))</f>
        <v/>
      </c>
      <c r="AY9" s="19">
        <f>IF(Time!AY6=1,Inputs!$F$74*Inputs!$F$75,IF(Time!AY8=Inputs!$F$38,Inputs!$F$74*(1-Inputs!$F$75),0))</f>
        <v/>
      </c>
      <c r="AZ9" s="19">
        <f>IF(Time!AZ6=1,Inputs!$F$74*Inputs!$F$75,IF(Time!AZ8=Inputs!$F$38,Inputs!$F$74*(1-Inputs!$F$75),0))</f>
        <v/>
      </c>
      <c r="BA9" s="19">
        <f>IF(Time!BA6=1,Inputs!$F$74*Inputs!$F$75,IF(Time!BA8=Inputs!$F$38,Inputs!$F$74*(1-Inputs!$F$75),0))</f>
        <v/>
      </c>
      <c r="BB9" s="19">
        <f>IF(Time!BB6=1,Inputs!$F$74*Inputs!$F$75,IF(Time!BB8=Inputs!$F$38,Inputs!$F$74*(1-Inputs!$F$75),0))</f>
        <v/>
      </c>
      <c r="BC9" s="19">
        <f>IF(Time!BC6=1,Inputs!$F$74*Inputs!$F$75,IF(Time!BC8=Inputs!$F$38,Inputs!$F$74*(1-Inputs!$F$75),0))</f>
        <v/>
      </c>
      <c r="BD9" s="19">
        <f>IF(Time!BD6=1,Inputs!$F$74*Inputs!$F$75,IF(Time!BD8=Inputs!$F$38,Inputs!$F$74*(1-Inputs!$F$75),0))</f>
        <v/>
      </c>
      <c r="BE9" s="19">
        <f>IF(Time!BE6=1,Inputs!$F$74*Inputs!$F$75,IF(Time!BE8=Inputs!$F$38,Inputs!$F$74*(1-Inputs!$F$75),0))</f>
        <v/>
      </c>
      <c r="BF9" s="19">
        <f>IF(Time!BF6=1,Inputs!$F$74*Inputs!$F$75,IF(Time!BF8=Inputs!$F$38,Inputs!$F$74*(1-Inputs!$F$75),0))</f>
        <v/>
      </c>
      <c r="BG9" s="19">
        <f>IF(Time!BG6=1,Inputs!$F$74*Inputs!$F$75,IF(Time!BG8=Inputs!$F$38,Inputs!$F$74*(1-Inputs!$F$75),0))</f>
        <v/>
      </c>
      <c r="BH9" s="19">
        <f>IF(Time!BH6=1,Inputs!$F$74*Inputs!$F$75,IF(Time!BH8=Inputs!$F$38,Inputs!$F$74*(1-Inputs!$F$75),0))</f>
        <v/>
      </c>
      <c r="BI9" s="19">
        <f>IF(Time!BI6=1,Inputs!$F$74*Inputs!$F$75,IF(Time!BI8=Inputs!$F$38,Inputs!$F$74*(1-Inputs!$F$75),0))</f>
        <v/>
      </c>
      <c r="BJ9" s="19">
        <f>IF(Time!BJ6=1,Inputs!$F$74*Inputs!$F$75,IF(Time!BJ8=Inputs!$F$38,Inputs!$F$74*(1-Inputs!$F$75),0))</f>
        <v/>
      </c>
      <c r="BK9" s="19">
        <f>IF(Time!BK6=1,Inputs!$F$74*Inputs!$F$75,IF(Time!BK8=Inputs!$F$38,Inputs!$F$74*(1-Inputs!$F$75),0))</f>
        <v/>
      </c>
      <c r="BL9" s="19">
        <f>IF(Time!BL6=1,Inputs!$F$74*Inputs!$F$75,IF(Time!BL8=Inputs!$F$38,Inputs!$F$74*(1-Inputs!$F$75),0))</f>
        <v/>
      </c>
      <c r="BM9" s="19">
        <f>IF(Time!BM6=1,Inputs!$F$74*Inputs!$F$75,IF(Time!BM8=Inputs!$F$38,Inputs!$F$74*(1-Inputs!$F$75),0))</f>
        <v/>
      </c>
      <c r="BN9" s="19">
        <f>IF(Time!BN6=1,Inputs!$F$74*Inputs!$F$75,IF(Time!BN8=Inputs!$F$38,Inputs!$F$74*(1-Inputs!$F$75),0))</f>
        <v/>
      </c>
      <c r="BO9" s="19">
        <f>IF(Time!BO6=1,Inputs!$F$74*Inputs!$F$75,IF(Time!BO8=Inputs!$F$38,Inputs!$F$74*(1-Inputs!$F$75),0))</f>
        <v/>
      </c>
      <c r="BP9" s="19">
        <f>IF(Time!BP6=1,Inputs!$F$74*Inputs!$F$75,IF(Time!BP8=Inputs!$F$38,Inputs!$F$74*(1-Inputs!$F$75),0))</f>
        <v/>
      </c>
      <c r="BQ9" s="19">
        <f>IF(Time!BQ6=1,Inputs!$F$74*Inputs!$F$75,IF(Time!BQ8=Inputs!$F$38,Inputs!$F$74*(1-Inputs!$F$75),0))</f>
        <v/>
      </c>
      <c r="BR9" s="19">
        <f>IF(Time!BR6=1,Inputs!$F$74*Inputs!$F$75,IF(Time!BR8=Inputs!$F$38,Inputs!$F$74*(1-Inputs!$F$75),0))</f>
        <v/>
      </c>
      <c r="BS9" s="19">
        <f>IF(Time!BS6=1,Inputs!$F$74*Inputs!$F$75,IF(Time!BS8=Inputs!$F$38,Inputs!$F$74*(1-Inputs!$F$75),0))</f>
        <v/>
      </c>
      <c r="BT9" s="19">
        <f>IF(Time!BT6=1,Inputs!$F$74*Inputs!$F$75,IF(Time!BT8=Inputs!$F$38,Inputs!$F$74*(1-Inputs!$F$75),0))</f>
        <v/>
      </c>
      <c r="BU9" s="19">
        <f>IF(Time!BU6=1,Inputs!$F$74*Inputs!$F$75,IF(Time!BU8=Inputs!$F$38,Inputs!$F$74*(1-Inputs!$F$75),0))</f>
        <v/>
      </c>
      <c r="BV9" s="19">
        <f>IF(Time!BV6=1,Inputs!$F$74*Inputs!$F$75,IF(Time!BV8=Inputs!$F$38,Inputs!$F$74*(1-Inputs!$F$75),0))</f>
        <v/>
      </c>
      <c r="BW9" s="19">
        <f>IF(Time!BW6=1,Inputs!$F$74*Inputs!$F$75,IF(Time!BW8=Inputs!$F$38,Inputs!$F$74*(1-Inputs!$F$75),0))</f>
        <v/>
      </c>
      <c r="BX9" s="19">
        <f>IF(Time!BX6=1,Inputs!$F$74*Inputs!$F$75,IF(Time!BX8=Inputs!$F$38,Inputs!$F$74*(1-Inputs!$F$75),0))</f>
        <v/>
      </c>
      <c r="BY9" s="19">
        <f>IF(Time!BY6=1,Inputs!$F$74*Inputs!$F$75,IF(Time!BY8=Inputs!$F$38,Inputs!$F$74*(1-Inputs!$F$75),0))</f>
        <v/>
      </c>
      <c r="BZ9" s="19">
        <f>IF(Time!BZ6=1,Inputs!$F$74*Inputs!$F$75,IF(Time!BZ8=Inputs!$F$38,Inputs!$F$74*(1-Inputs!$F$75),0))</f>
        <v/>
      </c>
      <c r="CA9" s="19">
        <f>IF(Time!CA6=1,Inputs!$F$74*Inputs!$F$75,IF(Time!CA8=Inputs!$F$38,Inputs!$F$74*(1-Inputs!$F$75),0))</f>
        <v/>
      </c>
      <c r="CB9" s="19">
        <f>IF(Time!CB6=1,Inputs!$F$74*Inputs!$F$75,IF(Time!CB8=Inputs!$F$38,Inputs!$F$74*(1-Inputs!$F$75),0))</f>
        <v/>
      </c>
      <c r="CC9" s="19">
        <f>IF(Time!CC6=1,Inputs!$F$74*Inputs!$F$75,IF(Time!CC8=Inputs!$F$38,Inputs!$F$74*(1-Inputs!$F$75),0))</f>
        <v/>
      </c>
      <c r="CD9" s="19">
        <f>IF(Time!CD6=1,Inputs!$F$74*Inputs!$F$75,IF(Time!CD8=Inputs!$F$38,Inputs!$F$74*(1-Inputs!$F$75),0))</f>
        <v/>
      </c>
      <c r="CE9" s="19">
        <f>IF(Time!CE6=1,Inputs!$F$74*Inputs!$F$75,IF(Time!CE8=Inputs!$F$38,Inputs!$F$74*(1-Inputs!$F$75),0))</f>
        <v/>
      </c>
      <c r="CF9" s="19">
        <f>IF(Time!CF6=1,Inputs!$F$74*Inputs!$F$75,IF(Time!CF8=Inputs!$F$38,Inputs!$F$74*(1-Inputs!$F$75),0))</f>
        <v/>
      </c>
      <c r="CG9" s="19">
        <f>IF(Time!CG6=1,Inputs!$F$74*Inputs!$F$75,IF(Time!CG8=Inputs!$F$38,Inputs!$F$74*(1-Inputs!$F$75),0))</f>
        <v/>
      </c>
      <c r="CH9" s="19">
        <f>IF(Time!CH6=1,Inputs!$F$74*Inputs!$F$75,IF(Time!CH8=Inputs!$F$38,Inputs!$F$74*(1-Inputs!$F$75),0))</f>
        <v/>
      </c>
      <c r="CI9" s="19">
        <f>IF(Time!CI6=1,Inputs!$F$74*Inputs!$F$75,IF(Time!CI8=Inputs!$F$38,Inputs!$F$74*(1-Inputs!$F$75),0))</f>
        <v/>
      </c>
      <c r="CJ9" s="19">
        <f>IF(Time!CJ6=1,Inputs!$F$74*Inputs!$F$75,IF(Time!CJ8=Inputs!$F$38,Inputs!$F$74*(1-Inputs!$F$75),0))</f>
        <v/>
      </c>
      <c r="CK9" s="19">
        <f>IF(Time!CK6=1,Inputs!$F$74*Inputs!$F$75,IF(Time!CK8=Inputs!$F$38,Inputs!$F$74*(1-Inputs!$F$75),0))</f>
        <v/>
      </c>
      <c r="CL9" s="19">
        <f>IF(Time!CL6=1,Inputs!$F$74*Inputs!$F$75,IF(Time!CL8=Inputs!$F$38,Inputs!$F$74*(1-Inputs!$F$75),0))</f>
        <v/>
      </c>
      <c r="CM9" s="19">
        <f>IF(Time!CM6=1,Inputs!$F$74*Inputs!$F$75,IF(Time!CM8=Inputs!$F$38,Inputs!$F$74*(1-Inputs!$F$75),0))</f>
        <v/>
      </c>
      <c r="CN9" s="19">
        <f>IF(Time!CN6=1,Inputs!$F$74*Inputs!$F$75,IF(Time!CN8=Inputs!$F$38,Inputs!$F$74*(1-Inputs!$F$75),0))</f>
        <v/>
      </c>
      <c r="CO9" s="19">
        <f>IF(Time!CO6=1,Inputs!$F$74*Inputs!$F$75,IF(Time!CO8=Inputs!$F$38,Inputs!$F$74*(1-Inputs!$F$75),0))</f>
        <v/>
      </c>
      <c r="CP9" s="19">
        <f>IF(Time!CP6=1,Inputs!$F$74*Inputs!$F$75,IF(Time!CP8=Inputs!$F$38,Inputs!$F$74*(1-Inputs!$F$75),0))</f>
        <v/>
      </c>
      <c r="CQ9" s="19">
        <f>IF(Time!CQ6=1,Inputs!$F$74*Inputs!$F$75,IF(Time!CQ8=Inputs!$F$38,Inputs!$F$74*(1-Inputs!$F$75),0))</f>
        <v/>
      </c>
      <c r="CR9" s="19">
        <f>IF(Time!CR6=1,Inputs!$F$74*Inputs!$F$75,IF(Time!CR8=Inputs!$F$38,Inputs!$F$74*(1-Inputs!$F$75),0))</f>
        <v/>
      </c>
      <c r="CS9" s="19">
        <f>IF(Time!CS6=1,Inputs!$F$74*Inputs!$F$75,IF(Time!CS8=Inputs!$F$38,Inputs!$F$74*(1-Inputs!$F$75),0))</f>
        <v/>
      </c>
      <c r="CT9" s="19">
        <f>IF(Time!CT6=1,Inputs!$F$74*Inputs!$F$75,IF(Time!CT8=Inputs!$F$38,Inputs!$F$74*(1-Inputs!$F$75),0))</f>
        <v/>
      </c>
      <c r="CU9" s="19">
        <f>IF(Time!CU6=1,Inputs!$F$74*Inputs!$F$75,IF(Time!CU8=Inputs!$F$38,Inputs!$F$74*(1-Inputs!$F$75),0))</f>
        <v/>
      </c>
      <c r="CV9" s="19">
        <f>IF(Time!CV6=1,Inputs!$F$74*Inputs!$F$75,IF(Time!CV8=Inputs!$F$38,Inputs!$F$74*(1-Inputs!$F$75),0))</f>
        <v/>
      </c>
      <c r="CW9" s="19">
        <f>IF(Time!CW6=1,Inputs!$F$74*Inputs!$F$75,IF(Time!CW8=Inputs!$F$38,Inputs!$F$74*(1-Inputs!$F$75),0))</f>
        <v/>
      </c>
      <c r="CX9" s="19">
        <f>IF(Time!CX6=1,Inputs!$F$74*Inputs!$F$75,IF(Time!CX8=Inputs!$F$38,Inputs!$F$74*(1-Inputs!$F$75),0))</f>
        <v/>
      </c>
      <c r="CY9" s="19">
        <f>IF(Time!CY6=1,Inputs!$F$74*Inputs!$F$75,IF(Time!CY8=Inputs!$F$38,Inputs!$F$74*(1-Inputs!$F$75),0))</f>
        <v/>
      </c>
      <c r="CZ9" s="19">
        <f>IF(Time!CZ6=1,Inputs!$F$74*Inputs!$F$75,IF(Time!CZ8=Inputs!$F$38,Inputs!$F$74*(1-Inputs!$F$75),0))</f>
        <v/>
      </c>
      <c r="DA9" s="19">
        <f>IF(Time!DA6=1,Inputs!$F$74*Inputs!$F$75,IF(Time!DA8=Inputs!$F$38,Inputs!$F$74*(1-Inputs!$F$75),0))</f>
        <v/>
      </c>
      <c r="DB9" s="19">
        <f>IF(Time!DB6=1,Inputs!$F$74*Inputs!$F$75,IF(Time!DB8=Inputs!$F$38,Inputs!$F$74*(1-Inputs!$F$75),0))</f>
        <v/>
      </c>
    </row>
    <row r="10">
      <c r="D10" t="inlineStr">
        <is>
          <t>Independent certifier</t>
        </is>
      </c>
      <c r="E10" t="inlineStr">
        <is>
          <t>ARD m</t>
        </is>
      </c>
      <c r="G10" s="19">
        <f>SUM(J10:DB10)</f>
        <v/>
      </c>
      <c r="J10" s="19">
        <f>Inputs!$F$76*Time!J9/Time!$F$18*Time!J20</f>
        <v/>
      </c>
      <c r="K10" s="19">
        <f>Inputs!$F$76*Time!K9/Time!$F$18*Time!K20</f>
        <v/>
      </c>
      <c r="L10" s="19">
        <f>Inputs!$F$76*Time!L9/Time!$F$18*Time!L20</f>
        <v/>
      </c>
      <c r="M10" s="19">
        <f>Inputs!$F$76*Time!M9/Time!$F$18*Time!M20</f>
        <v/>
      </c>
      <c r="N10" s="19">
        <f>Inputs!$F$76*Time!N9/Time!$F$18*Time!N20</f>
        <v/>
      </c>
      <c r="O10" s="19">
        <f>Inputs!$F$76*Time!O9/Time!$F$18*Time!O20</f>
        <v/>
      </c>
      <c r="P10" s="19">
        <f>Inputs!$F$76*Time!P9/Time!$F$18*Time!P20</f>
        <v/>
      </c>
      <c r="Q10" s="19">
        <f>Inputs!$F$76*Time!Q9/Time!$F$18*Time!Q20</f>
        <v/>
      </c>
      <c r="R10" s="19">
        <f>Inputs!$F$76*Time!R9/Time!$F$18*Time!R20</f>
        <v/>
      </c>
      <c r="S10" s="19">
        <f>Inputs!$F$76*Time!S9/Time!$F$18*Time!S20</f>
        <v/>
      </c>
      <c r="T10" s="19">
        <f>Inputs!$F$76*Time!T9/Time!$F$18*Time!T20</f>
        <v/>
      </c>
      <c r="U10" s="19">
        <f>Inputs!$F$76*Time!U9/Time!$F$18*Time!U20</f>
        <v/>
      </c>
      <c r="V10" s="19">
        <f>Inputs!$F$76*Time!V9/Time!$F$18*Time!V20</f>
        <v/>
      </c>
      <c r="W10" s="19">
        <f>Inputs!$F$76*Time!W9/Time!$F$18*Time!W20</f>
        <v/>
      </c>
      <c r="X10" s="19">
        <f>Inputs!$F$76*Time!X9/Time!$F$18*Time!X20</f>
        <v/>
      </c>
      <c r="Y10" s="19">
        <f>Inputs!$F$76*Time!Y9/Time!$F$18*Time!Y20</f>
        <v/>
      </c>
      <c r="Z10" s="19">
        <f>Inputs!$F$76*Time!Z9/Time!$F$18*Time!Z20</f>
        <v/>
      </c>
      <c r="AA10" s="19">
        <f>Inputs!$F$76*Time!AA9/Time!$F$18*Time!AA20</f>
        <v/>
      </c>
      <c r="AB10" s="19">
        <f>Inputs!$F$76*Time!AB9/Time!$F$18*Time!AB20</f>
        <v/>
      </c>
      <c r="AC10" s="19">
        <f>Inputs!$F$76*Time!AC9/Time!$F$18*Time!AC20</f>
        <v/>
      </c>
      <c r="AD10" s="19">
        <f>Inputs!$F$76*Time!AD9/Time!$F$18*Time!AD20</f>
        <v/>
      </c>
      <c r="AE10" s="19">
        <f>Inputs!$F$76*Time!AE9/Time!$F$18*Time!AE20</f>
        <v/>
      </c>
      <c r="AF10" s="19">
        <f>Inputs!$F$76*Time!AF9/Time!$F$18*Time!AF20</f>
        <v/>
      </c>
      <c r="AG10" s="19">
        <f>Inputs!$F$76*Time!AG9/Time!$F$18*Time!AG20</f>
        <v/>
      </c>
      <c r="AH10" s="19">
        <f>Inputs!$F$76*Time!AH9/Time!$F$18*Time!AH20</f>
        <v/>
      </c>
      <c r="AI10" s="19">
        <f>Inputs!$F$76*Time!AI9/Time!$F$18*Time!AI20</f>
        <v/>
      </c>
      <c r="AJ10" s="19">
        <f>Inputs!$F$76*Time!AJ9/Time!$F$18*Time!AJ20</f>
        <v/>
      </c>
      <c r="AK10" s="19">
        <f>Inputs!$F$76*Time!AK9/Time!$F$18*Time!AK20</f>
        <v/>
      </c>
      <c r="AL10" s="19">
        <f>Inputs!$F$76*Time!AL9/Time!$F$18*Time!AL20</f>
        <v/>
      </c>
      <c r="AM10" s="19">
        <f>Inputs!$F$76*Time!AM9/Time!$F$18*Time!AM20</f>
        <v/>
      </c>
      <c r="AN10" s="19">
        <f>Inputs!$F$76*Time!AN9/Time!$F$18*Time!AN20</f>
        <v/>
      </c>
      <c r="AO10" s="19">
        <f>Inputs!$F$76*Time!AO9/Time!$F$18*Time!AO20</f>
        <v/>
      </c>
      <c r="AP10" s="19">
        <f>Inputs!$F$76*Time!AP9/Time!$F$18*Time!AP20</f>
        <v/>
      </c>
      <c r="AQ10" s="19">
        <f>Inputs!$F$76*Time!AQ9/Time!$F$18*Time!AQ20</f>
        <v/>
      </c>
      <c r="AR10" s="19">
        <f>Inputs!$F$76*Time!AR9/Time!$F$18*Time!AR20</f>
        <v/>
      </c>
      <c r="AS10" s="19">
        <f>Inputs!$F$76*Time!AS9/Time!$F$18*Time!AS20</f>
        <v/>
      </c>
      <c r="AT10" s="19">
        <f>Inputs!$F$76*Time!AT9/Time!$F$18*Time!AT20</f>
        <v/>
      </c>
      <c r="AU10" s="19">
        <f>Inputs!$F$76*Time!AU9/Time!$F$18*Time!AU20</f>
        <v/>
      </c>
      <c r="AV10" s="19">
        <f>Inputs!$F$76*Time!AV9/Time!$F$18*Time!AV20</f>
        <v/>
      </c>
      <c r="AW10" s="19">
        <f>Inputs!$F$76*Time!AW9/Time!$F$18*Time!AW20</f>
        <v/>
      </c>
      <c r="AX10" s="19">
        <f>Inputs!$F$76*Time!AX9/Time!$F$18*Time!AX20</f>
        <v/>
      </c>
      <c r="AY10" s="19">
        <f>Inputs!$F$76*Time!AY9/Time!$F$18*Time!AY20</f>
        <v/>
      </c>
      <c r="AZ10" s="19">
        <f>Inputs!$F$76*Time!AZ9/Time!$F$18*Time!AZ20</f>
        <v/>
      </c>
      <c r="BA10" s="19">
        <f>Inputs!$F$76*Time!BA9/Time!$F$18*Time!BA20</f>
        <v/>
      </c>
      <c r="BB10" s="19">
        <f>Inputs!$F$76*Time!BB9/Time!$F$18*Time!BB20</f>
        <v/>
      </c>
      <c r="BC10" s="19">
        <f>Inputs!$F$76*Time!BC9/Time!$F$18*Time!BC20</f>
        <v/>
      </c>
      <c r="BD10" s="19">
        <f>Inputs!$F$76*Time!BD9/Time!$F$18*Time!BD20</f>
        <v/>
      </c>
      <c r="BE10" s="19">
        <f>Inputs!$F$76*Time!BE9/Time!$F$18*Time!BE20</f>
        <v/>
      </c>
      <c r="BF10" s="19">
        <f>Inputs!$F$76*Time!BF9/Time!$F$18*Time!BF20</f>
        <v/>
      </c>
      <c r="BG10" s="19">
        <f>Inputs!$F$76*Time!BG9/Time!$F$18*Time!BG20</f>
        <v/>
      </c>
      <c r="BH10" s="19">
        <f>Inputs!$F$76*Time!BH9/Time!$F$18*Time!BH20</f>
        <v/>
      </c>
      <c r="BI10" s="19">
        <f>Inputs!$F$76*Time!BI9/Time!$F$18*Time!BI20</f>
        <v/>
      </c>
      <c r="BJ10" s="19">
        <f>Inputs!$F$76*Time!BJ9/Time!$F$18*Time!BJ20</f>
        <v/>
      </c>
      <c r="BK10" s="19">
        <f>Inputs!$F$76*Time!BK9/Time!$F$18*Time!BK20</f>
        <v/>
      </c>
      <c r="BL10" s="19">
        <f>Inputs!$F$76*Time!BL9/Time!$F$18*Time!BL20</f>
        <v/>
      </c>
      <c r="BM10" s="19">
        <f>Inputs!$F$76*Time!BM9/Time!$F$18*Time!BM20</f>
        <v/>
      </c>
      <c r="BN10" s="19">
        <f>Inputs!$F$76*Time!BN9/Time!$F$18*Time!BN20</f>
        <v/>
      </c>
      <c r="BO10" s="19">
        <f>Inputs!$F$76*Time!BO9/Time!$F$18*Time!BO20</f>
        <v/>
      </c>
      <c r="BP10" s="19">
        <f>Inputs!$F$76*Time!BP9/Time!$F$18*Time!BP20</f>
        <v/>
      </c>
      <c r="BQ10" s="19">
        <f>Inputs!$F$76*Time!BQ9/Time!$F$18*Time!BQ20</f>
        <v/>
      </c>
      <c r="BR10" s="19">
        <f>Inputs!$F$76*Time!BR9/Time!$F$18*Time!BR20</f>
        <v/>
      </c>
      <c r="BS10" s="19">
        <f>Inputs!$F$76*Time!BS9/Time!$F$18*Time!BS20</f>
        <v/>
      </c>
      <c r="BT10" s="19">
        <f>Inputs!$F$76*Time!BT9/Time!$F$18*Time!BT20</f>
        <v/>
      </c>
      <c r="BU10" s="19">
        <f>Inputs!$F$76*Time!BU9/Time!$F$18*Time!BU20</f>
        <v/>
      </c>
      <c r="BV10" s="19">
        <f>Inputs!$F$76*Time!BV9/Time!$F$18*Time!BV20</f>
        <v/>
      </c>
      <c r="BW10" s="19">
        <f>Inputs!$F$76*Time!BW9/Time!$F$18*Time!BW20</f>
        <v/>
      </c>
      <c r="BX10" s="19">
        <f>Inputs!$F$76*Time!BX9/Time!$F$18*Time!BX20</f>
        <v/>
      </c>
      <c r="BY10" s="19">
        <f>Inputs!$F$76*Time!BY9/Time!$F$18*Time!BY20</f>
        <v/>
      </c>
      <c r="BZ10" s="19">
        <f>Inputs!$F$76*Time!BZ9/Time!$F$18*Time!BZ20</f>
        <v/>
      </c>
      <c r="CA10" s="19">
        <f>Inputs!$F$76*Time!CA9/Time!$F$18*Time!CA20</f>
        <v/>
      </c>
      <c r="CB10" s="19">
        <f>Inputs!$F$76*Time!CB9/Time!$F$18*Time!CB20</f>
        <v/>
      </c>
      <c r="CC10" s="19">
        <f>Inputs!$F$76*Time!CC9/Time!$F$18*Time!CC20</f>
        <v/>
      </c>
      <c r="CD10" s="19">
        <f>Inputs!$F$76*Time!CD9/Time!$F$18*Time!CD20</f>
        <v/>
      </c>
      <c r="CE10" s="19">
        <f>Inputs!$F$76*Time!CE9/Time!$F$18*Time!CE20</f>
        <v/>
      </c>
      <c r="CF10" s="19">
        <f>Inputs!$F$76*Time!CF9/Time!$F$18*Time!CF20</f>
        <v/>
      </c>
      <c r="CG10" s="19">
        <f>Inputs!$F$76*Time!CG9/Time!$F$18*Time!CG20</f>
        <v/>
      </c>
      <c r="CH10" s="19">
        <f>Inputs!$F$76*Time!CH9/Time!$F$18*Time!CH20</f>
        <v/>
      </c>
      <c r="CI10" s="19">
        <f>Inputs!$F$76*Time!CI9/Time!$F$18*Time!CI20</f>
        <v/>
      </c>
      <c r="CJ10" s="19">
        <f>Inputs!$F$76*Time!CJ9/Time!$F$18*Time!CJ20</f>
        <v/>
      </c>
      <c r="CK10" s="19">
        <f>Inputs!$F$76*Time!CK9/Time!$F$18*Time!CK20</f>
        <v/>
      </c>
      <c r="CL10" s="19">
        <f>Inputs!$F$76*Time!CL9/Time!$F$18*Time!CL20</f>
        <v/>
      </c>
      <c r="CM10" s="19">
        <f>Inputs!$F$76*Time!CM9/Time!$F$18*Time!CM20</f>
        <v/>
      </c>
      <c r="CN10" s="19">
        <f>Inputs!$F$76*Time!CN9/Time!$F$18*Time!CN20</f>
        <v/>
      </c>
      <c r="CO10" s="19">
        <f>Inputs!$F$76*Time!CO9/Time!$F$18*Time!CO20</f>
        <v/>
      </c>
      <c r="CP10" s="19">
        <f>Inputs!$F$76*Time!CP9/Time!$F$18*Time!CP20</f>
        <v/>
      </c>
      <c r="CQ10" s="19">
        <f>Inputs!$F$76*Time!CQ9/Time!$F$18*Time!CQ20</f>
        <v/>
      </c>
      <c r="CR10" s="19">
        <f>Inputs!$F$76*Time!CR9/Time!$F$18*Time!CR20</f>
        <v/>
      </c>
      <c r="CS10" s="19">
        <f>Inputs!$F$76*Time!CS9/Time!$F$18*Time!CS20</f>
        <v/>
      </c>
      <c r="CT10" s="19">
        <f>Inputs!$F$76*Time!CT9/Time!$F$18*Time!CT20</f>
        <v/>
      </c>
      <c r="CU10" s="19">
        <f>Inputs!$F$76*Time!CU9/Time!$F$18*Time!CU20</f>
        <v/>
      </c>
      <c r="CV10" s="19">
        <f>Inputs!$F$76*Time!CV9/Time!$F$18*Time!CV20</f>
        <v/>
      </c>
      <c r="CW10" s="19">
        <f>Inputs!$F$76*Time!CW9/Time!$F$18*Time!CW20</f>
        <v/>
      </c>
      <c r="CX10" s="19">
        <f>Inputs!$F$76*Time!CX9/Time!$F$18*Time!CX20</f>
        <v/>
      </c>
      <c r="CY10" s="19">
        <f>Inputs!$F$76*Time!CY9/Time!$F$18*Time!CY20</f>
        <v/>
      </c>
      <c r="CZ10" s="19">
        <f>Inputs!$F$76*Time!CZ9/Time!$F$18*Time!CZ20</f>
        <v/>
      </c>
      <c r="DA10" s="19">
        <f>Inputs!$F$76*Time!DA9/Time!$F$18*Time!DA20</f>
        <v/>
      </c>
      <c r="DB10" s="19">
        <f>Inputs!$F$76*Time!DB9/Time!$F$18*Time!DB20</f>
        <v/>
      </c>
    </row>
    <row r="11">
      <c r="D11" t="inlineStr">
        <is>
          <t>Lenders' advisors and legal</t>
        </is>
      </c>
      <c r="E11" t="inlineStr">
        <is>
          <t>ARD m</t>
        </is>
      </c>
      <c r="G11" s="19">
        <f>SUM(J11:DB11)</f>
        <v/>
      </c>
      <c r="J11" s="19">
        <f>Inputs!$F$77*Time!J9/Time!$F$18*Time!J20</f>
        <v/>
      </c>
      <c r="K11" s="19">
        <f>Inputs!$F$77*Time!K9/Time!$F$18*Time!K20</f>
        <v/>
      </c>
      <c r="L11" s="19">
        <f>Inputs!$F$77*Time!L9/Time!$F$18*Time!L20</f>
        <v/>
      </c>
      <c r="M11" s="19">
        <f>Inputs!$F$77*Time!M9/Time!$F$18*Time!M20</f>
        <v/>
      </c>
      <c r="N11" s="19">
        <f>Inputs!$F$77*Time!N9/Time!$F$18*Time!N20</f>
        <v/>
      </c>
      <c r="O11" s="19">
        <f>Inputs!$F$77*Time!O9/Time!$F$18*Time!O20</f>
        <v/>
      </c>
      <c r="P11" s="19">
        <f>Inputs!$F$77*Time!P9/Time!$F$18*Time!P20</f>
        <v/>
      </c>
      <c r="Q11" s="19">
        <f>Inputs!$F$77*Time!Q9/Time!$F$18*Time!Q20</f>
        <v/>
      </c>
      <c r="R11" s="19">
        <f>Inputs!$F$77*Time!R9/Time!$F$18*Time!R20</f>
        <v/>
      </c>
      <c r="S11" s="19">
        <f>Inputs!$F$77*Time!S9/Time!$F$18*Time!S20</f>
        <v/>
      </c>
      <c r="T11" s="19">
        <f>Inputs!$F$77*Time!T9/Time!$F$18*Time!T20</f>
        <v/>
      </c>
      <c r="U11" s="19">
        <f>Inputs!$F$77*Time!U9/Time!$F$18*Time!U20</f>
        <v/>
      </c>
      <c r="V11" s="19">
        <f>Inputs!$F$77*Time!V9/Time!$F$18*Time!V20</f>
        <v/>
      </c>
      <c r="W11" s="19">
        <f>Inputs!$F$77*Time!W9/Time!$F$18*Time!W20</f>
        <v/>
      </c>
      <c r="X11" s="19">
        <f>Inputs!$F$77*Time!X9/Time!$F$18*Time!X20</f>
        <v/>
      </c>
      <c r="Y11" s="19">
        <f>Inputs!$F$77*Time!Y9/Time!$F$18*Time!Y20</f>
        <v/>
      </c>
      <c r="Z11" s="19">
        <f>Inputs!$F$77*Time!Z9/Time!$F$18*Time!Z20</f>
        <v/>
      </c>
      <c r="AA11" s="19">
        <f>Inputs!$F$77*Time!AA9/Time!$F$18*Time!AA20</f>
        <v/>
      </c>
      <c r="AB11" s="19">
        <f>Inputs!$F$77*Time!AB9/Time!$F$18*Time!AB20</f>
        <v/>
      </c>
      <c r="AC11" s="19">
        <f>Inputs!$F$77*Time!AC9/Time!$F$18*Time!AC20</f>
        <v/>
      </c>
      <c r="AD11" s="19">
        <f>Inputs!$F$77*Time!AD9/Time!$F$18*Time!AD20</f>
        <v/>
      </c>
      <c r="AE11" s="19">
        <f>Inputs!$F$77*Time!AE9/Time!$F$18*Time!AE20</f>
        <v/>
      </c>
      <c r="AF11" s="19">
        <f>Inputs!$F$77*Time!AF9/Time!$F$18*Time!AF20</f>
        <v/>
      </c>
      <c r="AG11" s="19">
        <f>Inputs!$F$77*Time!AG9/Time!$F$18*Time!AG20</f>
        <v/>
      </c>
      <c r="AH11" s="19">
        <f>Inputs!$F$77*Time!AH9/Time!$F$18*Time!AH20</f>
        <v/>
      </c>
      <c r="AI11" s="19">
        <f>Inputs!$F$77*Time!AI9/Time!$F$18*Time!AI20</f>
        <v/>
      </c>
      <c r="AJ11" s="19">
        <f>Inputs!$F$77*Time!AJ9/Time!$F$18*Time!AJ20</f>
        <v/>
      </c>
      <c r="AK11" s="19">
        <f>Inputs!$F$77*Time!AK9/Time!$F$18*Time!AK20</f>
        <v/>
      </c>
      <c r="AL11" s="19">
        <f>Inputs!$F$77*Time!AL9/Time!$F$18*Time!AL20</f>
        <v/>
      </c>
      <c r="AM11" s="19">
        <f>Inputs!$F$77*Time!AM9/Time!$F$18*Time!AM20</f>
        <v/>
      </c>
      <c r="AN11" s="19">
        <f>Inputs!$F$77*Time!AN9/Time!$F$18*Time!AN20</f>
        <v/>
      </c>
      <c r="AO11" s="19">
        <f>Inputs!$F$77*Time!AO9/Time!$F$18*Time!AO20</f>
        <v/>
      </c>
      <c r="AP11" s="19">
        <f>Inputs!$F$77*Time!AP9/Time!$F$18*Time!AP20</f>
        <v/>
      </c>
      <c r="AQ11" s="19">
        <f>Inputs!$F$77*Time!AQ9/Time!$F$18*Time!AQ20</f>
        <v/>
      </c>
      <c r="AR11" s="19">
        <f>Inputs!$F$77*Time!AR9/Time!$F$18*Time!AR20</f>
        <v/>
      </c>
      <c r="AS11" s="19">
        <f>Inputs!$F$77*Time!AS9/Time!$F$18*Time!AS20</f>
        <v/>
      </c>
      <c r="AT11" s="19">
        <f>Inputs!$F$77*Time!AT9/Time!$F$18*Time!AT20</f>
        <v/>
      </c>
      <c r="AU11" s="19">
        <f>Inputs!$F$77*Time!AU9/Time!$F$18*Time!AU20</f>
        <v/>
      </c>
      <c r="AV11" s="19">
        <f>Inputs!$F$77*Time!AV9/Time!$F$18*Time!AV20</f>
        <v/>
      </c>
      <c r="AW11" s="19">
        <f>Inputs!$F$77*Time!AW9/Time!$F$18*Time!AW20</f>
        <v/>
      </c>
      <c r="AX11" s="19">
        <f>Inputs!$F$77*Time!AX9/Time!$F$18*Time!AX20</f>
        <v/>
      </c>
      <c r="AY11" s="19">
        <f>Inputs!$F$77*Time!AY9/Time!$F$18*Time!AY20</f>
        <v/>
      </c>
      <c r="AZ11" s="19">
        <f>Inputs!$F$77*Time!AZ9/Time!$F$18*Time!AZ20</f>
        <v/>
      </c>
      <c r="BA11" s="19">
        <f>Inputs!$F$77*Time!BA9/Time!$F$18*Time!BA20</f>
        <v/>
      </c>
      <c r="BB11" s="19">
        <f>Inputs!$F$77*Time!BB9/Time!$F$18*Time!BB20</f>
        <v/>
      </c>
      <c r="BC11" s="19">
        <f>Inputs!$F$77*Time!BC9/Time!$F$18*Time!BC20</f>
        <v/>
      </c>
      <c r="BD11" s="19">
        <f>Inputs!$F$77*Time!BD9/Time!$F$18*Time!BD20</f>
        <v/>
      </c>
      <c r="BE11" s="19">
        <f>Inputs!$F$77*Time!BE9/Time!$F$18*Time!BE20</f>
        <v/>
      </c>
      <c r="BF11" s="19">
        <f>Inputs!$F$77*Time!BF9/Time!$F$18*Time!BF20</f>
        <v/>
      </c>
      <c r="BG11" s="19">
        <f>Inputs!$F$77*Time!BG9/Time!$F$18*Time!BG20</f>
        <v/>
      </c>
      <c r="BH11" s="19">
        <f>Inputs!$F$77*Time!BH9/Time!$F$18*Time!BH20</f>
        <v/>
      </c>
      <c r="BI11" s="19">
        <f>Inputs!$F$77*Time!BI9/Time!$F$18*Time!BI20</f>
        <v/>
      </c>
      <c r="BJ11" s="19">
        <f>Inputs!$F$77*Time!BJ9/Time!$F$18*Time!BJ20</f>
        <v/>
      </c>
      <c r="BK11" s="19">
        <f>Inputs!$F$77*Time!BK9/Time!$F$18*Time!BK20</f>
        <v/>
      </c>
      <c r="BL11" s="19">
        <f>Inputs!$F$77*Time!BL9/Time!$F$18*Time!BL20</f>
        <v/>
      </c>
      <c r="BM11" s="19">
        <f>Inputs!$F$77*Time!BM9/Time!$F$18*Time!BM20</f>
        <v/>
      </c>
      <c r="BN11" s="19">
        <f>Inputs!$F$77*Time!BN9/Time!$F$18*Time!BN20</f>
        <v/>
      </c>
      <c r="BO11" s="19">
        <f>Inputs!$F$77*Time!BO9/Time!$F$18*Time!BO20</f>
        <v/>
      </c>
      <c r="BP11" s="19">
        <f>Inputs!$F$77*Time!BP9/Time!$F$18*Time!BP20</f>
        <v/>
      </c>
      <c r="BQ11" s="19">
        <f>Inputs!$F$77*Time!BQ9/Time!$F$18*Time!BQ20</f>
        <v/>
      </c>
      <c r="BR11" s="19">
        <f>Inputs!$F$77*Time!BR9/Time!$F$18*Time!BR20</f>
        <v/>
      </c>
      <c r="BS11" s="19">
        <f>Inputs!$F$77*Time!BS9/Time!$F$18*Time!BS20</f>
        <v/>
      </c>
      <c r="BT11" s="19">
        <f>Inputs!$F$77*Time!BT9/Time!$F$18*Time!BT20</f>
        <v/>
      </c>
      <c r="BU11" s="19">
        <f>Inputs!$F$77*Time!BU9/Time!$F$18*Time!BU20</f>
        <v/>
      </c>
      <c r="BV11" s="19">
        <f>Inputs!$F$77*Time!BV9/Time!$F$18*Time!BV20</f>
        <v/>
      </c>
      <c r="BW11" s="19">
        <f>Inputs!$F$77*Time!BW9/Time!$F$18*Time!BW20</f>
        <v/>
      </c>
      <c r="BX11" s="19">
        <f>Inputs!$F$77*Time!BX9/Time!$F$18*Time!BX20</f>
        <v/>
      </c>
      <c r="BY11" s="19">
        <f>Inputs!$F$77*Time!BY9/Time!$F$18*Time!BY20</f>
        <v/>
      </c>
      <c r="BZ11" s="19">
        <f>Inputs!$F$77*Time!BZ9/Time!$F$18*Time!BZ20</f>
        <v/>
      </c>
      <c r="CA11" s="19">
        <f>Inputs!$F$77*Time!CA9/Time!$F$18*Time!CA20</f>
        <v/>
      </c>
      <c r="CB11" s="19">
        <f>Inputs!$F$77*Time!CB9/Time!$F$18*Time!CB20</f>
        <v/>
      </c>
      <c r="CC11" s="19">
        <f>Inputs!$F$77*Time!CC9/Time!$F$18*Time!CC20</f>
        <v/>
      </c>
      <c r="CD11" s="19">
        <f>Inputs!$F$77*Time!CD9/Time!$F$18*Time!CD20</f>
        <v/>
      </c>
      <c r="CE11" s="19">
        <f>Inputs!$F$77*Time!CE9/Time!$F$18*Time!CE20</f>
        <v/>
      </c>
      <c r="CF11" s="19">
        <f>Inputs!$F$77*Time!CF9/Time!$F$18*Time!CF20</f>
        <v/>
      </c>
      <c r="CG11" s="19">
        <f>Inputs!$F$77*Time!CG9/Time!$F$18*Time!CG20</f>
        <v/>
      </c>
      <c r="CH11" s="19">
        <f>Inputs!$F$77*Time!CH9/Time!$F$18*Time!CH20</f>
        <v/>
      </c>
      <c r="CI11" s="19">
        <f>Inputs!$F$77*Time!CI9/Time!$F$18*Time!CI20</f>
        <v/>
      </c>
      <c r="CJ11" s="19">
        <f>Inputs!$F$77*Time!CJ9/Time!$F$18*Time!CJ20</f>
        <v/>
      </c>
      <c r="CK11" s="19">
        <f>Inputs!$F$77*Time!CK9/Time!$F$18*Time!CK20</f>
        <v/>
      </c>
      <c r="CL11" s="19">
        <f>Inputs!$F$77*Time!CL9/Time!$F$18*Time!CL20</f>
        <v/>
      </c>
      <c r="CM11" s="19">
        <f>Inputs!$F$77*Time!CM9/Time!$F$18*Time!CM20</f>
        <v/>
      </c>
      <c r="CN11" s="19">
        <f>Inputs!$F$77*Time!CN9/Time!$F$18*Time!CN20</f>
        <v/>
      </c>
      <c r="CO11" s="19">
        <f>Inputs!$F$77*Time!CO9/Time!$F$18*Time!CO20</f>
        <v/>
      </c>
      <c r="CP11" s="19">
        <f>Inputs!$F$77*Time!CP9/Time!$F$18*Time!CP20</f>
        <v/>
      </c>
      <c r="CQ11" s="19">
        <f>Inputs!$F$77*Time!CQ9/Time!$F$18*Time!CQ20</f>
        <v/>
      </c>
      <c r="CR11" s="19">
        <f>Inputs!$F$77*Time!CR9/Time!$F$18*Time!CR20</f>
        <v/>
      </c>
      <c r="CS11" s="19">
        <f>Inputs!$F$77*Time!CS9/Time!$F$18*Time!CS20</f>
        <v/>
      </c>
      <c r="CT11" s="19">
        <f>Inputs!$F$77*Time!CT9/Time!$F$18*Time!CT20</f>
        <v/>
      </c>
      <c r="CU11" s="19">
        <f>Inputs!$F$77*Time!CU9/Time!$F$18*Time!CU20</f>
        <v/>
      </c>
      <c r="CV11" s="19">
        <f>Inputs!$F$77*Time!CV9/Time!$F$18*Time!CV20</f>
        <v/>
      </c>
      <c r="CW11" s="19">
        <f>Inputs!$F$77*Time!CW9/Time!$F$18*Time!CW20</f>
        <v/>
      </c>
      <c r="CX11" s="19">
        <f>Inputs!$F$77*Time!CX9/Time!$F$18*Time!CX20</f>
        <v/>
      </c>
      <c r="CY11" s="19">
        <f>Inputs!$F$77*Time!CY9/Time!$F$18*Time!CY20</f>
        <v/>
      </c>
      <c r="CZ11" s="19">
        <f>Inputs!$F$77*Time!CZ9/Time!$F$18*Time!CZ20</f>
        <v/>
      </c>
      <c r="DA11" s="19">
        <f>Inputs!$F$77*Time!DA9/Time!$F$18*Time!DA20</f>
        <v/>
      </c>
      <c r="DB11" s="19">
        <f>Inputs!$F$77*Time!DB9/Time!$F$18*Time!DB20</f>
        <v/>
      </c>
    </row>
    <row r="12">
      <c r="D12" t="inlineStr">
        <is>
          <t>Contingency</t>
        </is>
      </c>
      <c r="E12" t="inlineStr">
        <is>
          <t>ARD m</t>
        </is>
      </c>
      <c r="G12" s="19">
        <f>SUM(J12:DB12)</f>
        <v/>
      </c>
      <c r="J12" s="19">
        <f>Inputs!$F$78*Inputs!J270/SUM(Inputs!$J$270:$DB$270)</f>
        <v/>
      </c>
      <c r="K12" s="19">
        <f>Inputs!$F$78*Inputs!K270/SUM(Inputs!$J$270:$DB$270)</f>
        <v/>
      </c>
      <c r="L12" s="19">
        <f>Inputs!$F$78*Inputs!L270/SUM(Inputs!$J$270:$DB$270)</f>
        <v/>
      </c>
      <c r="M12" s="19">
        <f>Inputs!$F$78*Inputs!M270/SUM(Inputs!$J$270:$DB$270)</f>
        <v/>
      </c>
      <c r="N12" s="19">
        <f>Inputs!$F$78*Inputs!N270/SUM(Inputs!$J$270:$DB$270)</f>
        <v/>
      </c>
      <c r="O12" s="19">
        <f>Inputs!$F$78*Inputs!O270/SUM(Inputs!$J$270:$DB$270)</f>
        <v/>
      </c>
      <c r="P12" s="19">
        <f>Inputs!$F$78*Inputs!P270/SUM(Inputs!$J$270:$DB$270)</f>
        <v/>
      </c>
      <c r="Q12" s="19">
        <f>Inputs!$F$78*Inputs!Q270/SUM(Inputs!$J$270:$DB$270)</f>
        <v/>
      </c>
      <c r="R12" s="19">
        <f>Inputs!$F$78*Inputs!R270/SUM(Inputs!$J$270:$DB$270)</f>
        <v/>
      </c>
      <c r="S12" s="19">
        <f>Inputs!$F$78*Inputs!S270/SUM(Inputs!$J$270:$DB$270)</f>
        <v/>
      </c>
      <c r="T12" s="19">
        <f>Inputs!$F$78*Inputs!T270/SUM(Inputs!$J$270:$DB$270)</f>
        <v/>
      </c>
      <c r="U12" s="19">
        <f>Inputs!$F$78*Inputs!U270/SUM(Inputs!$J$270:$DB$270)</f>
        <v/>
      </c>
      <c r="V12" s="19">
        <f>Inputs!$F$78*Inputs!V270/SUM(Inputs!$J$270:$DB$270)</f>
        <v/>
      </c>
      <c r="W12" s="19">
        <f>Inputs!$F$78*Inputs!W270/SUM(Inputs!$J$270:$DB$270)</f>
        <v/>
      </c>
      <c r="X12" s="19">
        <f>Inputs!$F$78*Inputs!X270/SUM(Inputs!$J$270:$DB$270)</f>
        <v/>
      </c>
      <c r="Y12" s="19">
        <f>Inputs!$F$78*Inputs!Y270/SUM(Inputs!$J$270:$DB$270)</f>
        <v/>
      </c>
      <c r="Z12" s="19">
        <f>Inputs!$F$78*Inputs!Z270/SUM(Inputs!$J$270:$DB$270)</f>
        <v/>
      </c>
      <c r="AA12" s="19">
        <f>Inputs!$F$78*Inputs!AA270/SUM(Inputs!$J$270:$DB$270)</f>
        <v/>
      </c>
      <c r="AB12" s="19">
        <f>Inputs!$F$78*Inputs!AB270/SUM(Inputs!$J$270:$DB$270)</f>
        <v/>
      </c>
      <c r="AC12" s="19">
        <f>Inputs!$F$78*Inputs!AC270/SUM(Inputs!$J$270:$DB$270)</f>
        <v/>
      </c>
      <c r="AD12" s="19">
        <f>Inputs!$F$78*Inputs!AD270/SUM(Inputs!$J$270:$DB$270)</f>
        <v/>
      </c>
      <c r="AE12" s="19">
        <f>Inputs!$F$78*Inputs!AE270/SUM(Inputs!$J$270:$DB$270)</f>
        <v/>
      </c>
      <c r="AF12" s="19">
        <f>Inputs!$F$78*Inputs!AF270/SUM(Inputs!$J$270:$DB$270)</f>
        <v/>
      </c>
      <c r="AG12" s="19">
        <f>Inputs!$F$78*Inputs!AG270/SUM(Inputs!$J$270:$DB$270)</f>
        <v/>
      </c>
      <c r="AH12" s="19">
        <f>Inputs!$F$78*Inputs!AH270/SUM(Inputs!$J$270:$DB$270)</f>
        <v/>
      </c>
      <c r="AI12" s="19">
        <f>Inputs!$F$78*Inputs!AI270/SUM(Inputs!$J$270:$DB$270)</f>
        <v/>
      </c>
      <c r="AJ12" s="19">
        <f>Inputs!$F$78*Inputs!AJ270/SUM(Inputs!$J$270:$DB$270)</f>
        <v/>
      </c>
      <c r="AK12" s="19">
        <f>Inputs!$F$78*Inputs!AK270/SUM(Inputs!$J$270:$DB$270)</f>
        <v/>
      </c>
      <c r="AL12" s="19">
        <f>Inputs!$F$78*Inputs!AL270/SUM(Inputs!$J$270:$DB$270)</f>
        <v/>
      </c>
      <c r="AM12" s="19">
        <f>Inputs!$F$78*Inputs!AM270/SUM(Inputs!$J$270:$DB$270)</f>
        <v/>
      </c>
      <c r="AN12" s="19">
        <f>Inputs!$F$78*Inputs!AN270/SUM(Inputs!$J$270:$DB$270)</f>
        <v/>
      </c>
      <c r="AO12" s="19">
        <f>Inputs!$F$78*Inputs!AO270/SUM(Inputs!$J$270:$DB$270)</f>
        <v/>
      </c>
      <c r="AP12" s="19">
        <f>Inputs!$F$78*Inputs!AP270/SUM(Inputs!$J$270:$DB$270)</f>
        <v/>
      </c>
      <c r="AQ12" s="19">
        <f>Inputs!$F$78*Inputs!AQ270/SUM(Inputs!$J$270:$DB$270)</f>
        <v/>
      </c>
      <c r="AR12" s="19">
        <f>Inputs!$F$78*Inputs!AR270/SUM(Inputs!$J$270:$DB$270)</f>
        <v/>
      </c>
      <c r="AS12" s="19">
        <f>Inputs!$F$78*Inputs!AS270/SUM(Inputs!$J$270:$DB$270)</f>
        <v/>
      </c>
      <c r="AT12" s="19">
        <f>Inputs!$F$78*Inputs!AT270/SUM(Inputs!$J$270:$DB$270)</f>
        <v/>
      </c>
      <c r="AU12" s="19">
        <f>Inputs!$F$78*Inputs!AU270/SUM(Inputs!$J$270:$DB$270)</f>
        <v/>
      </c>
      <c r="AV12" s="19">
        <f>Inputs!$F$78*Inputs!AV270/SUM(Inputs!$J$270:$DB$270)</f>
        <v/>
      </c>
      <c r="AW12" s="19">
        <f>Inputs!$F$78*Inputs!AW270/SUM(Inputs!$J$270:$DB$270)</f>
        <v/>
      </c>
      <c r="AX12" s="19">
        <f>Inputs!$F$78*Inputs!AX270/SUM(Inputs!$J$270:$DB$270)</f>
        <v/>
      </c>
      <c r="AY12" s="19">
        <f>Inputs!$F$78*Inputs!AY270/SUM(Inputs!$J$270:$DB$270)</f>
        <v/>
      </c>
      <c r="AZ12" s="19">
        <f>Inputs!$F$78*Inputs!AZ270/SUM(Inputs!$J$270:$DB$270)</f>
        <v/>
      </c>
      <c r="BA12" s="19">
        <f>Inputs!$F$78*Inputs!BA270/SUM(Inputs!$J$270:$DB$270)</f>
        <v/>
      </c>
      <c r="BB12" s="19">
        <f>Inputs!$F$78*Inputs!BB270/SUM(Inputs!$J$270:$DB$270)</f>
        <v/>
      </c>
      <c r="BC12" s="19">
        <f>Inputs!$F$78*Inputs!BC270/SUM(Inputs!$J$270:$DB$270)</f>
        <v/>
      </c>
      <c r="BD12" s="19">
        <f>Inputs!$F$78*Inputs!BD270/SUM(Inputs!$J$270:$DB$270)</f>
        <v/>
      </c>
      <c r="BE12" s="19">
        <f>Inputs!$F$78*Inputs!BE270/SUM(Inputs!$J$270:$DB$270)</f>
        <v/>
      </c>
      <c r="BF12" s="19">
        <f>Inputs!$F$78*Inputs!BF270/SUM(Inputs!$J$270:$DB$270)</f>
        <v/>
      </c>
      <c r="BG12" s="19">
        <f>Inputs!$F$78*Inputs!BG270/SUM(Inputs!$J$270:$DB$270)</f>
        <v/>
      </c>
      <c r="BH12" s="19">
        <f>Inputs!$F$78*Inputs!BH270/SUM(Inputs!$J$270:$DB$270)</f>
        <v/>
      </c>
      <c r="BI12" s="19">
        <f>Inputs!$F$78*Inputs!BI270/SUM(Inputs!$J$270:$DB$270)</f>
        <v/>
      </c>
      <c r="BJ12" s="19">
        <f>Inputs!$F$78*Inputs!BJ270/SUM(Inputs!$J$270:$DB$270)</f>
        <v/>
      </c>
      <c r="BK12" s="19">
        <f>Inputs!$F$78*Inputs!BK270/SUM(Inputs!$J$270:$DB$270)</f>
        <v/>
      </c>
      <c r="BL12" s="19">
        <f>Inputs!$F$78*Inputs!BL270/SUM(Inputs!$J$270:$DB$270)</f>
        <v/>
      </c>
      <c r="BM12" s="19">
        <f>Inputs!$F$78*Inputs!BM270/SUM(Inputs!$J$270:$DB$270)</f>
        <v/>
      </c>
      <c r="BN12" s="19">
        <f>Inputs!$F$78*Inputs!BN270/SUM(Inputs!$J$270:$DB$270)</f>
        <v/>
      </c>
      <c r="BO12" s="19">
        <f>Inputs!$F$78*Inputs!BO270/SUM(Inputs!$J$270:$DB$270)</f>
        <v/>
      </c>
      <c r="BP12" s="19">
        <f>Inputs!$F$78*Inputs!BP270/SUM(Inputs!$J$270:$DB$270)</f>
        <v/>
      </c>
      <c r="BQ12" s="19">
        <f>Inputs!$F$78*Inputs!BQ270/SUM(Inputs!$J$270:$DB$270)</f>
        <v/>
      </c>
      <c r="BR12" s="19">
        <f>Inputs!$F$78*Inputs!BR270/SUM(Inputs!$J$270:$DB$270)</f>
        <v/>
      </c>
      <c r="BS12" s="19">
        <f>Inputs!$F$78*Inputs!BS270/SUM(Inputs!$J$270:$DB$270)</f>
        <v/>
      </c>
      <c r="BT12" s="19">
        <f>Inputs!$F$78*Inputs!BT270/SUM(Inputs!$J$270:$DB$270)</f>
        <v/>
      </c>
      <c r="BU12" s="19">
        <f>Inputs!$F$78*Inputs!BU270/SUM(Inputs!$J$270:$DB$270)</f>
        <v/>
      </c>
      <c r="BV12" s="19">
        <f>Inputs!$F$78*Inputs!BV270/SUM(Inputs!$J$270:$DB$270)</f>
        <v/>
      </c>
      <c r="BW12" s="19">
        <f>Inputs!$F$78*Inputs!BW270/SUM(Inputs!$J$270:$DB$270)</f>
        <v/>
      </c>
      <c r="BX12" s="19">
        <f>Inputs!$F$78*Inputs!BX270/SUM(Inputs!$J$270:$DB$270)</f>
        <v/>
      </c>
      <c r="BY12" s="19">
        <f>Inputs!$F$78*Inputs!BY270/SUM(Inputs!$J$270:$DB$270)</f>
        <v/>
      </c>
      <c r="BZ12" s="19">
        <f>Inputs!$F$78*Inputs!BZ270/SUM(Inputs!$J$270:$DB$270)</f>
        <v/>
      </c>
      <c r="CA12" s="19">
        <f>Inputs!$F$78*Inputs!CA270/SUM(Inputs!$J$270:$DB$270)</f>
        <v/>
      </c>
      <c r="CB12" s="19">
        <f>Inputs!$F$78*Inputs!CB270/SUM(Inputs!$J$270:$DB$270)</f>
        <v/>
      </c>
      <c r="CC12" s="19">
        <f>Inputs!$F$78*Inputs!CC270/SUM(Inputs!$J$270:$DB$270)</f>
        <v/>
      </c>
      <c r="CD12" s="19">
        <f>Inputs!$F$78*Inputs!CD270/SUM(Inputs!$J$270:$DB$270)</f>
        <v/>
      </c>
      <c r="CE12" s="19">
        <f>Inputs!$F$78*Inputs!CE270/SUM(Inputs!$J$270:$DB$270)</f>
        <v/>
      </c>
      <c r="CF12" s="19">
        <f>Inputs!$F$78*Inputs!CF270/SUM(Inputs!$J$270:$DB$270)</f>
        <v/>
      </c>
      <c r="CG12" s="19">
        <f>Inputs!$F$78*Inputs!CG270/SUM(Inputs!$J$270:$DB$270)</f>
        <v/>
      </c>
      <c r="CH12" s="19">
        <f>Inputs!$F$78*Inputs!CH270/SUM(Inputs!$J$270:$DB$270)</f>
        <v/>
      </c>
      <c r="CI12" s="19">
        <f>Inputs!$F$78*Inputs!CI270/SUM(Inputs!$J$270:$DB$270)</f>
        <v/>
      </c>
      <c r="CJ12" s="19">
        <f>Inputs!$F$78*Inputs!CJ270/SUM(Inputs!$J$270:$DB$270)</f>
        <v/>
      </c>
      <c r="CK12" s="19">
        <f>Inputs!$F$78*Inputs!CK270/SUM(Inputs!$J$270:$DB$270)</f>
        <v/>
      </c>
      <c r="CL12" s="19">
        <f>Inputs!$F$78*Inputs!CL270/SUM(Inputs!$J$270:$DB$270)</f>
        <v/>
      </c>
      <c r="CM12" s="19">
        <f>Inputs!$F$78*Inputs!CM270/SUM(Inputs!$J$270:$DB$270)</f>
        <v/>
      </c>
      <c r="CN12" s="19">
        <f>Inputs!$F$78*Inputs!CN270/SUM(Inputs!$J$270:$DB$270)</f>
        <v/>
      </c>
      <c r="CO12" s="19">
        <f>Inputs!$F$78*Inputs!CO270/SUM(Inputs!$J$270:$DB$270)</f>
        <v/>
      </c>
      <c r="CP12" s="19">
        <f>Inputs!$F$78*Inputs!CP270/SUM(Inputs!$J$270:$DB$270)</f>
        <v/>
      </c>
      <c r="CQ12" s="19">
        <f>Inputs!$F$78*Inputs!CQ270/SUM(Inputs!$J$270:$DB$270)</f>
        <v/>
      </c>
      <c r="CR12" s="19">
        <f>Inputs!$F$78*Inputs!CR270/SUM(Inputs!$J$270:$DB$270)</f>
        <v/>
      </c>
      <c r="CS12" s="19">
        <f>Inputs!$F$78*Inputs!CS270/SUM(Inputs!$J$270:$DB$270)</f>
        <v/>
      </c>
      <c r="CT12" s="19">
        <f>Inputs!$F$78*Inputs!CT270/SUM(Inputs!$J$270:$DB$270)</f>
        <v/>
      </c>
      <c r="CU12" s="19">
        <f>Inputs!$F$78*Inputs!CU270/SUM(Inputs!$J$270:$DB$270)</f>
        <v/>
      </c>
      <c r="CV12" s="19">
        <f>Inputs!$F$78*Inputs!CV270/SUM(Inputs!$J$270:$DB$270)</f>
        <v/>
      </c>
      <c r="CW12" s="19">
        <f>Inputs!$F$78*Inputs!CW270/SUM(Inputs!$J$270:$DB$270)</f>
        <v/>
      </c>
      <c r="CX12" s="19">
        <f>Inputs!$F$78*Inputs!CX270/SUM(Inputs!$J$270:$DB$270)</f>
        <v/>
      </c>
      <c r="CY12" s="19">
        <f>Inputs!$F$78*Inputs!CY270/SUM(Inputs!$J$270:$DB$270)</f>
        <v/>
      </c>
      <c r="CZ12" s="19">
        <f>Inputs!$F$78*Inputs!CZ270/SUM(Inputs!$J$270:$DB$270)</f>
        <v/>
      </c>
      <c r="DA12" s="19">
        <f>Inputs!$F$78*Inputs!DA270/SUM(Inputs!$J$270:$DB$270)</f>
        <v/>
      </c>
      <c r="DB12" s="19">
        <f>Inputs!$F$78*Inputs!DB270/SUM(Inputs!$J$270:$DB$270)</f>
        <v/>
      </c>
    </row>
    <row r="13">
      <c r="D13" t="inlineStr">
        <is>
          <t>Total construction costs before financing</t>
        </is>
      </c>
      <c r="E13" t="inlineStr">
        <is>
          <t>ARD m</t>
        </is>
      </c>
      <c r="G13" s="19">
        <f>SUM(J13:DB13)</f>
        <v/>
      </c>
      <c r="J13" s="19">
        <f>J6+J7+J8+J9+J10+J11+J12</f>
        <v/>
      </c>
      <c r="K13" s="19">
        <f>K6+K7+K8+K9+K10+K11+K12</f>
        <v/>
      </c>
      <c r="L13" s="19">
        <f>L6+L7+L8+L9+L10+L11+L12</f>
        <v/>
      </c>
      <c r="M13" s="19">
        <f>M6+M7+M8+M9+M10+M11+M12</f>
        <v/>
      </c>
      <c r="N13" s="19">
        <f>N6+N7+N8+N9+N10+N11+N12</f>
        <v/>
      </c>
      <c r="O13" s="19">
        <f>O6+O7+O8+O9+O10+O11+O12</f>
        <v/>
      </c>
      <c r="P13" s="19">
        <f>P6+P7+P8+P9+P10+P11+P12</f>
        <v/>
      </c>
      <c r="Q13" s="19">
        <f>Q6+Q7+Q8+Q9+Q10+Q11+Q12</f>
        <v/>
      </c>
      <c r="R13" s="19">
        <f>R6+R7+R8+R9+R10+R11+R12</f>
        <v/>
      </c>
      <c r="S13" s="19">
        <f>S6+S7+S8+S9+S10+S11+S12</f>
        <v/>
      </c>
      <c r="T13" s="19">
        <f>T6+T7+T8+T9+T10+T11+T12</f>
        <v/>
      </c>
      <c r="U13" s="19">
        <f>U6+U7+U8+U9+U10+U11+U12</f>
        <v/>
      </c>
      <c r="V13" s="19">
        <f>V6+V7+V8+V9+V10+V11+V12</f>
        <v/>
      </c>
      <c r="W13" s="19">
        <f>W6+W7+W8+W9+W10+W11+W12</f>
        <v/>
      </c>
      <c r="X13" s="19">
        <f>X6+X7+X8+X9+X10+X11+X12</f>
        <v/>
      </c>
      <c r="Y13" s="19">
        <f>Y6+Y7+Y8+Y9+Y10+Y11+Y12</f>
        <v/>
      </c>
      <c r="Z13" s="19">
        <f>Z6+Z7+Z8+Z9+Z10+Z11+Z12</f>
        <v/>
      </c>
      <c r="AA13" s="19">
        <f>AA6+AA7+AA8+AA9+AA10+AA11+AA12</f>
        <v/>
      </c>
      <c r="AB13" s="19">
        <f>AB6+AB7+AB8+AB9+AB10+AB11+AB12</f>
        <v/>
      </c>
      <c r="AC13" s="19">
        <f>AC6+AC7+AC8+AC9+AC10+AC11+AC12</f>
        <v/>
      </c>
      <c r="AD13" s="19">
        <f>AD6+AD7+AD8+AD9+AD10+AD11+AD12</f>
        <v/>
      </c>
      <c r="AE13" s="19">
        <f>AE6+AE7+AE8+AE9+AE10+AE11+AE12</f>
        <v/>
      </c>
      <c r="AF13" s="19">
        <f>AF6+AF7+AF8+AF9+AF10+AF11+AF12</f>
        <v/>
      </c>
      <c r="AG13" s="19">
        <f>AG6+AG7+AG8+AG9+AG10+AG11+AG12</f>
        <v/>
      </c>
      <c r="AH13" s="19">
        <f>AH6+AH7+AH8+AH9+AH10+AH11+AH12</f>
        <v/>
      </c>
      <c r="AI13" s="19">
        <f>AI6+AI7+AI8+AI9+AI10+AI11+AI12</f>
        <v/>
      </c>
      <c r="AJ13" s="19">
        <f>AJ6+AJ7+AJ8+AJ9+AJ10+AJ11+AJ12</f>
        <v/>
      </c>
      <c r="AK13" s="19">
        <f>AK6+AK7+AK8+AK9+AK10+AK11+AK12</f>
        <v/>
      </c>
      <c r="AL13" s="19">
        <f>AL6+AL7+AL8+AL9+AL10+AL11+AL12</f>
        <v/>
      </c>
      <c r="AM13" s="19">
        <f>AM6+AM7+AM8+AM9+AM10+AM11+AM12</f>
        <v/>
      </c>
      <c r="AN13" s="19">
        <f>AN6+AN7+AN8+AN9+AN10+AN11+AN12</f>
        <v/>
      </c>
      <c r="AO13" s="19">
        <f>AO6+AO7+AO8+AO9+AO10+AO11+AO12</f>
        <v/>
      </c>
      <c r="AP13" s="19">
        <f>AP6+AP7+AP8+AP9+AP10+AP11+AP12</f>
        <v/>
      </c>
      <c r="AQ13" s="19">
        <f>AQ6+AQ7+AQ8+AQ9+AQ10+AQ11+AQ12</f>
        <v/>
      </c>
      <c r="AR13" s="19">
        <f>AR6+AR7+AR8+AR9+AR10+AR11+AR12</f>
        <v/>
      </c>
      <c r="AS13" s="19">
        <f>AS6+AS7+AS8+AS9+AS10+AS11+AS12</f>
        <v/>
      </c>
      <c r="AT13" s="19">
        <f>AT6+AT7+AT8+AT9+AT10+AT11+AT12</f>
        <v/>
      </c>
      <c r="AU13" s="19">
        <f>AU6+AU7+AU8+AU9+AU10+AU11+AU12</f>
        <v/>
      </c>
      <c r="AV13" s="19">
        <f>AV6+AV7+AV8+AV9+AV10+AV11+AV12</f>
        <v/>
      </c>
      <c r="AW13" s="19">
        <f>AW6+AW7+AW8+AW9+AW10+AW11+AW12</f>
        <v/>
      </c>
      <c r="AX13" s="19">
        <f>AX6+AX7+AX8+AX9+AX10+AX11+AX12</f>
        <v/>
      </c>
      <c r="AY13" s="19">
        <f>AY6+AY7+AY8+AY9+AY10+AY11+AY12</f>
        <v/>
      </c>
      <c r="AZ13" s="19">
        <f>AZ6+AZ7+AZ8+AZ9+AZ10+AZ11+AZ12</f>
        <v/>
      </c>
      <c r="BA13" s="19">
        <f>BA6+BA7+BA8+BA9+BA10+BA11+BA12</f>
        <v/>
      </c>
      <c r="BB13" s="19">
        <f>BB6+BB7+BB8+BB9+BB10+BB11+BB12</f>
        <v/>
      </c>
      <c r="BC13" s="19">
        <f>BC6+BC7+BC8+BC9+BC10+BC11+BC12</f>
        <v/>
      </c>
      <c r="BD13" s="19">
        <f>BD6+BD7+BD8+BD9+BD10+BD11+BD12</f>
        <v/>
      </c>
      <c r="BE13" s="19">
        <f>BE6+BE7+BE8+BE9+BE10+BE11+BE12</f>
        <v/>
      </c>
      <c r="BF13" s="19">
        <f>BF6+BF7+BF8+BF9+BF10+BF11+BF12</f>
        <v/>
      </c>
      <c r="BG13" s="19">
        <f>BG6+BG7+BG8+BG9+BG10+BG11+BG12</f>
        <v/>
      </c>
      <c r="BH13" s="19">
        <f>BH6+BH7+BH8+BH9+BH10+BH11+BH12</f>
        <v/>
      </c>
      <c r="BI13" s="19">
        <f>BI6+BI7+BI8+BI9+BI10+BI11+BI12</f>
        <v/>
      </c>
      <c r="BJ13" s="19">
        <f>BJ6+BJ7+BJ8+BJ9+BJ10+BJ11+BJ12</f>
        <v/>
      </c>
      <c r="BK13" s="19">
        <f>BK6+BK7+BK8+BK9+BK10+BK11+BK12</f>
        <v/>
      </c>
      <c r="BL13" s="19">
        <f>BL6+BL7+BL8+BL9+BL10+BL11+BL12</f>
        <v/>
      </c>
      <c r="BM13" s="19">
        <f>BM6+BM7+BM8+BM9+BM10+BM11+BM12</f>
        <v/>
      </c>
      <c r="BN13" s="19">
        <f>BN6+BN7+BN8+BN9+BN10+BN11+BN12</f>
        <v/>
      </c>
      <c r="BO13" s="19">
        <f>BO6+BO7+BO8+BO9+BO10+BO11+BO12</f>
        <v/>
      </c>
      <c r="BP13" s="19">
        <f>BP6+BP7+BP8+BP9+BP10+BP11+BP12</f>
        <v/>
      </c>
      <c r="BQ13" s="19">
        <f>BQ6+BQ7+BQ8+BQ9+BQ10+BQ11+BQ12</f>
        <v/>
      </c>
      <c r="BR13" s="19">
        <f>BR6+BR7+BR8+BR9+BR10+BR11+BR12</f>
        <v/>
      </c>
      <c r="BS13" s="19">
        <f>BS6+BS7+BS8+BS9+BS10+BS11+BS12</f>
        <v/>
      </c>
      <c r="BT13" s="19">
        <f>BT6+BT7+BT8+BT9+BT10+BT11+BT12</f>
        <v/>
      </c>
      <c r="BU13" s="19">
        <f>BU6+BU7+BU8+BU9+BU10+BU11+BU12</f>
        <v/>
      </c>
      <c r="BV13" s="19">
        <f>BV6+BV7+BV8+BV9+BV10+BV11+BV12</f>
        <v/>
      </c>
      <c r="BW13" s="19">
        <f>BW6+BW7+BW8+BW9+BW10+BW11+BW12</f>
        <v/>
      </c>
      <c r="BX13" s="19">
        <f>BX6+BX7+BX8+BX9+BX10+BX11+BX12</f>
        <v/>
      </c>
      <c r="BY13" s="19">
        <f>BY6+BY7+BY8+BY9+BY10+BY11+BY12</f>
        <v/>
      </c>
      <c r="BZ13" s="19">
        <f>BZ6+BZ7+BZ8+BZ9+BZ10+BZ11+BZ12</f>
        <v/>
      </c>
      <c r="CA13" s="19">
        <f>CA6+CA7+CA8+CA9+CA10+CA11+CA12</f>
        <v/>
      </c>
      <c r="CB13" s="19">
        <f>CB6+CB7+CB8+CB9+CB10+CB11+CB12</f>
        <v/>
      </c>
      <c r="CC13" s="19">
        <f>CC6+CC7+CC8+CC9+CC10+CC11+CC12</f>
        <v/>
      </c>
      <c r="CD13" s="19">
        <f>CD6+CD7+CD8+CD9+CD10+CD11+CD12</f>
        <v/>
      </c>
      <c r="CE13" s="19">
        <f>CE6+CE7+CE8+CE9+CE10+CE11+CE12</f>
        <v/>
      </c>
      <c r="CF13" s="19">
        <f>CF6+CF7+CF8+CF9+CF10+CF11+CF12</f>
        <v/>
      </c>
      <c r="CG13" s="19">
        <f>CG6+CG7+CG8+CG9+CG10+CG11+CG12</f>
        <v/>
      </c>
      <c r="CH13" s="19">
        <f>CH6+CH7+CH8+CH9+CH10+CH11+CH12</f>
        <v/>
      </c>
      <c r="CI13" s="19">
        <f>CI6+CI7+CI8+CI9+CI10+CI11+CI12</f>
        <v/>
      </c>
      <c r="CJ13" s="19">
        <f>CJ6+CJ7+CJ8+CJ9+CJ10+CJ11+CJ12</f>
        <v/>
      </c>
      <c r="CK13" s="19">
        <f>CK6+CK7+CK8+CK9+CK10+CK11+CK12</f>
        <v/>
      </c>
      <c r="CL13" s="19">
        <f>CL6+CL7+CL8+CL9+CL10+CL11+CL12</f>
        <v/>
      </c>
      <c r="CM13" s="19">
        <f>CM6+CM7+CM8+CM9+CM10+CM11+CM12</f>
        <v/>
      </c>
      <c r="CN13" s="19">
        <f>CN6+CN7+CN8+CN9+CN10+CN11+CN12</f>
        <v/>
      </c>
      <c r="CO13" s="19">
        <f>CO6+CO7+CO8+CO9+CO10+CO11+CO12</f>
        <v/>
      </c>
      <c r="CP13" s="19">
        <f>CP6+CP7+CP8+CP9+CP10+CP11+CP12</f>
        <v/>
      </c>
      <c r="CQ13" s="19">
        <f>CQ6+CQ7+CQ8+CQ9+CQ10+CQ11+CQ12</f>
        <v/>
      </c>
      <c r="CR13" s="19">
        <f>CR6+CR7+CR8+CR9+CR10+CR11+CR12</f>
        <v/>
      </c>
      <c r="CS13" s="19">
        <f>CS6+CS7+CS8+CS9+CS10+CS11+CS12</f>
        <v/>
      </c>
      <c r="CT13" s="19">
        <f>CT6+CT7+CT8+CT9+CT10+CT11+CT12</f>
        <v/>
      </c>
      <c r="CU13" s="19">
        <f>CU6+CU7+CU8+CU9+CU10+CU11+CU12</f>
        <v/>
      </c>
      <c r="CV13" s="19">
        <f>CV6+CV7+CV8+CV9+CV10+CV11+CV12</f>
        <v/>
      </c>
      <c r="CW13" s="19">
        <f>CW6+CW7+CW8+CW9+CW10+CW11+CW12</f>
        <v/>
      </c>
      <c r="CX13" s="19">
        <f>CX6+CX7+CX8+CX9+CX10+CX11+CX12</f>
        <v/>
      </c>
      <c r="CY13" s="19">
        <f>CY6+CY7+CY8+CY9+CY10+CY11+CY12</f>
        <v/>
      </c>
      <c r="CZ13" s="19">
        <f>CZ6+CZ7+CZ8+CZ9+CZ10+CZ11+CZ12</f>
        <v/>
      </c>
      <c r="DA13" s="19">
        <f>DA6+DA7+DA8+DA9+DA10+DA11+DA12</f>
        <v/>
      </c>
      <c r="DB13" s="19">
        <f>DB6+DB7+DB8+DB9+DB10+DB11+DB12</f>
        <v/>
      </c>
    </row>
    <row r="14">
      <c r="D14" t="inlineStr">
        <is>
          <t>Retention deposited at completion (released after defects period)</t>
        </is>
      </c>
      <c r="E14" t="inlineStr">
        <is>
          <t>ARD m</t>
        </is>
      </c>
      <c r="G14" s="19">
        <f>SUM(J14:DB14)</f>
        <v/>
      </c>
      <c r="J14" s="19">
        <f>IF(Time!J8=Inputs!$F$16,Inputs!$F$69*Inputs!$F$71,0)</f>
        <v/>
      </c>
      <c r="K14" s="19">
        <f>IF(Time!K8=Inputs!$F$16,Inputs!$F$69*Inputs!$F$71,0)</f>
        <v/>
      </c>
      <c r="L14" s="19">
        <f>IF(Time!L8=Inputs!$F$16,Inputs!$F$69*Inputs!$F$71,0)</f>
        <v/>
      </c>
      <c r="M14" s="19">
        <f>IF(Time!M8=Inputs!$F$16,Inputs!$F$69*Inputs!$F$71,0)</f>
        <v/>
      </c>
      <c r="N14" s="19">
        <f>IF(Time!N8=Inputs!$F$16,Inputs!$F$69*Inputs!$F$71,0)</f>
        <v/>
      </c>
      <c r="O14" s="19">
        <f>IF(Time!O8=Inputs!$F$16,Inputs!$F$69*Inputs!$F$71,0)</f>
        <v/>
      </c>
      <c r="P14" s="19">
        <f>IF(Time!P8=Inputs!$F$16,Inputs!$F$69*Inputs!$F$71,0)</f>
        <v/>
      </c>
      <c r="Q14" s="19">
        <f>IF(Time!Q8=Inputs!$F$16,Inputs!$F$69*Inputs!$F$71,0)</f>
        <v/>
      </c>
      <c r="R14" s="19">
        <f>IF(Time!R8=Inputs!$F$16,Inputs!$F$69*Inputs!$F$71,0)</f>
        <v/>
      </c>
      <c r="S14" s="19">
        <f>IF(Time!S8=Inputs!$F$16,Inputs!$F$69*Inputs!$F$71,0)</f>
        <v/>
      </c>
      <c r="T14" s="19">
        <f>IF(Time!T8=Inputs!$F$16,Inputs!$F$69*Inputs!$F$71,0)</f>
        <v/>
      </c>
      <c r="U14" s="19">
        <f>IF(Time!U8=Inputs!$F$16,Inputs!$F$69*Inputs!$F$71,0)</f>
        <v/>
      </c>
      <c r="V14" s="19">
        <f>IF(Time!V8=Inputs!$F$16,Inputs!$F$69*Inputs!$F$71,0)</f>
        <v/>
      </c>
      <c r="W14" s="19">
        <f>IF(Time!W8=Inputs!$F$16,Inputs!$F$69*Inputs!$F$71,0)</f>
        <v/>
      </c>
      <c r="X14" s="19">
        <f>IF(Time!X8=Inputs!$F$16,Inputs!$F$69*Inputs!$F$71,0)</f>
        <v/>
      </c>
      <c r="Y14" s="19">
        <f>IF(Time!Y8=Inputs!$F$16,Inputs!$F$69*Inputs!$F$71,0)</f>
        <v/>
      </c>
      <c r="Z14" s="19">
        <f>IF(Time!Z8=Inputs!$F$16,Inputs!$F$69*Inputs!$F$71,0)</f>
        <v/>
      </c>
      <c r="AA14" s="19">
        <f>IF(Time!AA8=Inputs!$F$16,Inputs!$F$69*Inputs!$F$71,0)</f>
        <v/>
      </c>
      <c r="AB14" s="19">
        <f>IF(Time!AB8=Inputs!$F$16,Inputs!$F$69*Inputs!$F$71,0)</f>
        <v/>
      </c>
      <c r="AC14" s="19">
        <f>IF(Time!AC8=Inputs!$F$16,Inputs!$F$69*Inputs!$F$71,0)</f>
        <v/>
      </c>
      <c r="AD14" s="19">
        <f>IF(Time!AD8=Inputs!$F$16,Inputs!$F$69*Inputs!$F$71,0)</f>
        <v/>
      </c>
      <c r="AE14" s="19">
        <f>IF(Time!AE8=Inputs!$F$16,Inputs!$F$69*Inputs!$F$71,0)</f>
        <v/>
      </c>
      <c r="AF14" s="19">
        <f>IF(Time!AF8=Inputs!$F$16,Inputs!$F$69*Inputs!$F$71,0)</f>
        <v/>
      </c>
      <c r="AG14" s="19">
        <f>IF(Time!AG8=Inputs!$F$16,Inputs!$F$69*Inputs!$F$71,0)</f>
        <v/>
      </c>
      <c r="AH14" s="19">
        <f>IF(Time!AH8=Inputs!$F$16,Inputs!$F$69*Inputs!$F$71,0)</f>
        <v/>
      </c>
      <c r="AI14" s="19">
        <f>IF(Time!AI8=Inputs!$F$16,Inputs!$F$69*Inputs!$F$71,0)</f>
        <v/>
      </c>
      <c r="AJ14" s="19">
        <f>IF(Time!AJ8=Inputs!$F$16,Inputs!$F$69*Inputs!$F$71,0)</f>
        <v/>
      </c>
      <c r="AK14" s="19">
        <f>IF(Time!AK8=Inputs!$F$16,Inputs!$F$69*Inputs!$F$71,0)</f>
        <v/>
      </c>
      <c r="AL14" s="19">
        <f>IF(Time!AL8=Inputs!$F$16,Inputs!$F$69*Inputs!$F$71,0)</f>
        <v/>
      </c>
      <c r="AM14" s="19">
        <f>IF(Time!AM8=Inputs!$F$16,Inputs!$F$69*Inputs!$F$71,0)</f>
        <v/>
      </c>
      <c r="AN14" s="19">
        <f>IF(Time!AN8=Inputs!$F$16,Inputs!$F$69*Inputs!$F$71,0)</f>
        <v/>
      </c>
      <c r="AO14" s="19">
        <f>IF(Time!AO8=Inputs!$F$16,Inputs!$F$69*Inputs!$F$71,0)</f>
        <v/>
      </c>
      <c r="AP14" s="19">
        <f>IF(Time!AP8=Inputs!$F$16,Inputs!$F$69*Inputs!$F$71,0)</f>
        <v/>
      </c>
      <c r="AQ14" s="19">
        <f>IF(Time!AQ8=Inputs!$F$16,Inputs!$F$69*Inputs!$F$71,0)</f>
        <v/>
      </c>
      <c r="AR14" s="19">
        <f>IF(Time!AR8=Inputs!$F$16,Inputs!$F$69*Inputs!$F$71,0)</f>
        <v/>
      </c>
      <c r="AS14" s="19">
        <f>IF(Time!AS8=Inputs!$F$16,Inputs!$F$69*Inputs!$F$71,0)</f>
        <v/>
      </c>
      <c r="AT14" s="19">
        <f>IF(Time!AT8=Inputs!$F$16,Inputs!$F$69*Inputs!$F$71,0)</f>
        <v/>
      </c>
      <c r="AU14" s="19">
        <f>IF(Time!AU8=Inputs!$F$16,Inputs!$F$69*Inputs!$F$71,0)</f>
        <v/>
      </c>
      <c r="AV14" s="19">
        <f>IF(Time!AV8=Inputs!$F$16,Inputs!$F$69*Inputs!$F$71,0)</f>
        <v/>
      </c>
      <c r="AW14" s="19">
        <f>IF(Time!AW8=Inputs!$F$16,Inputs!$F$69*Inputs!$F$71,0)</f>
        <v/>
      </c>
      <c r="AX14" s="19">
        <f>IF(Time!AX8=Inputs!$F$16,Inputs!$F$69*Inputs!$F$71,0)</f>
        <v/>
      </c>
      <c r="AY14" s="19">
        <f>IF(Time!AY8=Inputs!$F$16,Inputs!$F$69*Inputs!$F$71,0)</f>
        <v/>
      </c>
      <c r="AZ14" s="19">
        <f>IF(Time!AZ8=Inputs!$F$16,Inputs!$F$69*Inputs!$F$71,0)</f>
        <v/>
      </c>
      <c r="BA14" s="19">
        <f>IF(Time!BA8=Inputs!$F$16,Inputs!$F$69*Inputs!$F$71,0)</f>
        <v/>
      </c>
      <c r="BB14" s="19">
        <f>IF(Time!BB8=Inputs!$F$16,Inputs!$F$69*Inputs!$F$71,0)</f>
        <v/>
      </c>
      <c r="BC14" s="19">
        <f>IF(Time!BC8=Inputs!$F$16,Inputs!$F$69*Inputs!$F$71,0)</f>
        <v/>
      </c>
      <c r="BD14" s="19">
        <f>IF(Time!BD8=Inputs!$F$16,Inputs!$F$69*Inputs!$F$71,0)</f>
        <v/>
      </c>
      <c r="BE14" s="19">
        <f>IF(Time!BE8=Inputs!$F$16,Inputs!$F$69*Inputs!$F$71,0)</f>
        <v/>
      </c>
      <c r="BF14" s="19">
        <f>IF(Time!BF8=Inputs!$F$16,Inputs!$F$69*Inputs!$F$71,0)</f>
        <v/>
      </c>
      <c r="BG14" s="19">
        <f>IF(Time!BG8=Inputs!$F$16,Inputs!$F$69*Inputs!$F$71,0)</f>
        <v/>
      </c>
      <c r="BH14" s="19">
        <f>IF(Time!BH8=Inputs!$F$16,Inputs!$F$69*Inputs!$F$71,0)</f>
        <v/>
      </c>
      <c r="BI14" s="19">
        <f>IF(Time!BI8=Inputs!$F$16,Inputs!$F$69*Inputs!$F$71,0)</f>
        <v/>
      </c>
      <c r="BJ14" s="19">
        <f>IF(Time!BJ8=Inputs!$F$16,Inputs!$F$69*Inputs!$F$71,0)</f>
        <v/>
      </c>
      <c r="BK14" s="19">
        <f>IF(Time!BK8=Inputs!$F$16,Inputs!$F$69*Inputs!$F$71,0)</f>
        <v/>
      </c>
      <c r="BL14" s="19">
        <f>IF(Time!BL8=Inputs!$F$16,Inputs!$F$69*Inputs!$F$71,0)</f>
        <v/>
      </c>
      <c r="BM14" s="19">
        <f>IF(Time!BM8=Inputs!$F$16,Inputs!$F$69*Inputs!$F$71,0)</f>
        <v/>
      </c>
      <c r="BN14" s="19">
        <f>IF(Time!BN8=Inputs!$F$16,Inputs!$F$69*Inputs!$F$71,0)</f>
        <v/>
      </c>
      <c r="BO14" s="19">
        <f>IF(Time!BO8=Inputs!$F$16,Inputs!$F$69*Inputs!$F$71,0)</f>
        <v/>
      </c>
      <c r="BP14" s="19">
        <f>IF(Time!BP8=Inputs!$F$16,Inputs!$F$69*Inputs!$F$71,0)</f>
        <v/>
      </c>
      <c r="BQ14" s="19">
        <f>IF(Time!BQ8=Inputs!$F$16,Inputs!$F$69*Inputs!$F$71,0)</f>
        <v/>
      </c>
      <c r="BR14" s="19">
        <f>IF(Time!BR8=Inputs!$F$16,Inputs!$F$69*Inputs!$F$71,0)</f>
        <v/>
      </c>
      <c r="BS14" s="19">
        <f>IF(Time!BS8=Inputs!$F$16,Inputs!$F$69*Inputs!$F$71,0)</f>
        <v/>
      </c>
      <c r="BT14" s="19">
        <f>IF(Time!BT8=Inputs!$F$16,Inputs!$F$69*Inputs!$F$71,0)</f>
        <v/>
      </c>
      <c r="BU14" s="19">
        <f>IF(Time!BU8=Inputs!$F$16,Inputs!$F$69*Inputs!$F$71,0)</f>
        <v/>
      </c>
      <c r="BV14" s="19">
        <f>IF(Time!BV8=Inputs!$F$16,Inputs!$F$69*Inputs!$F$71,0)</f>
        <v/>
      </c>
      <c r="BW14" s="19">
        <f>IF(Time!BW8=Inputs!$F$16,Inputs!$F$69*Inputs!$F$71,0)</f>
        <v/>
      </c>
      <c r="BX14" s="19">
        <f>IF(Time!BX8=Inputs!$F$16,Inputs!$F$69*Inputs!$F$71,0)</f>
        <v/>
      </c>
      <c r="BY14" s="19">
        <f>IF(Time!BY8=Inputs!$F$16,Inputs!$F$69*Inputs!$F$71,0)</f>
        <v/>
      </c>
      <c r="BZ14" s="19">
        <f>IF(Time!BZ8=Inputs!$F$16,Inputs!$F$69*Inputs!$F$71,0)</f>
        <v/>
      </c>
      <c r="CA14" s="19">
        <f>IF(Time!CA8=Inputs!$F$16,Inputs!$F$69*Inputs!$F$71,0)</f>
        <v/>
      </c>
      <c r="CB14" s="19">
        <f>IF(Time!CB8=Inputs!$F$16,Inputs!$F$69*Inputs!$F$71,0)</f>
        <v/>
      </c>
      <c r="CC14" s="19">
        <f>IF(Time!CC8=Inputs!$F$16,Inputs!$F$69*Inputs!$F$71,0)</f>
        <v/>
      </c>
      <c r="CD14" s="19">
        <f>IF(Time!CD8=Inputs!$F$16,Inputs!$F$69*Inputs!$F$71,0)</f>
        <v/>
      </c>
      <c r="CE14" s="19">
        <f>IF(Time!CE8=Inputs!$F$16,Inputs!$F$69*Inputs!$F$71,0)</f>
        <v/>
      </c>
      <c r="CF14" s="19">
        <f>IF(Time!CF8=Inputs!$F$16,Inputs!$F$69*Inputs!$F$71,0)</f>
        <v/>
      </c>
      <c r="CG14" s="19">
        <f>IF(Time!CG8=Inputs!$F$16,Inputs!$F$69*Inputs!$F$71,0)</f>
        <v/>
      </c>
      <c r="CH14" s="19">
        <f>IF(Time!CH8=Inputs!$F$16,Inputs!$F$69*Inputs!$F$71,0)</f>
        <v/>
      </c>
      <c r="CI14" s="19">
        <f>IF(Time!CI8=Inputs!$F$16,Inputs!$F$69*Inputs!$F$71,0)</f>
        <v/>
      </c>
      <c r="CJ14" s="19">
        <f>IF(Time!CJ8=Inputs!$F$16,Inputs!$F$69*Inputs!$F$71,0)</f>
        <v/>
      </c>
      <c r="CK14" s="19">
        <f>IF(Time!CK8=Inputs!$F$16,Inputs!$F$69*Inputs!$F$71,0)</f>
        <v/>
      </c>
      <c r="CL14" s="19">
        <f>IF(Time!CL8=Inputs!$F$16,Inputs!$F$69*Inputs!$F$71,0)</f>
        <v/>
      </c>
      <c r="CM14" s="19">
        <f>IF(Time!CM8=Inputs!$F$16,Inputs!$F$69*Inputs!$F$71,0)</f>
        <v/>
      </c>
      <c r="CN14" s="19">
        <f>IF(Time!CN8=Inputs!$F$16,Inputs!$F$69*Inputs!$F$71,0)</f>
        <v/>
      </c>
      <c r="CO14" s="19">
        <f>IF(Time!CO8=Inputs!$F$16,Inputs!$F$69*Inputs!$F$71,0)</f>
        <v/>
      </c>
      <c r="CP14" s="19">
        <f>IF(Time!CP8=Inputs!$F$16,Inputs!$F$69*Inputs!$F$71,0)</f>
        <v/>
      </c>
      <c r="CQ14" s="19">
        <f>IF(Time!CQ8=Inputs!$F$16,Inputs!$F$69*Inputs!$F$71,0)</f>
        <v/>
      </c>
      <c r="CR14" s="19">
        <f>IF(Time!CR8=Inputs!$F$16,Inputs!$F$69*Inputs!$F$71,0)</f>
        <v/>
      </c>
      <c r="CS14" s="19">
        <f>IF(Time!CS8=Inputs!$F$16,Inputs!$F$69*Inputs!$F$71,0)</f>
        <v/>
      </c>
      <c r="CT14" s="19">
        <f>IF(Time!CT8=Inputs!$F$16,Inputs!$F$69*Inputs!$F$71,0)</f>
        <v/>
      </c>
      <c r="CU14" s="19">
        <f>IF(Time!CU8=Inputs!$F$16,Inputs!$F$69*Inputs!$F$71,0)</f>
        <v/>
      </c>
      <c r="CV14" s="19">
        <f>IF(Time!CV8=Inputs!$F$16,Inputs!$F$69*Inputs!$F$71,0)</f>
        <v/>
      </c>
      <c r="CW14" s="19">
        <f>IF(Time!CW8=Inputs!$F$16,Inputs!$F$69*Inputs!$F$71,0)</f>
        <v/>
      </c>
      <c r="CX14" s="19">
        <f>IF(Time!CX8=Inputs!$F$16,Inputs!$F$69*Inputs!$F$71,0)</f>
        <v/>
      </c>
      <c r="CY14" s="19">
        <f>IF(Time!CY8=Inputs!$F$16,Inputs!$F$69*Inputs!$F$71,0)</f>
        <v/>
      </c>
      <c r="CZ14" s="19">
        <f>IF(Time!CZ8=Inputs!$F$16,Inputs!$F$69*Inputs!$F$71,0)</f>
        <v/>
      </c>
      <c r="DA14" s="19">
        <f>IF(Time!DA8=Inputs!$F$16,Inputs!$F$69*Inputs!$F$71,0)</f>
        <v/>
      </c>
      <c r="DB14" s="19">
        <f>IF(Time!DB8=Inputs!$F$16,Inputs!$F$69*Inputs!$F$71,0)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D1:DB49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Operations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Traffic</t>
        </is>
      </c>
    </row>
    <row r="6">
      <c r="D6" t="inlineStr">
        <is>
          <t>Growth rate for the year</t>
        </is>
      </c>
      <c r="E6" t="inlineStr">
        <is>
          <t>%pa</t>
        </is>
      </c>
      <c r="J6" s="18">
        <f>IF(Time!J11&lt;=Inputs!$F$56,Inputs!$F$244,IF(Time!J11&lt;=Inputs!$F$57,Inputs!$F$245,Inputs!$F$246))</f>
        <v/>
      </c>
      <c r="K6" s="18">
        <f>IF(Time!K11&lt;=Inputs!$F$56,Inputs!$F$244,IF(Time!K11&lt;=Inputs!$F$57,Inputs!$F$245,Inputs!$F$246))</f>
        <v/>
      </c>
      <c r="L6" s="18">
        <f>IF(Time!L11&lt;=Inputs!$F$56,Inputs!$F$244,IF(Time!L11&lt;=Inputs!$F$57,Inputs!$F$245,Inputs!$F$246))</f>
        <v/>
      </c>
      <c r="M6" s="18">
        <f>IF(Time!M11&lt;=Inputs!$F$56,Inputs!$F$244,IF(Time!M11&lt;=Inputs!$F$57,Inputs!$F$245,Inputs!$F$246))</f>
        <v/>
      </c>
      <c r="N6" s="18">
        <f>IF(Time!N11&lt;=Inputs!$F$56,Inputs!$F$244,IF(Time!N11&lt;=Inputs!$F$57,Inputs!$F$245,Inputs!$F$246))</f>
        <v/>
      </c>
      <c r="O6" s="18">
        <f>IF(Time!O11&lt;=Inputs!$F$56,Inputs!$F$244,IF(Time!O11&lt;=Inputs!$F$57,Inputs!$F$245,Inputs!$F$246))</f>
        <v/>
      </c>
      <c r="P6" s="18">
        <f>IF(Time!P11&lt;=Inputs!$F$56,Inputs!$F$244,IF(Time!P11&lt;=Inputs!$F$57,Inputs!$F$245,Inputs!$F$246))</f>
        <v/>
      </c>
      <c r="Q6" s="18">
        <f>IF(Time!Q11&lt;=Inputs!$F$56,Inputs!$F$244,IF(Time!Q11&lt;=Inputs!$F$57,Inputs!$F$245,Inputs!$F$246))</f>
        <v/>
      </c>
      <c r="R6" s="18">
        <f>IF(Time!R11&lt;=Inputs!$F$56,Inputs!$F$244,IF(Time!R11&lt;=Inputs!$F$57,Inputs!$F$245,Inputs!$F$246))</f>
        <v/>
      </c>
      <c r="S6" s="18">
        <f>IF(Time!S11&lt;=Inputs!$F$56,Inputs!$F$244,IF(Time!S11&lt;=Inputs!$F$57,Inputs!$F$245,Inputs!$F$246))</f>
        <v/>
      </c>
      <c r="T6" s="18">
        <f>IF(Time!T11&lt;=Inputs!$F$56,Inputs!$F$244,IF(Time!T11&lt;=Inputs!$F$57,Inputs!$F$245,Inputs!$F$246))</f>
        <v/>
      </c>
      <c r="U6" s="18">
        <f>IF(Time!U11&lt;=Inputs!$F$56,Inputs!$F$244,IF(Time!U11&lt;=Inputs!$F$57,Inputs!$F$245,Inputs!$F$246))</f>
        <v/>
      </c>
      <c r="V6" s="18">
        <f>IF(Time!V11&lt;=Inputs!$F$56,Inputs!$F$244,IF(Time!V11&lt;=Inputs!$F$57,Inputs!$F$245,Inputs!$F$246))</f>
        <v/>
      </c>
      <c r="W6" s="18">
        <f>IF(Time!W11&lt;=Inputs!$F$56,Inputs!$F$244,IF(Time!W11&lt;=Inputs!$F$57,Inputs!$F$245,Inputs!$F$246))</f>
        <v/>
      </c>
      <c r="X6" s="18">
        <f>IF(Time!X11&lt;=Inputs!$F$56,Inputs!$F$244,IF(Time!X11&lt;=Inputs!$F$57,Inputs!$F$245,Inputs!$F$246))</f>
        <v/>
      </c>
      <c r="Y6" s="18">
        <f>IF(Time!Y11&lt;=Inputs!$F$56,Inputs!$F$244,IF(Time!Y11&lt;=Inputs!$F$57,Inputs!$F$245,Inputs!$F$246))</f>
        <v/>
      </c>
      <c r="Z6" s="18">
        <f>IF(Time!Z11&lt;=Inputs!$F$56,Inputs!$F$244,IF(Time!Z11&lt;=Inputs!$F$57,Inputs!$F$245,Inputs!$F$246))</f>
        <v/>
      </c>
      <c r="AA6" s="18">
        <f>IF(Time!AA11&lt;=Inputs!$F$56,Inputs!$F$244,IF(Time!AA11&lt;=Inputs!$F$57,Inputs!$F$245,Inputs!$F$246))</f>
        <v/>
      </c>
      <c r="AB6" s="18">
        <f>IF(Time!AB11&lt;=Inputs!$F$56,Inputs!$F$244,IF(Time!AB11&lt;=Inputs!$F$57,Inputs!$F$245,Inputs!$F$246))</f>
        <v/>
      </c>
      <c r="AC6" s="18">
        <f>IF(Time!AC11&lt;=Inputs!$F$56,Inputs!$F$244,IF(Time!AC11&lt;=Inputs!$F$57,Inputs!$F$245,Inputs!$F$246))</f>
        <v/>
      </c>
      <c r="AD6" s="18">
        <f>IF(Time!AD11&lt;=Inputs!$F$56,Inputs!$F$244,IF(Time!AD11&lt;=Inputs!$F$57,Inputs!$F$245,Inputs!$F$246))</f>
        <v/>
      </c>
      <c r="AE6" s="18">
        <f>IF(Time!AE11&lt;=Inputs!$F$56,Inputs!$F$244,IF(Time!AE11&lt;=Inputs!$F$57,Inputs!$F$245,Inputs!$F$246))</f>
        <v/>
      </c>
      <c r="AF6" s="18">
        <f>IF(Time!AF11&lt;=Inputs!$F$56,Inputs!$F$244,IF(Time!AF11&lt;=Inputs!$F$57,Inputs!$F$245,Inputs!$F$246))</f>
        <v/>
      </c>
      <c r="AG6" s="18">
        <f>IF(Time!AG11&lt;=Inputs!$F$56,Inputs!$F$244,IF(Time!AG11&lt;=Inputs!$F$57,Inputs!$F$245,Inputs!$F$246))</f>
        <v/>
      </c>
      <c r="AH6" s="18">
        <f>IF(Time!AH11&lt;=Inputs!$F$56,Inputs!$F$244,IF(Time!AH11&lt;=Inputs!$F$57,Inputs!$F$245,Inputs!$F$246))</f>
        <v/>
      </c>
      <c r="AI6" s="18">
        <f>IF(Time!AI11&lt;=Inputs!$F$56,Inputs!$F$244,IF(Time!AI11&lt;=Inputs!$F$57,Inputs!$F$245,Inputs!$F$246))</f>
        <v/>
      </c>
      <c r="AJ6" s="18">
        <f>IF(Time!AJ11&lt;=Inputs!$F$56,Inputs!$F$244,IF(Time!AJ11&lt;=Inputs!$F$57,Inputs!$F$245,Inputs!$F$246))</f>
        <v/>
      </c>
      <c r="AK6" s="18">
        <f>IF(Time!AK11&lt;=Inputs!$F$56,Inputs!$F$244,IF(Time!AK11&lt;=Inputs!$F$57,Inputs!$F$245,Inputs!$F$246))</f>
        <v/>
      </c>
      <c r="AL6" s="18">
        <f>IF(Time!AL11&lt;=Inputs!$F$56,Inputs!$F$244,IF(Time!AL11&lt;=Inputs!$F$57,Inputs!$F$245,Inputs!$F$246))</f>
        <v/>
      </c>
      <c r="AM6" s="18">
        <f>IF(Time!AM11&lt;=Inputs!$F$56,Inputs!$F$244,IF(Time!AM11&lt;=Inputs!$F$57,Inputs!$F$245,Inputs!$F$246))</f>
        <v/>
      </c>
      <c r="AN6" s="18">
        <f>IF(Time!AN11&lt;=Inputs!$F$56,Inputs!$F$244,IF(Time!AN11&lt;=Inputs!$F$57,Inputs!$F$245,Inputs!$F$246))</f>
        <v/>
      </c>
      <c r="AO6" s="18">
        <f>IF(Time!AO11&lt;=Inputs!$F$56,Inputs!$F$244,IF(Time!AO11&lt;=Inputs!$F$57,Inputs!$F$245,Inputs!$F$246))</f>
        <v/>
      </c>
      <c r="AP6" s="18">
        <f>IF(Time!AP11&lt;=Inputs!$F$56,Inputs!$F$244,IF(Time!AP11&lt;=Inputs!$F$57,Inputs!$F$245,Inputs!$F$246))</f>
        <v/>
      </c>
      <c r="AQ6" s="18">
        <f>IF(Time!AQ11&lt;=Inputs!$F$56,Inputs!$F$244,IF(Time!AQ11&lt;=Inputs!$F$57,Inputs!$F$245,Inputs!$F$246))</f>
        <v/>
      </c>
      <c r="AR6" s="18">
        <f>IF(Time!AR11&lt;=Inputs!$F$56,Inputs!$F$244,IF(Time!AR11&lt;=Inputs!$F$57,Inputs!$F$245,Inputs!$F$246))</f>
        <v/>
      </c>
      <c r="AS6" s="18">
        <f>IF(Time!AS11&lt;=Inputs!$F$56,Inputs!$F$244,IF(Time!AS11&lt;=Inputs!$F$57,Inputs!$F$245,Inputs!$F$246))</f>
        <v/>
      </c>
      <c r="AT6" s="18">
        <f>IF(Time!AT11&lt;=Inputs!$F$56,Inputs!$F$244,IF(Time!AT11&lt;=Inputs!$F$57,Inputs!$F$245,Inputs!$F$246))</f>
        <v/>
      </c>
      <c r="AU6" s="18">
        <f>IF(Time!AU11&lt;=Inputs!$F$56,Inputs!$F$244,IF(Time!AU11&lt;=Inputs!$F$57,Inputs!$F$245,Inputs!$F$246))</f>
        <v/>
      </c>
      <c r="AV6" s="18">
        <f>IF(Time!AV11&lt;=Inputs!$F$56,Inputs!$F$244,IF(Time!AV11&lt;=Inputs!$F$57,Inputs!$F$245,Inputs!$F$246))</f>
        <v/>
      </c>
      <c r="AW6" s="18">
        <f>IF(Time!AW11&lt;=Inputs!$F$56,Inputs!$F$244,IF(Time!AW11&lt;=Inputs!$F$57,Inputs!$F$245,Inputs!$F$246))</f>
        <v/>
      </c>
      <c r="AX6" s="18">
        <f>IF(Time!AX11&lt;=Inputs!$F$56,Inputs!$F$244,IF(Time!AX11&lt;=Inputs!$F$57,Inputs!$F$245,Inputs!$F$246))</f>
        <v/>
      </c>
      <c r="AY6" s="18">
        <f>IF(Time!AY11&lt;=Inputs!$F$56,Inputs!$F$244,IF(Time!AY11&lt;=Inputs!$F$57,Inputs!$F$245,Inputs!$F$246))</f>
        <v/>
      </c>
      <c r="AZ6" s="18">
        <f>IF(Time!AZ11&lt;=Inputs!$F$56,Inputs!$F$244,IF(Time!AZ11&lt;=Inputs!$F$57,Inputs!$F$245,Inputs!$F$246))</f>
        <v/>
      </c>
      <c r="BA6" s="18">
        <f>IF(Time!BA11&lt;=Inputs!$F$56,Inputs!$F$244,IF(Time!BA11&lt;=Inputs!$F$57,Inputs!$F$245,Inputs!$F$246))</f>
        <v/>
      </c>
      <c r="BB6" s="18">
        <f>IF(Time!BB11&lt;=Inputs!$F$56,Inputs!$F$244,IF(Time!BB11&lt;=Inputs!$F$57,Inputs!$F$245,Inputs!$F$246))</f>
        <v/>
      </c>
      <c r="BC6" s="18">
        <f>IF(Time!BC11&lt;=Inputs!$F$56,Inputs!$F$244,IF(Time!BC11&lt;=Inputs!$F$57,Inputs!$F$245,Inputs!$F$246))</f>
        <v/>
      </c>
      <c r="BD6" s="18">
        <f>IF(Time!BD11&lt;=Inputs!$F$56,Inputs!$F$244,IF(Time!BD11&lt;=Inputs!$F$57,Inputs!$F$245,Inputs!$F$246))</f>
        <v/>
      </c>
      <c r="BE6" s="18">
        <f>IF(Time!BE11&lt;=Inputs!$F$56,Inputs!$F$244,IF(Time!BE11&lt;=Inputs!$F$57,Inputs!$F$245,Inputs!$F$246))</f>
        <v/>
      </c>
      <c r="BF6" s="18">
        <f>IF(Time!BF11&lt;=Inputs!$F$56,Inputs!$F$244,IF(Time!BF11&lt;=Inputs!$F$57,Inputs!$F$245,Inputs!$F$246))</f>
        <v/>
      </c>
      <c r="BG6" s="18">
        <f>IF(Time!BG11&lt;=Inputs!$F$56,Inputs!$F$244,IF(Time!BG11&lt;=Inputs!$F$57,Inputs!$F$245,Inputs!$F$246))</f>
        <v/>
      </c>
      <c r="BH6" s="18">
        <f>IF(Time!BH11&lt;=Inputs!$F$56,Inputs!$F$244,IF(Time!BH11&lt;=Inputs!$F$57,Inputs!$F$245,Inputs!$F$246))</f>
        <v/>
      </c>
      <c r="BI6" s="18">
        <f>IF(Time!BI11&lt;=Inputs!$F$56,Inputs!$F$244,IF(Time!BI11&lt;=Inputs!$F$57,Inputs!$F$245,Inputs!$F$246))</f>
        <v/>
      </c>
      <c r="BJ6" s="18">
        <f>IF(Time!BJ11&lt;=Inputs!$F$56,Inputs!$F$244,IF(Time!BJ11&lt;=Inputs!$F$57,Inputs!$F$245,Inputs!$F$246))</f>
        <v/>
      </c>
      <c r="BK6" s="18">
        <f>IF(Time!BK11&lt;=Inputs!$F$56,Inputs!$F$244,IF(Time!BK11&lt;=Inputs!$F$57,Inputs!$F$245,Inputs!$F$246))</f>
        <v/>
      </c>
      <c r="BL6" s="18">
        <f>IF(Time!BL11&lt;=Inputs!$F$56,Inputs!$F$244,IF(Time!BL11&lt;=Inputs!$F$57,Inputs!$F$245,Inputs!$F$246))</f>
        <v/>
      </c>
      <c r="BM6" s="18">
        <f>IF(Time!BM11&lt;=Inputs!$F$56,Inputs!$F$244,IF(Time!BM11&lt;=Inputs!$F$57,Inputs!$F$245,Inputs!$F$246))</f>
        <v/>
      </c>
      <c r="BN6" s="18">
        <f>IF(Time!BN11&lt;=Inputs!$F$56,Inputs!$F$244,IF(Time!BN11&lt;=Inputs!$F$57,Inputs!$F$245,Inputs!$F$246))</f>
        <v/>
      </c>
      <c r="BO6" s="18">
        <f>IF(Time!BO11&lt;=Inputs!$F$56,Inputs!$F$244,IF(Time!BO11&lt;=Inputs!$F$57,Inputs!$F$245,Inputs!$F$246))</f>
        <v/>
      </c>
      <c r="BP6" s="18">
        <f>IF(Time!BP11&lt;=Inputs!$F$56,Inputs!$F$244,IF(Time!BP11&lt;=Inputs!$F$57,Inputs!$F$245,Inputs!$F$246))</f>
        <v/>
      </c>
      <c r="BQ6" s="18">
        <f>IF(Time!BQ11&lt;=Inputs!$F$56,Inputs!$F$244,IF(Time!BQ11&lt;=Inputs!$F$57,Inputs!$F$245,Inputs!$F$246))</f>
        <v/>
      </c>
      <c r="BR6" s="18">
        <f>IF(Time!BR11&lt;=Inputs!$F$56,Inputs!$F$244,IF(Time!BR11&lt;=Inputs!$F$57,Inputs!$F$245,Inputs!$F$246))</f>
        <v/>
      </c>
      <c r="BS6" s="18">
        <f>IF(Time!BS11&lt;=Inputs!$F$56,Inputs!$F$244,IF(Time!BS11&lt;=Inputs!$F$57,Inputs!$F$245,Inputs!$F$246))</f>
        <v/>
      </c>
      <c r="BT6" s="18">
        <f>IF(Time!BT11&lt;=Inputs!$F$56,Inputs!$F$244,IF(Time!BT11&lt;=Inputs!$F$57,Inputs!$F$245,Inputs!$F$246))</f>
        <v/>
      </c>
      <c r="BU6" s="18">
        <f>IF(Time!BU11&lt;=Inputs!$F$56,Inputs!$F$244,IF(Time!BU11&lt;=Inputs!$F$57,Inputs!$F$245,Inputs!$F$246))</f>
        <v/>
      </c>
      <c r="BV6" s="18">
        <f>IF(Time!BV11&lt;=Inputs!$F$56,Inputs!$F$244,IF(Time!BV11&lt;=Inputs!$F$57,Inputs!$F$245,Inputs!$F$246))</f>
        <v/>
      </c>
      <c r="BW6" s="18">
        <f>IF(Time!BW11&lt;=Inputs!$F$56,Inputs!$F$244,IF(Time!BW11&lt;=Inputs!$F$57,Inputs!$F$245,Inputs!$F$246))</f>
        <v/>
      </c>
      <c r="BX6" s="18">
        <f>IF(Time!BX11&lt;=Inputs!$F$56,Inputs!$F$244,IF(Time!BX11&lt;=Inputs!$F$57,Inputs!$F$245,Inputs!$F$246))</f>
        <v/>
      </c>
      <c r="BY6" s="18">
        <f>IF(Time!BY11&lt;=Inputs!$F$56,Inputs!$F$244,IF(Time!BY11&lt;=Inputs!$F$57,Inputs!$F$245,Inputs!$F$246))</f>
        <v/>
      </c>
      <c r="BZ6" s="18">
        <f>IF(Time!BZ11&lt;=Inputs!$F$56,Inputs!$F$244,IF(Time!BZ11&lt;=Inputs!$F$57,Inputs!$F$245,Inputs!$F$246))</f>
        <v/>
      </c>
      <c r="CA6" s="18">
        <f>IF(Time!CA11&lt;=Inputs!$F$56,Inputs!$F$244,IF(Time!CA11&lt;=Inputs!$F$57,Inputs!$F$245,Inputs!$F$246))</f>
        <v/>
      </c>
      <c r="CB6" s="18">
        <f>IF(Time!CB11&lt;=Inputs!$F$56,Inputs!$F$244,IF(Time!CB11&lt;=Inputs!$F$57,Inputs!$F$245,Inputs!$F$246))</f>
        <v/>
      </c>
      <c r="CC6" s="18">
        <f>IF(Time!CC11&lt;=Inputs!$F$56,Inputs!$F$244,IF(Time!CC11&lt;=Inputs!$F$57,Inputs!$F$245,Inputs!$F$246))</f>
        <v/>
      </c>
      <c r="CD6" s="18">
        <f>IF(Time!CD11&lt;=Inputs!$F$56,Inputs!$F$244,IF(Time!CD11&lt;=Inputs!$F$57,Inputs!$F$245,Inputs!$F$246))</f>
        <v/>
      </c>
      <c r="CE6" s="18">
        <f>IF(Time!CE11&lt;=Inputs!$F$56,Inputs!$F$244,IF(Time!CE11&lt;=Inputs!$F$57,Inputs!$F$245,Inputs!$F$246))</f>
        <v/>
      </c>
      <c r="CF6" s="18">
        <f>IF(Time!CF11&lt;=Inputs!$F$56,Inputs!$F$244,IF(Time!CF11&lt;=Inputs!$F$57,Inputs!$F$245,Inputs!$F$246))</f>
        <v/>
      </c>
      <c r="CG6" s="18">
        <f>IF(Time!CG11&lt;=Inputs!$F$56,Inputs!$F$244,IF(Time!CG11&lt;=Inputs!$F$57,Inputs!$F$245,Inputs!$F$246))</f>
        <v/>
      </c>
      <c r="CH6" s="18">
        <f>IF(Time!CH11&lt;=Inputs!$F$56,Inputs!$F$244,IF(Time!CH11&lt;=Inputs!$F$57,Inputs!$F$245,Inputs!$F$246))</f>
        <v/>
      </c>
      <c r="CI6" s="18">
        <f>IF(Time!CI11&lt;=Inputs!$F$56,Inputs!$F$244,IF(Time!CI11&lt;=Inputs!$F$57,Inputs!$F$245,Inputs!$F$246))</f>
        <v/>
      </c>
      <c r="CJ6" s="18">
        <f>IF(Time!CJ11&lt;=Inputs!$F$56,Inputs!$F$244,IF(Time!CJ11&lt;=Inputs!$F$57,Inputs!$F$245,Inputs!$F$246))</f>
        <v/>
      </c>
      <c r="CK6" s="18">
        <f>IF(Time!CK11&lt;=Inputs!$F$56,Inputs!$F$244,IF(Time!CK11&lt;=Inputs!$F$57,Inputs!$F$245,Inputs!$F$246))</f>
        <v/>
      </c>
      <c r="CL6" s="18">
        <f>IF(Time!CL11&lt;=Inputs!$F$56,Inputs!$F$244,IF(Time!CL11&lt;=Inputs!$F$57,Inputs!$F$245,Inputs!$F$246))</f>
        <v/>
      </c>
      <c r="CM6" s="18">
        <f>IF(Time!CM11&lt;=Inputs!$F$56,Inputs!$F$244,IF(Time!CM11&lt;=Inputs!$F$57,Inputs!$F$245,Inputs!$F$246))</f>
        <v/>
      </c>
      <c r="CN6" s="18">
        <f>IF(Time!CN11&lt;=Inputs!$F$56,Inputs!$F$244,IF(Time!CN11&lt;=Inputs!$F$57,Inputs!$F$245,Inputs!$F$246))</f>
        <v/>
      </c>
      <c r="CO6" s="18">
        <f>IF(Time!CO11&lt;=Inputs!$F$56,Inputs!$F$244,IF(Time!CO11&lt;=Inputs!$F$57,Inputs!$F$245,Inputs!$F$246))</f>
        <v/>
      </c>
      <c r="CP6" s="18">
        <f>IF(Time!CP11&lt;=Inputs!$F$56,Inputs!$F$244,IF(Time!CP11&lt;=Inputs!$F$57,Inputs!$F$245,Inputs!$F$246))</f>
        <v/>
      </c>
      <c r="CQ6" s="18">
        <f>IF(Time!CQ11&lt;=Inputs!$F$56,Inputs!$F$244,IF(Time!CQ11&lt;=Inputs!$F$57,Inputs!$F$245,Inputs!$F$246))</f>
        <v/>
      </c>
      <c r="CR6" s="18">
        <f>IF(Time!CR11&lt;=Inputs!$F$56,Inputs!$F$244,IF(Time!CR11&lt;=Inputs!$F$57,Inputs!$F$245,Inputs!$F$246))</f>
        <v/>
      </c>
      <c r="CS6" s="18">
        <f>IF(Time!CS11&lt;=Inputs!$F$56,Inputs!$F$244,IF(Time!CS11&lt;=Inputs!$F$57,Inputs!$F$245,Inputs!$F$246))</f>
        <v/>
      </c>
      <c r="CT6" s="18">
        <f>IF(Time!CT11&lt;=Inputs!$F$56,Inputs!$F$244,IF(Time!CT11&lt;=Inputs!$F$57,Inputs!$F$245,Inputs!$F$246))</f>
        <v/>
      </c>
      <c r="CU6" s="18">
        <f>IF(Time!CU11&lt;=Inputs!$F$56,Inputs!$F$244,IF(Time!CU11&lt;=Inputs!$F$57,Inputs!$F$245,Inputs!$F$246))</f>
        <v/>
      </c>
      <c r="CV6" s="18">
        <f>IF(Time!CV11&lt;=Inputs!$F$56,Inputs!$F$244,IF(Time!CV11&lt;=Inputs!$F$57,Inputs!$F$245,Inputs!$F$246))</f>
        <v/>
      </c>
      <c r="CW6" s="18">
        <f>IF(Time!CW11&lt;=Inputs!$F$56,Inputs!$F$244,IF(Time!CW11&lt;=Inputs!$F$57,Inputs!$F$245,Inputs!$F$246))</f>
        <v/>
      </c>
      <c r="CX6" s="18">
        <f>IF(Time!CX11&lt;=Inputs!$F$56,Inputs!$F$244,IF(Time!CX11&lt;=Inputs!$F$57,Inputs!$F$245,Inputs!$F$246))</f>
        <v/>
      </c>
      <c r="CY6" s="18">
        <f>IF(Time!CY11&lt;=Inputs!$F$56,Inputs!$F$244,IF(Time!CY11&lt;=Inputs!$F$57,Inputs!$F$245,Inputs!$F$246))</f>
        <v/>
      </c>
      <c r="CZ6" s="18">
        <f>IF(Time!CZ11&lt;=Inputs!$F$56,Inputs!$F$244,IF(Time!CZ11&lt;=Inputs!$F$57,Inputs!$F$245,Inputs!$F$246))</f>
        <v/>
      </c>
      <c r="DA6" s="18">
        <f>IF(Time!DA11&lt;=Inputs!$F$56,Inputs!$F$244,IF(Time!DA11&lt;=Inputs!$F$57,Inputs!$F$245,Inputs!$F$246))</f>
        <v/>
      </c>
      <c r="DB6" s="18">
        <f>IF(Time!DB11&lt;=Inputs!$F$56,Inputs!$F$244,IF(Time!DB11&lt;=Inputs!$F$57,Inputs!$F$245,Inputs!$F$246))</f>
        <v/>
      </c>
    </row>
    <row r="7">
      <c r="D7" t="inlineStr">
        <is>
          <t>Underlying traffic level</t>
        </is>
      </c>
      <c r="E7" t="inlineStr">
        <is>
          <t>k/day</t>
        </is>
      </c>
      <c r="J7" s="16">
        <f>IF(Time!J11&lt;=Inputs!$F$243,Inputs!$F$242/(1+Inputs!$F$244/100)^(Inputs!$F$243-Time!J11),I7*IF(Time!J11&gt;Time!I11,1+J6/100,1))</f>
        <v/>
      </c>
      <c r="K7" s="16">
        <f>IF(Time!K11&lt;=Inputs!$F$243,Inputs!$F$242/(1+Inputs!$F$244/100)^(Inputs!$F$243-Time!K11),J7*IF(Time!K11&gt;Time!J11,1+K6/100,1))</f>
        <v/>
      </c>
      <c r="L7" s="16">
        <f>IF(Time!L11&lt;=Inputs!$F$243,Inputs!$F$242/(1+Inputs!$F$244/100)^(Inputs!$F$243-Time!L11),K7*IF(Time!L11&gt;Time!K11,1+L6/100,1))</f>
        <v/>
      </c>
      <c r="M7" s="16">
        <f>IF(Time!M11&lt;=Inputs!$F$243,Inputs!$F$242/(1+Inputs!$F$244/100)^(Inputs!$F$243-Time!M11),L7*IF(Time!M11&gt;Time!L11,1+M6/100,1))</f>
        <v/>
      </c>
      <c r="N7" s="16">
        <f>IF(Time!N11&lt;=Inputs!$F$243,Inputs!$F$242/(1+Inputs!$F$244/100)^(Inputs!$F$243-Time!N11),M7*IF(Time!N11&gt;Time!M11,1+N6/100,1))</f>
        <v/>
      </c>
      <c r="O7" s="16">
        <f>IF(Time!O11&lt;=Inputs!$F$243,Inputs!$F$242/(1+Inputs!$F$244/100)^(Inputs!$F$243-Time!O11),N7*IF(Time!O11&gt;Time!N11,1+O6/100,1))</f>
        <v/>
      </c>
      <c r="P7" s="16">
        <f>IF(Time!P11&lt;=Inputs!$F$243,Inputs!$F$242/(1+Inputs!$F$244/100)^(Inputs!$F$243-Time!P11),O7*IF(Time!P11&gt;Time!O11,1+P6/100,1))</f>
        <v/>
      </c>
      <c r="Q7" s="16">
        <f>IF(Time!Q11&lt;=Inputs!$F$243,Inputs!$F$242/(1+Inputs!$F$244/100)^(Inputs!$F$243-Time!Q11),P7*IF(Time!Q11&gt;Time!P11,1+Q6/100,1))</f>
        <v/>
      </c>
      <c r="R7" s="16">
        <f>IF(Time!R11&lt;=Inputs!$F$243,Inputs!$F$242/(1+Inputs!$F$244/100)^(Inputs!$F$243-Time!R11),Q7*IF(Time!R11&gt;Time!Q11,1+R6/100,1))</f>
        <v/>
      </c>
      <c r="S7" s="16">
        <f>IF(Time!S11&lt;=Inputs!$F$243,Inputs!$F$242/(1+Inputs!$F$244/100)^(Inputs!$F$243-Time!S11),R7*IF(Time!S11&gt;Time!R11,1+S6/100,1))</f>
        <v/>
      </c>
      <c r="T7" s="16">
        <f>IF(Time!T11&lt;=Inputs!$F$243,Inputs!$F$242/(1+Inputs!$F$244/100)^(Inputs!$F$243-Time!T11),S7*IF(Time!T11&gt;Time!S11,1+T6/100,1))</f>
        <v/>
      </c>
      <c r="U7" s="16">
        <f>IF(Time!U11&lt;=Inputs!$F$243,Inputs!$F$242/(1+Inputs!$F$244/100)^(Inputs!$F$243-Time!U11),T7*IF(Time!U11&gt;Time!T11,1+U6/100,1))</f>
        <v/>
      </c>
      <c r="V7" s="16">
        <f>IF(Time!V11&lt;=Inputs!$F$243,Inputs!$F$242/(1+Inputs!$F$244/100)^(Inputs!$F$243-Time!V11),U7*IF(Time!V11&gt;Time!U11,1+V6/100,1))</f>
        <v/>
      </c>
      <c r="W7" s="16">
        <f>IF(Time!W11&lt;=Inputs!$F$243,Inputs!$F$242/(1+Inputs!$F$244/100)^(Inputs!$F$243-Time!W11),V7*IF(Time!W11&gt;Time!V11,1+W6/100,1))</f>
        <v/>
      </c>
      <c r="X7" s="16">
        <f>IF(Time!X11&lt;=Inputs!$F$243,Inputs!$F$242/(1+Inputs!$F$244/100)^(Inputs!$F$243-Time!X11),W7*IF(Time!X11&gt;Time!W11,1+X6/100,1))</f>
        <v/>
      </c>
      <c r="Y7" s="16">
        <f>IF(Time!Y11&lt;=Inputs!$F$243,Inputs!$F$242/(1+Inputs!$F$244/100)^(Inputs!$F$243-Time!Y11),X7*IF(Time!Y11&gt;Time!X11,1+Y6/100,1))</f>
        <v/>
      </c>
      <c r="Z7" s="16">
        <f>IF(Time!Z11&lt;=Inputs!$F$243,Inputs!$F$242/(1+Inputs!$F$244/100)^(Inputs!$F$243-Time!Z11),Y7*IF(Time!Z11&gt;Time!Y11,1+Z6/100,1))</f>
        <v/>
      </c>
      <c r="AA7" s="16">
        <f>IF(Time!AA11&lt;=Inputs!$F$243,Inputs!$F$242/(1+Inputs!$F$244/100)^(Inputs!$F$243-Time!AA11),Z7*IF(Time!AA11&gt;Time!Z11,1+AA6/100,1))</f>
        <v/>
      </c>
      <c r="AB7" s="16">
        <f>IF(Time!AB11&lt;=Inputs!$F$243,Inputs!$F$242/(1+Inputs!$F$244/100)^(Inputs!$F$243-Time!AB11),AA7*IF(Time!AB11&gt;Time!AA11,1+AB6/100,1))</f>
        <v/>
      </c>
      <c r="AC7" s="16">
        <f>IF(Time!AC11&lt;=Inputs!$F$243,Inputs!$F$242/(1+Inputs!$F$244/100)^(Inputs!$F$243-Time!AC11),AB7*IF(Time!AC11&gt;Time!AB11,1+AC6/100,1))</f>
        <v/>
      </c>
      <c r="AD7" s="16">
        <f>IF(Time!AD11&lt;=Inputs!$F$243,Inputs!$F$242/(1+Inputs!$F$244/100)^(Inputs!$F$243-Time!AD11),AC7*IF(Time!AD11&gt;Time!AC11,1+AD6/100,1))</f>
        <v/>
      </c>
      <c r="AE7" s="16">
        <f>IF(Time!AE11&lt;=Inputs!$F$243,Inputs!$F$242/(1+Inputs!$F$244/100)^(Inputs!$F$243-Time!AE11),AD7*IF(Time!AE11&gt;Time!AD11,1+AE6/100,1))</f>
        <v/>
      </c>
      <c r="AF7" s="16">
        <f>IF(Time!AF11&lt;=Inputs!$F$243,Inputs!$F$242/(1+Inputs!$F$244/100)^(Inputs!$F$243-Time!AF11),AE7*IF(Time!AF11&gt;Time!AE11,1+AF6/100,1))</f>
        <v/>
      </c>
      <c r="AG7" s="16">
        <f>IF(Time!AG11&lt;=Inputs!$F$243,Inputs!$F$242/(1+Inputs!$F$244/100)^(Inputs!$F$243-Time!AG11),AF7*IF(Time!AG11&gt;Time!AF11,1+AG6/100,1))</f>
        <v/>
      </c>
      <c r="AH7" s="16">
        <f>IF(Time!AH11&lt;=Inputs!$F$243,Inputs!$F$242/(1+Inputs!$F$244/100)^(Inputs!$F$243-Time!AH11),AG7*IF(Time!AH11&gt;Time!AG11,1+AH6/100,1))</f>
        <v/>
      </c>
      <c r="AI7" s="16">
        <f>IF(Time!AI11&lt;=Inputs!$F$243,Inputs!$F$242/(1+Inputs!$F$244/100)^(Inputs!$F$243-Time!AI11),AH7*IF(Time!AI11&gt;Time!AH11,1+AI6/100,1))</f>
        <v/>
      </c>
      <c r="AJ7" s="16">
        <f>IF(Time!AJ11&lt;=Inputs!$F$243,Inputs!$F$242/(1+Inputs!$F$244/100)^(Inputs!$F$243-Time!AJ11),AI7*IF(Time!AJ11&gt;Time!AI11,1+AJ6/100,1))</f>
        <v/>
      </c>
      <c r="AK7" s="16">
        <f>IF(Time!AK11&lt;=Inputs!$F$243,Inputs!$F$242/(1+Inputs!$F$244/100)^(Inputs!$F$243-Time!AK11),AJ7*IF(Time!AK11&gt;Time!AJ11,1+AK6/100,1))</f>
        <v/>
      </c>
      <c r="AL7" s="16">
        <f>IF(Time!AL11&lt;=Inputs!$F$243,Inputs!$F$242/(1+Inputs!$F$244/100)^(Inputs!$F$243-Time!AL11),AK7*IF(Time!AL11&gt;Time!AK11,1+AL6/100,1))</f>
        <v/>
      </c>
      <c r="AM7" s="16">
        <f>IF(Time!AM11&lt;=Inputs!$F$243,Inputs!$F$242/(1+Inputs!$F$244/100)^(Inputs!$F$243-Time!AM11),AL7*IF(Time!AM11&gt;Time!AL11,1+AM6/100,1))</f>
        <v/>
      </c>
      <c r="AN7" s="16">
        <f>IF(Time!AN11&lt;=Inputs!$F$243,Inputs!$F$242/(1+Inputs!$F$244/100)^(Inputs!$F$243-Time!AN11),AM7*IF(Time!AN11&gt;Time!AM11,1+AN6/100,1))</f>
        <v/>
      </c>
      <c r="AO7" s="16">
        <f>IF(Time!AO11&lt;=Inputs!$F$243,Inputs!$F$242/(1+Inputs!$F$244/100)^(Inputs!$F$243-Time!AO11),AN7*IF(Time!AO11&gt;Time!AN11,1+AO6/100,1))</f>
        <v/>
      </c>
      <c r="AP7" s="16">
        <f>IF(Time!AP11&lt;=Inputs!$F$243,Inputs!$F$242/(1+Inputs!$F$244/100)^(Inputs!$F$243-Time!AP11),AO7*IF(Time!AP11&gt;Time!AO11,1+AP6/100,1))</f>
        <v/>
      </c>
      <c r="AQ7" s="16">
        <f>IF(Time!AQ11&lt;=Inputs!$F$243,Inputs!$F$242/(1+Inputs!$F$244/100)^(Inputs!$F$243-Time!AQ11),AP7*IF(Time!AQ11&gt;Time!AP11,1+AQ6/100,1))</f>
        <v/>
      </c>
      <c r="AR7" s="16">
        <f>IF(Time!AR11&lt;=Inputs!$F$243,Inputs!$F$242/(1+Inputs!$F$244/100)^(Inputs!$F$243-Time!AR11),AQ7*IF(Time!AR11&gt;Time!AQ11,1+AR6/100,1))</f>
        <v/>
      </c>
      <c r="AS7" s="16">
        <f>IF(Time!AS11&lt;=Inputs!$F$243,Inputs!$F$242/(1+Inputs!$F$244/100)^(Inputs!$F$243-Time!AS11),AR7*IF(Time!AS11&gt;Time!AR11,1+AS6/100,1))</f>
        <v/>
      </c>
      <c r="AT7" s="16">
        <f>IF(Time!AT11&lt;=Inputs!$F$243,Inputs!$F$242/(1+Inputs!$F$244/100)^(Inputs!$F$243-Time!AT11),AS7*IF(Time!AT11&gt;Time!AS11,1+AT6/100,1))</f>
        <v/>
      </c>
      <c r="AU7" s="16">
        <f>IF(Time!AU11&lt;=Inputs!$F$243,Inputs!$F$242/(1+Inputs!$F$244/100)^(Inputs!$F$243-Time!AU11),AT7*IF(Time!AU11&gt;Time!AT11,1+AU6/100,1))</f>
        <v/>
      </c>
      <c r="AV7" s="16">
        <f>IF(Time!AV11&lt;=Inputs!$F$243,Inputs!$F$242/(1+Inputs!$F$244/100)^(Inputs!$F$243-Time!AV11),AU7*IF(Time!AV11&gt;Time!AU11,1+AV6/100,1))</f>
        <v/>
      </c>
      <c r="AW7" s="16">
        <f>IF(Time!AW11&lt;=Inputs!$F$243,Inputs!$F$242/(1+Inputs!$F$244/100)^(Inputs!$F$243-Time!AW11),AV7*IF(Time!AW11&gt;Time!AV11,1+AW6/100,1))</f>
        <v/>
      </c>
      <c r="AX7" s="16">
        <f>IF(Time!AX11&lt;=Inputs!$F$243,Inputs!$F$242/(1+Inputs!$F$244/100)^(Inputs!$F$243-Time!AX11),AW7*IF(Time!AX11&gt;Time!AW11,1+AX6/100,1))</f>
        <v/>
      </c>
      <c r="AY7" s="16">
        <f>IF(Time!AY11&lt;=Inputs!$F$243,Inputs!$F$242/(1+Inputs!$F$244/100)^(Inputs!$F$243-Time!AY11),AX7*IF(Time!AY11&gt;Time!AX11,1+AY6/100,1))</f>
        <v/>
      </c>
      <c r="AZ7" s="16">
        <f>IF(Time!AZ11&lt;=Inputs!$F$243,Inputs!$F$242/(1+Inputs!$F$244/100)^(Inputs!$F$243-Time!AZ11),AY7*IF(Time!AZ11&gt;Time!AY11,1+AZ6/100,1))</f>
        <v/>
      </c>
      <c r="BA7" s="16">
        <f>IF(Time!BA11&lt;=Inputs!$F$243,Inputs!$F$242/(1+Inputs!$F$244/100)^(Inputs!$F$243-Time!BA11),AZ7*IF(Time!BA11&gt;Time!AZ11,1+BA6/100,1))</f>
        <v/>
      </c>
      <c r="BB7" s="16">
        <f>IF(Time!BB11&lt;=Inputs!$F$243,Inputs!$F$242/(1+Inputs!$F$244/100)^(Inputs!$F$243-Time!BB11),BA7*IF(Time!BB11&gt;Time!BA11,1+BB6/100,1))</f>
        <v/>
      </c>
      <c r="BC7" s="16">
        <f>IF(Time!BC11&lt;=Inputs!$F$243,Inputs!$F$242/(1+Inputs!$F$244/100)^(Inputs!$F$243-Time!BC11),BB7*IF(Time!BC11&gt;Time!BB11,1+BC6/100,1))</f>
        <v/>
      </c>
      <c r="BD7" s="16">
        <f>IF(Time!BD11&lt;=Inputs!$F$243,Inputs!$F$242/(1+Inputs!$F$244/100)^(Inputs!$F$243-Time!BD11),BC7*IF(Time!BD11&gt;Time!BC11,1+BD6/100,1))</f>
        <v/>
      </c>
      <c r="BE7" s="16">
        <f>IF(Time!BE11&lt;=Inputs!$F$243,Inputs!$F$242/(1+Inputs!$F$244/100)^(Inputs!$F$243-Time!BE11),BD7*IF(Time!BE11&gt;Time!BD11,1+BE6/100,1))</f>
        <v/>
      </c>
      <c r="BF7" s="16">
        <f>IF(Time!BF11&lt;=Inputs!$F$243,Inputs!$F$242/(1+Inputs!$F$244/100)^(Inputs!$F$243-Time!BF11),BE7*IF(Time!BF11&gt;Time!BE11,1+BF6/100,1))</f>
        <v/>
      </c>
      <c r="BG7" s="16">
        <f>IF(Time!BG11&lt;=Inputs!$F$243,Inputs!$F$242/(1+Inputs!$F$244/100)^(Inputs!$F$243-Time!BG11),BF7*IF(Time!BG11&gt;Time!BF11,1+BG6/100,1))</f>
        <v/>
      </c>
      <c r="BH7" s="16">
        <f>IF(Time!BH11&lt;=Inputs!$F$243,Inputs!$F$242/(1+Inputs!$F$244/100)^(Inputs!$F$243-Time!BH11),BG7*IF(Time!BH11&gt;Time!BG11,1+BH6/100,1))</f>
        <v/>
      </c>
      <c r="BI7" s="16">
        <f>IF(Time!BI11&lt;=Inputs!$F$243,Inputs!$F$242/(1+Inputs!$F$244/100)^(Inputs!$F$243-Time!BI11),BH7*IF(Time!BI11&gt;Time!BH11,1+BI6/100,1))</f>
        <v/>
      </c>
      <c r="BJ7" s="16">
        <f>IF(Time!BJ11&lt;=Inputs!$F$243,Inputs!$F$242/(1+Inputs!$F$244/100)^(Inputs!$F$243-Time!BJ11),BI7*IF(Time!BJ11&gt;Time!BI11,1+BJ6/100,1))</f>
        <v/>
      </c>
      <c r="BK7" s="16">
        <f>IF(Time!BK11&lt;=Inputs!$F$243,Inputs!$F$242/(1+Inputs!$F$244/100)^(Inputs!$F$243-Time!BK11),BJ7*IF(Time!BK11&gt;Time!BJ11,1+BK6/100,1))</f>
        <v/>
      </c>
      <c r="BL7" s="16">
        <f>IF(Time!BL11&lt;=Inputs!$F$243,Inputs!$F$242/(1+Inputs!$F$244/100)^(Inputs!$F$243-Time!BL11),BK7*IF(Time!BL11&gt;Time!BK11,1+BL6/100,1))</f>
        <v/>
      </c>
      <c r="BM7" s="16">
        <f>IF(Time!BM11&lt;=Inputs!$F$243,Inputs!$F$242/(1+Inputs!$F$244/100)^(Inputs!$F$243-Time!BM11),BL7*IF(Time!BM11&gt;Time!BL11,1+BM6/100,1))</f>
        <v/>
      </c>
      <c r="BN7" s="16">
        <f>IF(Time!BN11&lt;=Inputs!$F$243,Inputs!$F$242/(1+Inputs!$F$244/100)^(Inputs!$F$243-Time!BN11),BM7*IF(Time!BN11&gt;Time!BM11,1+BN6/100,1))</f>
        <v/>
      </c>
      <c r="BO7" s="16">
        <f>IF(Time!BO11&lt;=Inputs!$F$243,Inputs!$F$242/(1+Inputs!$F$244/100)^(Inputs!$F$243-Time!BO11),BN7*IF(Time!BO11&gt;Time!BN11,1+BO6/100,1))</f>
        <v/>
      </c>
      <c r="BP7" s="16">
        <f>IF(Time!BP11&lt;=Inputs!$F$243,Inputs!$F$242/(1+Inputs!$F$244/100)^(Inputs!$F$243-Time!BP11),BO7*IF(Time!BP11&gt;Time!BO11,1+BP6/100,1))</f>
        <v/>
      </c>
      <c r="BQ7" s="16">
        <f>IF(Time!BQ11&lt;=Inputs!$F$243,Inputs!$F$242/(1+Inputs!$F$244/100)^(Inputs!$F$243-Time!BQ11),BP7*IF(Time!BQ11&gt;Time!BP11,1+BQ6/100,1))</f>
        <v/>
      </c>
      <c r="BR7" s="16">
        <f>IF(Time!BR11&lt;=Inputs!$F$243,Inputs!$F$242/(1+Inputs!$F$244/100)^(Inputs!$F$243-Time!BR11),BQ7*IF(Time!BR11&gt;Time!BQ11,1+BR6/100,1))</f>
        <v/>
      </c>
      <c r="BS7" s="16">
        <f>IF(Time!BS11&lt;=Inputs!$F$243,Inputs!$F$242/(1+Inputs!$F$244/100)^(Inputs!$F$243-Time!BS11),BR7*IF(Time!BS11&gt;Time!BR11,1+BS6/100,1))</f>
        <v/>
      </c>
      <c r="BT7" s="16">
        <f>IF(Time!BT11&lt;=Inputs!$F$243,Inputs!$F$242/(1+Inputs!$F$244/100)^(Inputs!$F$243-Time!BT11),BS7*IF(Time!BT11&gt;Time!BS11,1+BT6/100,1))</f>
        <v/>
      </c>
      <c r="BU7" s="16">
        <f>IF(Time!BU11&lt;=Inputs!$F$243,Inputs!$F$242/(1+Inputs!$F$244/100)^(Inputs!$F$243-Time!BU11),BT7*IF(Time!BU11&gt;Time!BT11,1+BU6/100,1))</f>
        <v/>
      </c>
      <c r="BV7" s="16">
        <f>IF(Time!BV11&lt;=Inputs!$F$243,Inputs!$F$242/(1+Inputs!$F$244/100)^(Inputs!$F$243-Time!BV11),BU7*IF(Time!BV11&gt;Time!BU11,1+BV6/100,1))</f>
        <v/>
      </c>
      <c r="BW7" s="16">
        <f>IF(Time!BW11&lt;=Inputs!$F$243,Inputs!$F$242/(1+Inputs!$F$244/100)^(Inputs!$F$243-Time!BW11),BV7*IF(Time!BW11&gt;Time!BV11,1+BW6/100,1))</f>
        <v/>
      </c>
      <c r="BX7" s="16">
        <f>IF(Time!BX11&lt;=Inputs!$F$243,Inputs!$F$242/(1+Inputs!$F$244/100)^(Inputs!$F$243-Time!BX11),BW7*IF(Time!BX11&gt;Time!BW11,1+BX6/100,1))</f>
        <v/>
      </c>
      <c r="BY7" s="16">
        <f>IF(Time!BY11&lt;=Inputs!$F$243,Inputs!$F$242/(1+Inputs!$F$244/100)^(Inputs!$F$243-Time!BY11),BX7*IF(Time!BY11&gt;Time!BX11,1+BY6/100,1))</f>
        <v/>
      </c>
      <c r="BZ7" s="16">
        <f>IF(Time!BZ11&lt;=Inputs!$F$243,Inputs!$F$242/(1+Inputs!$F$244/100)^(Inputs!$F$243-Time!BZ11),BY7*IF(Time!BZ11&gt;Time!BY11,1+BZ6/100,1))</f>
        <v/>
      </c>
      <c r="CA7" s="16">
        <f>IF(Time!CA11&lt;=Inputs!$F$243,Inputs!$F$242/(1+Inputs!$F$244/100)^(Inputs!$F$243-Time!CA11),BZ7*IF(Time!CA11&gt;Time!BZ11,1+CA6/100,1))</f>
        <v/>
      </c>
      <c r="CB7" s="16">
        <f>IF(Time!CB11&lt;=Inputs!$F$243,Inputs!$F$242/(1+Inputs!$F$244/100)^(Inputs!$F$243-Time!CB11),CA7*IF(Time!CB11&gt;Time!CA11,1+CB6/100,1))</f>
        <v/>
      </c>
      <c r="CC7" s="16">
        <f>IF(Time!CC11&lt;=Inputs!$F$243,Inputs!$F$242/(1+Inputs!$F$244/100)^(Inputs!$F$243-Time!CC11),CB7*IF(Time!CC11&gt;Time!CB11,1+CC6/100,1))</f>
        <v/>
      </c>
      <c r="CD7" s="16">
        <f>IF(Time!CD11&lt;=Inputs!$F$243,Inputs!$F$242/(1+Inputs!$F$244/100)^(Inputs!$F$243-Time!CD11),CC7*IF(Time!CD11&gt;Time!CC11,1+CD6/100,1))</f>
        <v/>
      </c>
      <c r="CE7" s="16">
        <f>IF(Time!CE11&lt;=Inputs!$F$243,Inputs!$F$242/(1+Inputs!$F$244/100)^(Inputs!$F$243-Time!CE11),CD7*IF(Time!CE11&gt;Time!CD11,1+CE6/100,1))</f>
        <v/>
      </c>
      <c r="CF7" s="16">
        <f>IF(Time!CF11&lt;=Inputs!$F$243,Inputs!$F$242/(1+Inputs!$F$244/100)^(Inputs!$F$243-Time!CF11),CE7*IF(Time!CF11&gt;Time!CE11,1+CF6/100,1))</f>
        <v/>
      </c>
      <c r="CG7" s="16">
        <f>IF(Time!CG11&lt;=Inputs!$F$243,Inputs!$F$242/(1+Inputs!$F$244/100)^(Inputs!$F$243-Time!CG11),CF7*IF(Time!CG11&gt;Time!CF11,1+CG6/100,1))</f>
        <v/>
      </c>
      <c r="CH7" s="16">
        <f>IF(Time!CH11&lt;=Inputs!$F$243,Inputs!$F$242/(1+Inputs!$F$244/100)^(Inputs!$F$243-Time!CH11),CG7*IF(Time!CH11&gt;Time!CG11,1+CH6/100,1))</f>
        <v/>
      </c>
      <c r="CI7" s="16">
        <f>IF(Time!CI11&lt;=Inputs!$F$243,Inputs!$F$242/(1+Inputs!$F$244/100)^(Inputs!$F$243-Time!CI11),CH7*IF(Time!CI11&gt;Time!CH11,1+CI6/100,1))</f>
        <v/>
      </c>
      <c r="CJ7" s="16">
        <f>IF(Time!CJ11&lt;=Inputs!$F$243,Inputs!$F$242/(1+Inputs!$F$244/100)^(Inputs!$F$243-Time!CJ11),CI7*IF(Time!CJ11&gt;Time!CI11,1+CJ6/100,1))</f>
        <v/>
      </c>
      <c r="CK7" s="16">
        <f>IF(Time!CK11&lt;=Inputs!$F$243,Inputs!$F$242/(1+Inputs!$F$244/100)^(Inputs!$F$243-Time!CK11),CJ7*IF(Time!CK11&gt;Time!CJ11,1+CK6/100,1))</f>
        <v/>
      </c>
      <c r="CL7" s="16">
        <f>IF(Time!CL11&lt;=Inputs!$F$243,Inputs!$F$242/(1+Inputs!$F$244/100)^(Inputs!$F$243-Time!CL11),CK7*IF(Time!CL11&gt;Time!CK11,1+CL6/100,1))</f>
        <v/>
      </c>
      <c r="CM7" s="16">
        <f>IF(Time!CM11&lt;=Inputs!$F$243,Inputs!$F$242/(1+Inputs!$F$244/100)^(Inputs!$F$243-Time!CM11),CL7*IF(Time!CM11&gt;Time!CL11,1+CM6/100,1))</f>
        <v/>
      </c>
      <c r="CN7" s="16">
        <f>IF(Time!CN11&lt;=Inputs!$F$243,Inputs!$F$242/(1+Inputs!$F$244/100)^(Inputs!$F$243-Time!CN11),CM7*IF(Time!CN11&gt;Time!CM11,1+CN6/100,1))</f>
        <v/>
      </c>
      <c r="CO7" s="16">
        <f>IF(Time!CO11&lt;=Inputs!$F$243,Inputs!$F$242/(1+Inputs!$F$244/100)^(Inputs!$F$243-Time!CO11),CN7*IF(Time!CO11&gt;Time!CN11,1+CO6/100,1))</f>
        <v/>
      </c>
      <c r="CP7" s="16">
        <f>IF(Time!CP11&lt;=Inputs!$F$243,Inputs!$F$242/(1+Inputs!$F$244/100)^(Inputs!$F$243-Time!CP11),CO7*IF(Time!CP11&gt;Time!CO11,1+CP6/100,1))</f>
        <v/>
      </c>
      <c r="CQ7" s="16">
        <f>IF(Time!CQ11&lt;=Inputs!$F$243,Inputs!$F$242/(1+Inputs!$F$244/100)^(Inputs!$F$243-Time!CQ11),CP7*IF(Time!CQ11&gt;Time!CP11,1+CQ6/100,1))</f>
        <v/>
      </c>
      <c r="CR7" s="16">
        <f>IF(Time!CR11&lt;=Inputs!$F$243,Inputs!$F$242/(1+Inputs!$F$244/100)^(Inputs!$F$243-Time!CR11),CQ7*IF(Time!CR11&gt;Time!CQ11,1+CR6/100,1))</f>
        <v/>
      </c>
      <c r="CS7" s="16">
        <f>IF(Time!CS11&lt;=Inputs!$F$243,Inputs!$F$242/(1+Inputs!$F$244/100)^(Inputs!$F$243-Time!CS11),CR7*IF(Time!CS11&gt;Time!CR11,1+CS6/100,1))</f>
        <v/>
      </c>
      <c r="CT7" s="16">
        <f>IF(Time!CT11&lt;=Inputs!$F$243,Inputs!$F$242/(1+Inputs!$F$244/100)^(Inputs!$F$243-Time!CT11),CS7*IF(Time!CT11&gt;Time!CS11,1+CT6/100,1))</f>
        <v/>
      </c>
      <c r="CU7" s="16">
        <f>IF(Time!CU11&lt;=Inputs!$F$243,Inputs!$F$242/(1+Inputs!$F$244/100)^(Inputs!$F$243-Time!CU11),CT7*IF(Time!CU11&gt;Time!CT11,1+CU6/100,1))</f>
        <v/>
      </c>
      <c r="CV7" s="16">
        <f>IF(Time!CV11&lt;=Inputs!$F$243,Inputs!$F$242/(1+Inputs!$F$244/100)^(Inputs!$F$243-Time!CV11),CU7*IF(Time!CV11&gt;Time!CU11,1+CV6/100,1))</f>
        <v/>
      </c>
      <c r="CW7" s="16">
        <f>IF(Time!CW11&lt;=Inputs!$F$243,Inputs!$F$242/(1+Inputs!$F$244/100)^(Inputs!$F$243-Time!CW11),CV7*IF(Time!CW11&gt;Time!CV11,1+CW6/100,1))</f>
        <v/>
      </c>
      <c r="CX7" s="16">
        <f>IF(Time!CX11&lt;=Inputs!$F$243,Inputs!$F$242/(1+Inputs!$F$244/100)^(Inputs!$F$243-Time!CX11),CW7*IF(Time!CX11&gt;Time!CW11,1+CX6/100,1))</f>
        <v/>
      </c>
      <c r="CY7" s="16">
        <f>IF(Time!CY11&lt;=Inputs!$F$243,Inputs!$F$242/(1+Inputs!$F$244/100)^(Inputs!$F$243-Time!CY11),CX7*IF(Time!CY11&gt;Time!CX11,1+CY6/100,1))</f>
        <v/>
      </c>
      <c r="CZ7" s="16">
        <f>IF(Time!CZ11&lt;=Inputs!$F$243,Inputs!$F$242/(1+Inputs!$F$244/100)^(Inputs!$F$243-Time!CZ11),CY7*IF(Time!CZ11&gt;Time!CY11,1+CZ6/100,1))</f>
        <v/>
      </c>
      <c r="DA7" s="16">
        <f>IF(Time!DA11&lt;=Inputs!$F$243,Inputs!$F$242/(1+Inputs!$F$244/100)^(Inputs!$F$243-Time!DA11),CZ7*IF(Time!DA11&gt;Time!CZ11,1+DA6/100,1))</f>
        <v/>
      </c>
      <c r="DB7" s="16">
        <f>IF(Time!DB11&lt;=Inputs!$F$243,Inputs!$F$242/(1+Inputs!$F$244/100)^(Inputs!$F$243-Time!DB11),DA7*IF(Time!DB11&gt;Time!DA11,1+DB6/100,1))</f>
        <v/>
      </c>
    </row>
    <row r="8">
      <c r="D8" t="inlineStr">
        <is>
          <t>Ramp-up table year</t>
        </is>
      </c>
      <c r="E8" t="inlineStr">
        <is>
          <t>year</t>
        </is>
      </c>
      <c r="J8" s="14">
        <f>MAX(Inputs!$F$58,MIN(Inputs!$F$59,Time!J11-Inputs!$F$220))</f>
        <v/>
      </c>
      <c r="K8" s="14">
        <f>MAX(Inputs!$F$58,MIN(Inputs!$F$59,Time!K11-Inputs!$F$220))</f>
        <v/>
      </c>
      <c r="L8" s="14">
        <f>MAX(Inputs!$F$58,MIN(Inputs!$F$59,Time!L11-Inputs!$F$220))</f>
        <v/>
      </c>
      <c r="M8" s="14">
        <f>MAX(Inputs!$F$58,MIN(Inputs!$F$59,Time!M11-Inputs!$F$220))</f>
        <v/>
      </c>
      <c r="N8" s="14">
        <f>MAX(Inputs!$F$58,MIN(Inputs!$F$59,Time!N11-Inputs!$F$220))</f>
        <v/>
      </c>
      <c r="O8" s="14">
        <f>MAX(Inputs!$F$58,MIN(Inputs!$F$59,Time!O11-Inputs!$F$220))</f>
        <v/>
      </c>
      <c r="P8" s="14">
        <f>MAX(Inputs!$F$58,MIN(Inputs!$F$59,Time!P11-Inputs!$F$220))</f>
        <v/>
      </c>
      <c r="Q8" s="14">
        <f>MAX(Inputs!$F$58,MIN(Inputs!$F$59,Time!Q11-Inputs!$F$220))</f>
        <v/>
      </c>
      <c r="R8" s="14">
        <f>MAX(Inputs!$F$58,MIN(Inputs!$F$59,Time!R11-Inputs!$F$220))</f>
        <v/>
      </c>
      <c r="S8" s="14">
        <f>MAX(Inputs!$F$58,MIN(Inputs!$F$59,Time!S11-Inputs!$F$220))</f>
        <v/>
      </c>
      <c r="T8" s="14">
        <f>MAX(Inputs!$F$58,MIN(Inputs!$F$59,Time!T11-Inputs!$F$220))</f>
        <v/>
      </c>
      <c r="U8" s="14">
        <f>MAX(Inputs!$F$58,MIN(Inputs!$F$59,Time!U11-Inputs!$F$220))</f>
        <v/>
      </c>
      <c r="V8" s="14">
        <f>MAX(Inputs!$F$58,MIN(Inputs!$F$59,Time!V11-Inputs!$F$220))</f>
        <v/>
      </c>
      <c r="W8" s="14">
        <f>MAX(Inputs!$F$58,MIN(Inputs!$F$59,Time!W11-Inputs!$F$220))</f>
        <v/>
      </c>
      <c r="X8" s="14">
        <f>MAX(Inputs!$F$58,MIN(Inputs!$F$59,Time!X11-Inputs!$F$220))</f>
        <v/>
      </c>
      <c r="Y8" s="14">
        <f>MAX(Inputs!$F$58,MIN(Inputs!$F$59,Time!Y11-Inputs!$F$220))</f>
        <v/>
      </c>
      <c r="Z8" s="14">
        <f>MAX(Inputs!$F$58,MIN(Inputs!$F$59,Time!Z11-Inputs!$F$220))</f>
        <v/>
      </c>
      <c r="AA8" s="14">
        <f>MAX(Inputs!$F$58,MIN(Inputs!$F$59,Time!AA11-Inputs!$F$220))</f>
        <v/>
      </c>
      <c r="AB8" s="14">
        <f>MAX(Inputs!$F$58,MIN(Inputs!$F$59,Time!AB11-Inputs!$F$220))</f>
        <v/>
      </c>
      <c r="AC8" s="14">
        <f>MAX(Inputs!$F$58,MIN(Inputs!$F$59,Time!AC11-Inputs!$F$220))</f>
        <v/>
      </c>
      <c r="AD8" s="14">
        <f>MAX(Inputs!$F$58,MIN(Inputs!$F$59,Time!AD11-Inputs!$F$220))</f>
        <v/>
      </c>
      <c r="AE8" s="14">
        <f>MAX(Inputs!$F$58,MIN(Inputs!$F$59,Time!AE11-Inputs!$F$220))</f>
        <v/>
      </c>
      <c r="AF8" s="14">
        <f>MAX(Inputs!$F$58,MIN(Inputs!$F$59,Time!AF11-Inputs!$F$220))</f>
        <v/>
      </c>
      <c r="AG8" s="14">
        <f>MAX(Inputs!$F$58,MIN(Inputs!$F$59,Time!AG11-Inputs!$F$220))</f>
        <v/>
      </c>
      <c r="AH8" s="14">
        <f>MAX(Inputs!$F$58,MIN(Inputs!$F$59,Time!AH11-Inputs!$F$220))</f>
        <v/>
      </c>
      <c r="AI8" s="14">
        <f>MAX(Inputs!$F$58,MIN(Inputs!$F$59,Time!AI11-Inputs!$F$220))</f>
        <v/>
      </c>
      <c r="AJ8" s="14">
        <f>MAX(Inputs!$F$58,MIN(Inputs!$F$59,Time!AJ11-Inputs!$F$220))</f>
        <v/>
      </c>
      <c r="AK8" s="14">
        <f>MAX(Inputs!$F$58,MIN(Inputs!$F$59,Time!AK11-Inputs!$F$220))</f>
        <v/>
      </c>
      <c r="AL8" s="14">
        <f>MAX(Inputs!$F$58,MIN(Inputs!$F$59,Time!AL11-Inputs!$F$220))</f>
        <v/>
      </c>
      <c r="AM8" s="14">
        <f>MAX(Inputs!$F$58,MIN(Inputs!$F$59,Time!AM11-Inputs!$F$220))</f>
        <v/>
      </c>
      <c r="AN8" s="14">
        <f>MAX(Inputs!$F$58,MIN(Inputs!$F$59,Time!AN11-Inputs!$F$220))</f>
        <v/>
      </c>
      <c r="AO8" s="14">
        <f>MAX(Inputs!$F$58,MIN(Inputs!$F$59,Time!AO11-Inputs!$F$220))</f>
        <v/>
      </c>
      <c r="AP8" s="14">
        <f>MAX(Inputs!$F$58,MIN(Inputs!$F$59,Time!AP11-Inputs!$F$220))</f>
        <v/>
      </c>
      <c r="AQ8" s="14">
        <f>MAX(Inputs!$F$58,MIN(Inputs!$F$59,Time!AQ11-Inputs!$F$220))</f>
        <v/>
      </c>
      <c r="AR8" s="14">
        <f>MAX(Inputs!$F$58,MIN(Inputs!$F$59,Time!AR11-Inputs!$F$220))</f>
        <v/>
      </c>
      <c r="AS8" s="14">
        <f>MAX(Inputs!$F$58,MIN(Inputs!$F$59,Time!AS11-Inputs!$F$220))</f>
        <v/>
      </c>
      <c r="AT8" s="14">
        <f>MAX(Inputs!$F$58,MIN(Inputs!$F$59,Time!AT11-Inputs!$F$220))</f>
        <v/>
      </c>
      <c r="AU8" s="14">
        <f>MAX(Inputs!$F$58,MIN(Inputs!$F$59,Time!AU11-Inputs!$F$220))</f>
        <v/>
      </c>
      <c r="AV8" s="14">
        <f>MAX(Inputs!$F$58,MIN(Inputs!$F$59,Time!AV11-Inputs!$F$220))</f>
        <v/>
      </c>
      <c r="AW8" s="14">
        <f>MAX(Inputs!$F$58,MIN(Inputs!$F$59,Time!AW11-Inputs!$F$220))</f>
        <v/>
      </c>
      <c r="AX8" s="14">
        <f>MAX(Inputs!$F$58,MIN(Inputs!$F$59,Time!AX11-Inputs!$F$220))</f>
        <v/>
      </c>
      <c r="AY8" s="14">
        <f>MAX(Inputs!$F$58,MIN(Inputs!$F$59,Time!AY11-Inputs!$F$220))</f>
        <v/>
      </c>
      <c r="AZ8" s="14">
        <f>MAX(Inputs!$F$58,MIN(Inputs!$F$59,Time!AZ11-Inputs!$F$220))</f>
        <v/>
      </c>
      <c r="BA8" s="14">
        <f>MAX(Inputs!$F$58,MIN(Inputs!$F$59,Time!BA11-Inputs!$F$220))</f>
        <v/>
      </c>
      <c r="BB8" s="14">
        <f>MAX(Inputs!$F$58,MIN(Inputs!$F$59,Time!BB11-Inputs!$F$220))</f>
        <v/>
      </c>
      <c r="BC8" s="14">
        <f>MAX(Inputs!$F$58,MIN(Inputs!$F$59,Time!BC11-Inputs!$F$220))</f>
        <v/>
      </c>
      <c r="BD8" s="14">
        <f>MAX(Inputs!$F$58,MIN(Inputs!$F$59,Time!BD11-Inputs!$F$220))</f>
        <v/>
      </c>
      <c r="BE8" s="14">
        <f>MAX(Inputs!$F$58,MIN(Inputs!$F$59,Time!BE11-Inputs!$F$220))</f>
        <v/>
      </c>
      <c r="BF8" s="14">
        <f>MAX(Inputs!$F$58,MIN(Inputs!$F$59,Time!BF11-Inputs!$F$220))</f>
        <v/>
      </c>
      <c r="BG8" s="14">
        <f>MAX(Inputs!$F$58,MIN(Inputs!$F$59,Time!BG11-Inputs!$F$220))</f>
        <v/>
      </c>
      <c r="BH8" s="14">
        <f>MAX(Inputs!$F$58,MIN(Inputs!$F$59,Time!BH11-Inputs!$F$220))</f>
        <v/>
      </c>
      <c r="BI8" s="14">
        <f>MAX(Inputs!$F$58,MIN(Inputs!$F$59,Time!BI11-Inputs!$F$220))</f>
        <v/>
      </c>
      <c r="BJ8" s="14">
        <f>MAX(Inputs!$F$58,MIN(Inputs!$F$59,Time!BJ11-Inputs!$F$220))</f>
        <v/>
      </c>
      <c r="BK8" s="14">
        <f>MAX(Inputs!$F$58,MIN(Inputs!$F$59,Time!BK11-Inputs!$F$220))</f>
        <v/>
      </c>
      <c r="BL8" s="14">
        <f>MAX(Inputs!$F$58,MIN(Inputs!$F$59,Time!BL11-Inputs!$F$220))</f>
        <v/>
      </c>
      <c r="BM8" s="14">
        <f>MAX(Inputs!$F$58,MIN(Inputs!$F$59,Time!BM11-Inputs!$F$220))</f>
        <v/>
      </c>
      <c r="BN8" s="14">
        <f>MAX(Inputs!$F$58,MIN(Inputs!$F$59,Time!BN11-Inputs!$F$220))</f>
        <v/>
      </c>
      <c r="BO8" s="14">
        <f>MAX(Inputs!$F$58,MIN(Inputs!$F$59,Time!BO11-Inputs!$F$220))</f>
        <v/>
      </c>
      <c r="BP8" s="14">
        <f>MAX(Inputs!$F$58,MIN(Inputs!$F$59,Time!BP11-Inputs!$F$220))</f>
        <v/>
      </c>
      <c r="BQ8" s="14">
        <f>MAX(Inputs!$F$58,MIN(Inputs!$F$59,Time!BQ11-Inputs!$F$220))</f>
        <v/>
      </c>
      <c r="BR8" s="14">
        <f>MAX(Inputs!$F$58,MIN(Inputs!$F$59,Time!BR11-Inputs!$F$220))</f>
        <v/>
      </c>
      <c r="BS8" s="14">
        <f>MAX(Inputs!$F$58,MIN(Inputs!$F$59,Time!BS11-Inputs!$F$220))</f>
        <v/>
      </c>
      <c r="BT8" s="14">
        <f>MAX(Inputs!$F$58,MIN(Inputs!$F$59,Time!BT11-Inputs!$F$220))</f>
        <v/>
      </c>
      <c r="BU8" s="14">
        <f>MAX(Inputs!$F$58,MIN(Inputs!$F$59,Time!BU11-Inputs!$F$220))</f>
        <v/>
      </c>
      <c r="BV8" s="14">
        <f>MAX(Inputs!$F$58,MIN(Inputs!$F$59,Time!BV11-Inputs!$F$220))</f>
        <v/>
      </c>
      <c r="BW8" s="14">
        <f>MAX(Inputs!$F$58,MIN(Inputs!$F$59,Time!BW11-Inputs!$F$220))</f>
        <v/>
      </c>
      <c r="BX8" s="14">
        <f>MAX(Inputs!$F$58,MIN(Inputs!$F$59,Time!BX11-Inputs!$F$220))</f>
        <v/>
      </c>
      <c r="BY8" s="14">
        <f>MAX(Inputs!$F$58,MIN(Inputs!$F$59,Time!BY11-Inputs!$F$220))</f>
        <v/>
      </c>
      <c r="BZ8" s="14">
        <f>MAX(Inputs!$F$58,MIN(Inputs!$F$59,Time!BZ11-Inputs!$F$220))</f>
        <v/>
      </c>
      <c r="CA8" s="14">
        <f>MAX(Inputs!$F$58,MIN(Inputs!$F$59,Time!CA11-Inputs!$F$220))</f>
        <v/>
      </c>
      <c r="CB8" s="14">
        <f>MAX(Inputs!$F$58,MIN(Inputs!$F$59,Time!CB11-Inputs!$F$220))</f>
        <v/>
      </c>
      <c r="CC8" s="14">
        <f>MAX(Inputs!$F$58,MIN(Inputs!$F$59,Time!CC11-Inputs!$F$220))</f>
        <v/>
      </c>
      <c r="CD8" s="14">
        <f>MAX(Inputs!$F$58,MIN(Inputs!$F$59,Time!CD11-Inputs!$F$220))</f>
        <v/>
      </c>
      <c r="CE8" s="14">
        <f>MAX(Inputs!$F$58,MIN(Inputs!$F$59,Time!CE11-Inputs!$F$220))</f>
        <v/>
      </c>
      <c r="CF8" s="14">
        <f>MAX(Inputs!$F$58,MIN(Inputs!$F$59,Time!CF11-Inputs!$F$220))</f>
        <v/>
      </c>
      <c r="CG8" s="14">
        <f>MAX(Inputs!$F$58,MIN(Inputs!$F$59,Time!CG11-Inputs!$F$220))</f>
        <v/>
      </c>
      <c r="CH8" s="14">
        <f>MAX(Inputs!$F$58,MIN(Inputs!$F$59,Time!CH11-Inputs!$F$220))</f>
        <v/>
      </c>
      <c r="CI8" s="14">
        <f>MAX(Inputs!$F$58,MIN(Inputs!$F$59,Time!CI11-Inputs!$F$220))</f>
        <v/>
      </c>
      <c r="CJ8" s="14">
        <f>MAX(Inputs!$F$58,MIN(Inputs!$F$59,Time!CJ11-Inputs!$F$220))</f>
        <v/>
      </c>
      <c r="CK8" s="14">
        <f>MAX(Inputs!$F$58,MIN(Inputs!$F$59,Time!CK11-Inputs!$F$220))</f>
        <v/>
      </c>
      <c r="CL8" s="14">
        <f>MAX(Inputs!$F$58,MIN(Inputs!$F$59,Time!CL11-Inputs!$F$220))</f>
        <v/>
      </c>
      <c r="CM8" s="14">
        <f>MAX(Inputs!$F$58,MIN(Inputs!$F$59,Time!CM11-Inputs!$F$220))</f>
        <v/>
      </c>
      <c r="CN8" s="14">
        <f>MAX(Inputs!$F$58,MIN(Inputs!$F$59,Time!CN11-Inputs!$F$220))</f>
        <v/>
      </c>
      <c r="CO8" s="14">
        <f>MAX(Inputs!$F$58,MIN(Inputs!$F$59,Time!CO11-Inputs!$F$220))</f>
        <v/>
      </c>
      <c r="CP8" s="14">
        <f>MAX(Inputs!$F$58,MIN(Inputs!$F$59,Time!CP11-Inputs!$F$220))</f>
        <v/>
      </c>
      <c r="CQ8" s="14">
        <f>MAX(Inputs!$F$58,MIN(Inputs!$F$59,Time!CQ11-Inputs!$F$220))</f>
        <v/>
      </c>
      <c r="CR8" s="14">
        <f>MAX(Inputs!$F$58,MIN(Inputs!$F$59,Time!CR11-Inputs!$F$220))</f>
        <v/>
      </c>
      <c r="CS8" s="14">
        <f>MAX(Inputs!$F$58,MIN(Inputs!$F$59,Time!CS11-Inputs!$F$220))</f>
        <v/>
      </c>
      <c r="CT8" s="14">
        <f>MAX(Inputs!$F$58,MIN(Inputs!$F$59,Time!CT11-Inputs!$F$220))</f>
        <v/>
      </c>
      <c r="CU8" s="14">
        <f>MAX(Inputs!$F$58,MIN(Inputs!$F$59,Time!CU11-Inputs!$F$220))</f>
        <v/>
      </c>
      <c r="CV8" s="14">
        <f>MAX(Inputs!$F$58,MIN(Inputs!$F$59,Time!CV11-Inputs!$F$220))</f>
        <v/>
      </c>
      <c r="CW8" s="14">
        <f>MAX(Inputs!$F$58,MIN(Inputs!$F$59,Time!CW11-Inputs!$F$220))</f>
        <v/>
      </c>
      <c r="CX8" s="14">
        <f>MAX(Inputs!$F$58,MIN(Inputs!$F$59,Time!CX11-Inputs!$F$220))</f>
        <v/>
      </c>
      <c r="CY8" s="14">
        <f>MAX(Inputs!$F$58,MIN(Inputs!$F$59,Time!CY11-Inputs!$F$220))</f>
        <v/>
      </c>
      <c r="CZ8" s="14">
        <f>MAX(Inputs!$F$58,MIN(Inputs!$F$59,Time!CZ11-Inputs!$F$220))</f>
        <v/>
      </c>
      <c r="DA8" s="14">
        <f>MAX(Inputs!$F$58,MIN(Inputs!$F$59,Time!DA11-Inputs!$F$220))</f>
        <v/>
      </c>
      <c r="DB8" s="14">
        <f>MAX(Inputs!$F$58,MIN(Inputs!$F$59,Time!DB11-Inputs!$F$220))</f>
        <v/>
      </c>
    </row>
    <row r="9">
      <c r="D9" t="inlineStr">
        <is>
          <t>Ramp-up factor</t>
        </is>
      </c>
      <c r="E9" t="inlineStr">
        <is>
          <t>factor</t>
        </is>
      </c>
      <c r="J9" s="16">
        <f>CHOOSE(J8-Inputs!$F$58+1,Inputs!$F$249,Inputs!$F$250,Inputs!$F$251,Inputs!$F$252,Inputs!$F$253)</f>
        <v/>
      </c>
      <c r="K9" s="16">
        <f>CHOOSE(K8-Inputs!$F$58+1,Inputs!$F$249,Inputs!$F$250,Inputs!$F$251,Inputs!$F$252,Inputs!$F$253)</f>
        <v/>
      </c>
      <c r="L9" s="16">
        <f>CHOOSE(L8-Inputs!$F$58+1,Inputs!$F$249,Inputs!$F$250,Inputs!$F$251,Inputs!$F$252,Inputs!$F$253)</f>
        <v/>
      </c>
      <c r="M9" s="16">
        <f>CHOOSE(M8-Inputs!$F$58+1,Inputs!$F$249,Inputs!$F$250,Inputs!$F$251,Inputs!$F$252,Inputs!$F$253)</f>
        <v/>
      </c>
      <c r="N9" s="16">
        <f>CHOOSE(N8-Inputs!$F$58+1,Inputs!$F$249,Inputs!$F$250,Inputs!$F$251,Inputs!$F$252,Inputs!$F$253)</f>
        <v/>
      </c>
      <c r="O9" s="16">
        <f>CHOOSE(O8-Inputs!$F$58+1,Inputs!$F$249,Inputs!$F$250,Inputs!$F$251,Inputs!$F$252,Inputs!$F$253)</f>
        <v/>
      </c>
      <c r="P9" s="16">
        <f>CHOOSE(P8-Inputs!$F$58+1,Inputs!$F$249,Inputs!$F$250,Inputs!$F$251,Inputs!$F$252,Inputs!$F$253)</f>
        <v/>
      </c>
      <c r="Q9" s="16">
        <f>CHOOSE(Q8-Inputs!$F$58+1,Inputs!$F$249,Inputs!$F$250,Inputs!$F$251,Inputs!$F$252,Inputs!$F$253)</f>
        <v/>
      </c>
      <c r="R9" s="16">
        <f>CHOOSE(R8-Inputs!$F$58+1,Inputs!$F$249,Inputs!$F$250,Inputs!$F$251,Inputs!$F$252,Inputs!$F$253)</f>
        <v/>
      </c>
      <c r="S9" s="16">
        <f>CHOOSE(S8-Inputs!$F$58+1,Inputs!$F$249,Inputs!$F$250,Inputs!$F$251,Inputs!$F$252,Inputs!$F$253)</f>
        <v/>
      </c>
      <c r="T9" s="16">
        <f>CHOOSE(T8-Inputs!$F$58+1,Inputs!$F$249,Inputs!$F$250,Inputs!$F$251,Inputs!$F$252,Inputs!$F$253)</f>
        <v/>
      </c>
      <c r="U9" s="16">
        <f>CHOOSE(U8-Inputs!$F$58+1,Inputs!$F$249,Inputs!$F$250,Inputs!$F$251,Inputs!$F$252,Inputs!$F$253)</f>
        <v/>
      </c>
      <c r="V9" s="16">
        <f>CHOOSE(V8-Inputs!$F$58+1,Inputs!$F$249,Inputs!$F$250,Inputs!$F$251,Inputs!$F$252,Inputs!$F$253)</f>
        <v/>
      </c>
      <c r="W9" s="16">
        <f>CHOOSE(W8-Inputs!$F$58+1,Inputs!$F$249,Inputs!$F$250,Inputs!$F$251,Inputs!$F$252,Inputs!$F$253)</f>
        <v/>
      </c>
      <c r="X9" s="16">
        <f>CHOOSE(X8-Inputs!$F$58+1,Inputs!$F$249,Inputs!$F$250,Inputs!$F$251,Inputs!$F$252,Inputs!$F$253)</f>
        <v/>
      </c>
      <c r="Y9" s="16">
        <f>CHOOSE(Y8-Inputs!$F$58+1,Inputs!$F$249,Inputs!$F$250,Inputs!$F$251,Inputs!$F$252,Inputs!$F$253)</f>
        <v/>
      </c>
      <c r="Z9" s="16">
        <f>CHOOSE(Z8-Inputs!$F$58+1,Inputs!$F$249,Inputs!$F$250,Inputs!$F$251,Inputs!$F$252,Inputs!$F$253)</f>
        <v/>
      </c>
      <c r="AA9" s="16">
        <f>CHOOSE(AA8-Inputs!$F$58+1,Inputs!$F$249,Inputs!$F$250,Inputs!$F$251,Inputs!$F$252,Inputs!$F$253)</f>
        <v/>
      </c>
      <c r="AB9" s="16">
        <f>CHOOSE(AB8-Inputs!$F$58+1,Inputs!$F$249,Inputs!$F$250,Inputs!$F$251,Inputs!$F$252,Inputs!$F$253)</f>
        <v/>
      </c>
      <c r="AC9" s="16">
        <f>CHOOSE(AC8-Inputs!$F$58+1,Inputs!$F$249,Inputs!$F$250,Inputs!$F$251,Inputs!$F$252,Inputs!$F$253)</f>
        <v/>
      </c>
      <c r="AD9" s="16">
        <f>CHOOSE(AD8-Inputs!$F$58+1,Inputs!$F$249,Inputs!$F$250,Inputs!$F$251,Inputs!$F$252,Inputs!$F$253)</f>
        <v/>
      </c>
      <c r="AE9" s="16">
        <f>CHOOSE(AE8-Inputs!$F$58+1,Inputs!$F$249,Inputs!$F$250,Inputs!$F$251,Inputs!$F$252,Inputs!$F$253)</f>
        <v/>
      </c>
      <c r="AF9" s="16">
        <f>CHOOSE(AF8-Inputs!$F$58+1,Inputs!$F$249,Inputs!$F$250,Inputs!$F$251,Inputs!$F$252,Inputs!$F$253)</f>
        <v/>
      </c>
      <c r="AG9" s="16">
        <f>CHOOSE(AG8-Inputs!$F$58+1,Inputs!$F$249,Inputs!$F$250,Inputs!$F$251,Inputs!$F$252,Inputs!$F$253)</f>
        <v/>
      </c>
      <c r="AH9" s="16">
        <f>CHOOSE(AH8-Inputs!$F$58+1,Inputs!$F$249,Inputs!$F$250,Inputs!$F$251,Inputs!$F$252,Inputs!$F$253)</f>
        <v/>
      </c>
      <c r="AI9" s="16">
        <f>CHOOSE(AI8-Inputs!$F$58+1,Inputs!$F$249,Inputs!$F$250,Inputs!$F$251,Inputs!$F$252,Inputs!$F$253)</f>
        <v/>
      </c>
      <c r="AJ9" s="16">
        <f>CHOOSE(AJ8-Inputs!$F$58+1,Inputs!$F$249,Inputs!$F$250,Inputs!$F$251,Inputs!$F$252,Inputs!$F$253)</f>
        <v/>
      </c>
      <c r="AK9" s="16">
        <f>CHOOSE(AK8-Inputs!$F$58+1,Inputs!$F$249,Inputs!$F$250,Inputs!$F$251,Inputs!$F$252,Inputs!$F$253)</f>
        <v/>
      </c>
      <c r="AL9" s="16">
        <f>CHOOSE(AL8-Inputs!$F$58+1,Inputs!$F$249,Inputs!$F$250,Inputs!$F$251,Inputs!$F$252,Inputs!$F$253)</f>
        <v/>
      </c>
      <c r="AM9" s="16">
        <f>CHOOSE(AM8-Inputs!$F$58+1,Inputs!$F$249,Inputs!$F$250,Inputs!$F$251,Inputs!$F$252,Inputs!$F$253)</f>
        <v/>
      </c>
      <c r="AN9" s="16">
        <f>CHOOSE(AN8-Inputs!$F$58+1,Inputs!$F$249,Inputs!$F$250,Inputs!$F$251,Inputs!$F$252,Inputs!$F$253)</f>
        <v/>
      </c>
      <c r="AO9" s="16">
        <f>CHOOSE(AO8-Inputs!$F$58+1,Inputs!$F$249,Inputs!$F$250,Inputs!$F$251,Inputs!$F$252,Inputs!$F$253)</f>
        <v/>
      </c>
      <c r="AP9" s="16">
        <f>CHOOSE(AP8-Inputs!$F$58+1,Inputs!$F$249,Inputs!$F$250,Inputs!$F$251,Inputs!$F$252,Inputs!$F$253)</f>
        <v/>
      </c>
      <c r="AQ9" s="16">
        <f>CHOOSE(AQ8-Inputs!$F$58+1,Inputs!$F$249,Inputs!$F$250,Inputs!$F$251,Inputs!$F$252,Inputs!$F$253)</f>
        <v/>
      </c>
      <c r="AR9" s="16">
        <f>CHOOSE(AR8-Inputs!$F$58+1,Inputs!$F$249,Inputs!$F$250,Inputs!$F$251,Inputs!$F$252,Inputs!$F$253)</f>
        <v/>
      </c>
      <c r="AS9" s="16">
        <f>CHOOSE(AS8-Inputs!$F$58+1,Inputs!$F$249,Inputs!$F$250,Inputs!$F$251,Inputs!$F$252,Inputs!$F$253)</f>
        <v/>
      </c>
      <c r="AT9" s="16">
        <f>CHOOSE(AT8-Inputs!$F$58+1,Inputs!$F$249,Inputs!$F$250,Inputs!$F$251,Inputs!$F$252,Inputs!$F$253)</f>
        <v/>
      </c>
      <c r="AU9" s="16">
        <f>CHOOSE(AU8-Inputs!$F$58+1,Inputs!$F$249,Inputs!$F$250,Inputs!$F$251,Inputs!$F$252,Inputs!$F$253)</f>
        <v/>
      </c>
      <c r="AV9" s="16">
        <f>CHOOSE(AV8-Inputs!$F$58+1,Inputs!$F$249,Inputs!$F$250,Inputs!$F$251,Inputs!$F$252,Inputs!$F$253)</f>
        <v/>
      </c>
      <c r="AW9" s="16">
        <f>CHOOSE(AW8-Inputs!$F$58+1,Inputs!$F$249,Inputs!$F$250,Inputs!$F$251,Inputs!$F$252,Inputs!$F$253)</f>
        <v/>
      </c>
      <c r="AX9" s="16">
        <f>CHOOSE(AX8-Inputs!$F$58+1,Inputs!$F$249,Inputs!$F$250,Inputs!$F$251,Inputs!$F$252,Inputs!$F$253)</f>
        <v/>
      </c>
      <c r="AY9" s="16">
        <f>CHOOSE(AY8-Inputs!$F$58+1,Inputs!$F$249,Inputs!$F$250,Inputs!$F$251,Inputs!$F$252,Inputs!$F$253)</f>
        <v/>
      </c>
      <c r="AZ9" s="16">
        <f>CHOOSE(AZ8-Inputs!$F$58+1,Inputs!$F$249,Inputs!$F$250,Inputs!$F$251,Inputs!$F$252,Inputs!$F$253)</f>
        <v/>
      </c>
      <c r="BA9" s="16">
        <f>CHOOSE(BA8-Inputs!$F$58+1,Inputs!$F$249,Inputs!$F$250,Inputs!$F$251,Inputs!$F$252,Inputs!$F$253)</f>
        <v/>
      </c>
      <c r="BB9" s="16">
        <f>CHOOSE(BB8-Inputs!$F$58+1,Inputs!$F$249,Inputs!$F$250,Inputs!$F$251,Inputs!$F$252,Inputs!$F$253)</f>
        <v/>
      </c>
      <c r="BC9" s="16">
        <f>CHOOSE(BC8-Inputs!$F$58+1,Inputs!$F$249,Inputs!$F$250,Inputs!$F$251,Inputs!$F$252,Inputs!$F$253)</f>
        <v/>
      </c>
      <c r="BD9" s="16">
        <f>CHOOSE(BD8-Inputs!$F$58+1,Inputs!$F$249,Inputs!$F$250,Inputs!$F$251,Inputs!$F$252,Inputs!$F$253)</f>
        <v/>
      </c>
      <c r="BE9" s="16">
        <f>CHOOSE(BE8-Inputs!$F$58+1,Inputs!$F$249,Inputs!$F$250,Inputs!$F$251,Inputs!$F$252,Inputs!$F$253)</f>
        <v/>
      </c>
      <c r="BF9" s="16">
        <f>CHOOSE(BF8-Inputs!$F$58+1,Inputs!$F$249,Inputs!$F$250,Inputs!$F$251,Inputs!$F$252,Inputs!$F$253)</f>
        <v/>
      </c>
      <c r="BG9" s="16">
        <f>CHOOSE(BG8-Inputs!$F$58+1,Inputs!$F$249,Inputs!$F$250,Inputs!$F$251,Inputs!$F$252,Inputs!$F$253)</f>
        <v/>
      </c>
      <c r="BH9" s="16">
        <f>CHOOSE(BH8-Inputs!$F$58+1,Inputs!$F$249,Inputs!$F$250,Inputs!$F$251,Inputs!$F$252,Inputs!$F$253)</f>
        <v/>
      </c>
      <c r="BI9" s="16">
        <f>CHOOSE(BI8-Inputs!$F$58+1,Inputs!$F$249,Inputs!$F$250,Inputs!$F$251,Inputs!$F$252,Inputs!$F$253)</f>
        <v/>
      </c>
      <c r="BJ9" s="16">
        <f>CHOOSE(BJ8-Inputs!$F$58+1,Inputs!$F$249,Inputs!$F$250,Inputs!$F$251,Inputs!$F$252,Inputs!$F$253)</f>
        <v/>
      </c>
      <c r="BK9" s="16">
        <f>CHOOSE(BK8-Inputs!$F$58+1,Inputs!$F$249,Inputs!$F$250,Inputs!$F$251,Inputs!$F$252,Inputs!$F$253)</f>
        <v/>
      </c>
      <c r="BL9" s="16">
        <f>CHOOSE(BL8-Inputs!$F$58+1,Inputs!$F$249,Inputs!$F$250,Inputs!$F$251,Inputs!$F$252,Inputs!$F$253)</f>
        <v/>
      </c>
      <c r="BM9" s="16">
        <f>CHOOSE(BM8-Inputs!$F$58+1,Inputs!$F$249,Inputs!$F$250,Inputs!$F$251,Inputs!$F$252,Inputs!$F$253)</f>
        <v/>
      </c>
      <c r="BN9" s="16">
        <f>CHOOSE(BN8-Inputs!$F$58+1,Inputs!$F$249,Inputs!$F$250,Inputs!$F$251,Inputs!$F$252,Inputs!$F$253)</f>
        <v/>
      </c>
      <c r="BO9" s="16">
        <f>CHOOSE(BO8-Inputs!$F$58+1,Inputs!$F$249,Inputs!$F$250,Inputs!$F$251,Inputs!$F$252,Inputs!$F$253)</f>
        <v/>
      </c>
      <c r="BP9" s="16">
        <f>CHOOSE(BP8-Inputs!$F$58+1,Inputs!$F$249,Inputs!$F$250,Inputs!$F$251,Inputs!$F$252,Inputs!$F$253)</f>
        <v/>
      </c>
      <c r="BQ9" s="16">
        <f>CHOOSE(BQ8-Inputs!$F$58+1,Inputs!$F$249,Inputs!$F$250,Inputs!$F$251,Inputs!$F$252,Inputs!$F$253)</f>
        <v/>
      </c>
      <c r="BR9" s="16">
        <f>CHOOSE(BR8-Inputs!$F$58+1,Inputs!$F$249,Inputs!$F$250,Inputs!$F$251,Inputs!$F$252,Inputs!$F$253)</f>
        <v/>
      </c>
      <c r="BS9" s="16">
        <f>CHOOSE(BS8-Inputs!$F$58+1,Inputs!$F$249,Inputs!$F$250,Inputs!$F$251,Inputs!$F$252,Inputs!$F$253)</f>
        <v/>
      </c>
      <c r="BT9" s="16">
        <f>CHOOSE(BT8-Inputs!$F$58+1,Inputs!$F$249,Inputs!$F$250,Inputs!$F$251,Inputs!$F$252,Inputs!$F$253)</f>
        <v/>
      </c>
      <c r="BU9" s="16">
        <f>CHOOSE(BU8-Inputs!$F$58+1,Inputs!$F$249,Inputs!$F$250,Inputs!$F$251,Inputs!$F$252,Inputs!$F$253)</f>
        <v/>
      </c>
      <c r="BV9" s="16">
        <f>CHOOSE(BV8-Inputs!$F$58+1,Inputs!$F$249,Inputs!$F$250,Inputs!$F$251,Inputs!$F$252,Inputs!$F$253)</f>
        <v/>
      </c>
      <c r="BW9" s="16">
        <f>CHOOSE(BW8-Inputs!$F$58+1,Inputs!$F$249,Inputs!$F$250,Inputs!$F$251,Inputs!$F$252,Inputs!$F$253)</f>
        <v/>
      </c>
      <c r="BX9" s="16">
        <f>CHOOSE(BX8-Inputs!$F$58+1,Inputs!$F$249,Inputs!$F$250,Inputs!$F$251,Inputs!$F$252,Inputs!$F$253)</f>
        <v/>
      </c>
      <c r="BY9" s="16">
        <f>CHOOSE(BY8-Inputs!$F$58+1,Inputs!$F$249,Inputs!$F$250,Inputs!$F$251,Inputs!$F$252,Inputs!$F$253)</f>
        <v/>
      </c>
      <c r="BZ9" s="16">
        <f>CHOOSE(BZ8-Inputs!$F$58+1,Inputs!$F$249,Inputs!$F$250,Inputs!$F$251,Inputs!$F$252,Inputs!$F$253)</f>
        <v/>
      </c>
      <c r="CA9" s="16">
        <f>CHOOSE(CA8-Inputs!$F$58+1,Inputs!$F$249,Inputs!$F$250,Inputs!$F$251,Inputs!$F$252,Inputs!$F$253)</f>
        <v/>
      </c>
      <c r="CB9" s="16">
        <f>CHOOSE(CB8-Inputs!$F$58+1,Inputs!$F$249,Inputs!$F$250,Inputs!$F$251,Inputs!$F$252,Inputs!$F$253)</f>
        <v/>
      </c>
      <c r="CC9" s="16">
        <f>CHOOSE(CC8-Inputs!$F$58+1,Inputs!$F$249,Inputs!$F$250,Inputs!$F$251,Inputs!$F$252,Inputs!$F$253)</f>
        <v/>
      </c>
      <c r="CD9" s="16">
        <f>CHOOSE(CD8-Inputs!$F$58+1,Inputs!$F$249,Inputs!$F$250,Inputs!$F$251,Inputs!$F$252,Inputs!$F$253)</f>
        <v/>
      </c>
      <c r="CE9" s="16">
        <f>CHOOSE(CE8-Inputs!$F$58+1,Inputs!$F$249,Inputs!$F$250,Inputs!$F$251,Inputs!$F$252,Inputs!$F$253)</f>
        <v/>
      </c>
      <c r="CF9" s="16">
        <f>CHOOSE(CF8-Inputs!$F$58+1,Inputs!$F$249,Inputs!$F$250,Inputs!$F$251,Inputs!$F$252,Inputs!$F$253)</f>
        <v/>
      </c>
      <c r="CG9" s="16">
        <f>CHOOSE(CG8-Inputs!$F$58+1,Inputs!$F$249,Inputs!$F$250,Inputs!$F$251,Inputs!$F$252,Inputs!$F$253)</f>
        <v/>
      </c>
      <c r="CH9" s="16">
        <f>CHOOSE(CH8-Inputs!$F$58+1,Inputs!$F$249,Inputs!$F$250,Inputs!$F$251,Inputs!$F$252,Inputs!$F$253)</f>
        <v/>
      </c>
      <c r="CI9" s="16">
        <f>CHOOSE(CI8-Inputs!$F$58+1,Inputs!$F$249,Inputs!$F$250,Inputs!$F$251,Inputs!$F$252,Inputs!$F$253)</f>
        <v/>
      </c>
      <c r="CJ9" s="16">
        <f>CHOOSE(CJ8-Inputs!$F$58+1,Inputs!$F$249,Inputs!$F$250,Inputs!$F$251,Inputs!$F$252,Inputs!$F$253)</f>
        <v/>
      </c>
      <c r="CK9" s="16">
        <f>CHOOSE(CK8-Inputs!$F$58+1,Inputs!$F$249,Inputs!$F$250,Inputs!$F$251,Inputs!$F$252,Inputs!$F$253)</f>
        <v/>
      </c>
      <c r="CL9" s="16">
        <f>CHOOSE(CL8-Inputs!$F$58+1,Inputs!$F$249,Inputs!$F$250,Inputs!$F$251,Inputs!$F$252,Inputs!$F$253)</f>
        <v/>
      </c>
      <c r="CM9" s="16">
        <f>CHOOSE(CM8-Inputs!$F$58+1,Inputs!$F$249,Inputs!$F$250,Inputs!$F$251,Inputs!$F$252,Inputs!$F$253)</f>
        <v/>
      </c>
      <c r="CN9" s="16">
        <f>CHOOSE(CN8-Inputs!$F$58+1,Inputs!$F$249,Inputs!$F$250,Inputs!$F$251,Inputs!$F$252,Inputs!$F$253)</f>
        <v/>
      </c>
      <c r="CO9" s="16">
        <f>CHOOSE(CO8-Inputs!$F$58+1,Inputs!$F$249,Inputs!$F$250,Inputs!$F$251,Inputs!$F$252,Inputs!$F$253)</f>
        <v/>
      </c>
      <c r="CP9" s="16">
        <f>CHOOSE(CP8-Inputs!$F$58+1,Inputs!$F$249,Inputs!$F$250,Inputs!$F$251,Inputs!$F$252,Inputs!$F$253)</f>
        <v/>
      </c>
      <c r="CQ9" s="16">
        <f>CHOOSE(CQ8-Inputs!$F$58+1,Inputs!$F$249,Inputs!$F$250,Inputs!$F$251,Inputs!$F$252,Inputs!$F$253)</f>
        <v/>
      </c>
      <c r="CR9" s="16">
        <f>CHOOSE(CR8-Inputs!$F$58+1,Inputs!$F$249,Inputs!$F$250,Inputs!$F$251,Inputs!$F$252,Inputs!$F$253)</f>
        <v/>
      </c>
      <c r="CS9" s="16">
        <f>CHOOSE(CS8-Inputs!$F$58+1,Inputs!$F$249,Inputs!$F$250,Inputs!$F$251,Inputs!$F$252,Inputs!$F$253)</f>
        <v/>
      </c>
      <c r="CT9" s="16">
        <f>CHOOSE(CT8-Inputs!$F$58+1,Inputs!$F$249,Inputs!$F$250,Inputs!$F$251,Inputs!$F$252,Inputs!$F$253)</f>
        <v/>
      </c>
      <c r="CU9" s="16">
        <f>CHOOSE(CU8-Inputs!$F$58+1,Inputs!$F$249,Inputs!$F$250,Inputs!$F$251,Inputs!$F$252,Inputs!$F$253)</f>
        <v/>
      </c>
      <c r="CV9" s="16">
        <f>CHOOSE(CV8-Inputs!$F$58+1,Inputs!$F$249,Inputs!$F$250,Inputs!$F$251,Inputs!$F$252,Inputs!$F$253)</f>
        <v/>
      </c>
      <c r="CW9" s="16">
        <f>CHOOSE(CW8-Inputs!$F$58+1,Inputs!$F$249,Inputs!$F$250,Inputs!$F$251,Inputs!$F$252,Inputs!$F$253)</f>
        <v/>
      </c>
      <c r="CX9" s="16">
        <f>CHOOSE(CX8-Inputs!$F$58+1,Inputs!$F$249,Inputs!$F$250,Inputs!$F$251,Inputs!$F$252,Inputs!$F$253)</f>
        <v/>
      </c>
      <c r="CY9" s="16">
        <f>CHOOSE(CY8-Inputs!$F$58+1,Inputs!$F$249,Inputs!$F$250,Inputs!$F$251,Inputs!$F$252,Inputs!$F$253)</f>
        <v/>
      </c>
      <c r="CZ9" s="16">
        <f>CHOOSE(CZ8-Inputs!$F$58+1,Inputs!$F$249,Inputs!$F$250,Inputs!$F$251,Inputs!$F$252,Inputs!$F$253)</f>
        <v/>
      </c>
      <c r="DA9" s="16">
        <f>CHOOSE(DA8-Inputs!$F$58+1,Inputs!$F$249,Inputs!$F$250,Inputs!$F$251,Inputs!$F$252,Inputs!$F$253)</f>
        <v/>
      </c>
      <c r="DB9" s="16">
        <f>CHOOSE(DB8-Inputs!$F$58+1,Inputs!$F$249,Inputs!$F$250,Inputs!$F$251,Inputs!$F$252,Inputs!$F$253)</f>
        <v/>
      </c>
    </row>
    <row r="10">
      <c r="D10" t="inlineStr">
        <is>
          <t>Heavy-vehicle uplift factor</t>
        </is>
      </c>
      <c r="E10" t="inlineStr">
        <is>
          <t>factor</t>
        </is>
      </c>
      <c r="J10" s="16">
        <f>IF(Time!J11&gt;=Inputs!$F$60,1+Inputs!$F$247/100,1)</f>
        <v/>
      </c>
      <c r="K10" s="16">
        <f>IF(Time!K11&gt;=Inputs!$F$60,1+Inputs!$F$247/100,1)</f>
        <v/>
      </c>
      <c r="L10" s="16">
        <f>IF(Time!L11&gt;=Inputs!$F$60,1+Inputs!$F$247/100,1)</f>
        <v/>
      </c>
      <c r="M10" s="16">
        <f>IF(Time!M11&gt;=Inputs!$F$60,1+Inputs!$F$247/100,1)</f>
        <v/>
      </c>
      <c r="N10" s="16">
        <f>IF(Time!N11&gt;=Inputs!$F$60,1+Inputs!$F$247/100,1)</f>
        <v/>
      </c>
      <c r="O10" s="16">
        <f>IF(Time!O11&gt;=Inputs!$F$60,1+Inputs!$F$247/100,1)</f>
        <v/>
      </c>
      <c r="P10" s="16">
        <f>IF(Time!P11&gt;=Inputs!$F$60,1+Inputs!$F$247/100,1)</f>
        <v/>
      </c>
      <c r="Q10" s="16">
        <f>IF(Time!Q11&gt;=Inputs!$F$60,1+Inputs!$F$247/100,1)</f>
        <v/>
      </c>
      <c r="R10" s="16">
        <f>IF(Time!R11&gt;=Inputs!$F$60,1+Inputs!$F$247/100,1)</f>
        <v/>
      </c>
      <c r="S10" s="16">
        <f>IF(Time!S11&gt;=Inputs!$F$60,1+Inputs!$F$247/100,1)</f>
        <v/>
      </c>
      <c r="T10" s="16">
        <f>IF(Time!T11&gt;=Inputs!$F$60,1+Inputs!$F$247/100,1)</f>
        <v/>
      </c>
      <c r="U10" s="16">
        <f>IF(Time!U11&gt;=Inputs!$F$60,1+Inputs!$F$247/100,1)</f>
        <v/>
      </c>
      <c r="V10" s="16">
        <f>IF(Time!V11&gt;=Inputs!$F$60,1+Inputs!$F$247/100,1)</f>
        <v/>
      </c>
      <c r="W10" s="16">
        <f>IF(Time!W11&gt;=Inputs!$F$60,1+Inputs!$F$247/100,1)</f>
        <v/>
      </c>
      <c r="X10" s="16">
        <f>IF(Time!X11&gt;=Inputs!$F$60,1+Inputs!$F$247/100,1)</f>
        <v/>
      </c>
      <c r="Y10" s="16">
        <f>IF(Time!Y11&gt;=Inputs!$F$60,1+Inputs!$F$247/100,1)</f>
        <v/>
      </c>
      <c r="Z10" s="16">
        <f>IF(Time!Z11&gt;=Inputs!$F$60,1+Inputs!$F$247/100,1)</f>
        <v/>
      </c>
      <c r="AA10" s="16">
        <f>IF(Time!AA11&gt;=Inputs!$F$60,1+Inputs!$F$247/100,1)</f>
        <v/>
      </c>
      <c r="AB10" s="16">
        <f>IF(Time!AB11&gt;=Inputs!$F$60,1+Inputs!$F$247/100,1)</f>
        <v/>
      </c>
      <c r="AC10" s="16">
        <f>IF(Time!AC11&gt;=Inputs!$F$60,1+Inputs!$F$247/100,1)</f>
        <v/>
      </c>
      <c r="AD10" s="16">
        <f>IF(Time!AD11&gt;=Inputs!$F$60,1+Inputs!$F$247/100,1)</f>
        <v/>
      </c>
      <c r="AE10" s="16">
        <f>IF(Time!AE11&gt;=Inputs!$F$60,1+Inputs!$F$247/100,1)</f>
        <v/>
      </c>
      <c r="AF10" s="16">
        <f>IF(Time!AF11&gt;=Inputs!$F$60,1+Inputs!$F$247/100,1)</f>
        <v/>
      </c>
      <c r="AG10" s="16">
        <f>IF(Time!AG11&gt;=Inputs!$F$60,1+Inputs!$F$247/100,1)</f>
        <v/>
      </c>
      <c r="AH10" s="16">
        <f>IF(Time!AH11&gt;=Inputs!$F$60,1+Inputs!$F$247/100,1)</f>
        <v/>
      </c>
      <c r="AI10" s="16">
        <f>IF(Time!AI11&gt;=Inputs!$F$60,1+Inputs!$F$247/100,1)</f>
        <v/>
      </c>
      <c r="AJ10" s="16">
        <f>IF(Time!AJ11&gt;=Inputs!$F$60,1+Inputs!$F$247/100,1)</f>
        <v/>
      </c>
      <c r="AK10" s="16">
        <f>IF(Time!AK11&gt;=Inputs!$F$60,1+Inputs!$F$247/100,1)</f>
        <v/>
      </c>
      <c r="AL10" s="16">
        <f>IF(Time!AL11&gt;=Inputs!$F$60,1+Inputs!$F$247/100,1)</f>
        <v/>
      </c>
      <c r="AM10" s="16">
        <f>IF(Time!AM11&gt;=Inputs!$F$60,1+Inputs!$F$247/100,1)</f>
        <v/>
      </c>
      <c r="AN10" s="16">
        <f>IF(Time!AN11&gt;=Inputs!$F$60,1+Inputs!$F$247/100,1)</f>
        <v/>
      </c>
      <c r="AO10" s="16">
        <f>IF(Time!AO11&gt;=Inputs!$F$60,1+Inputs!$F$247/100,1)</f>
        <v/>
      </c>
      <c r="AP10" s="16">
        <f>IF(Time!AP11&gt;=Inputs!$F$60,1+Inputs!$F$247/100,1)</f>
        <v/>
      </c>
      <c r="AQ10" s="16">
        <f>IF(Time!AQ11&gt;=Inputs!$F$60,1+Inputs!$F$247/100,1)</f>
        <v/>
      </c>
      <c r="AR10" s="16">
        <f>IF(Time!AR11&gt;=Inputs!$F$60,1+Inputs!$F$247/100,1)</f>
        <v/>
      </c>
      <c r="AS10" s="16">
        <f>IF(Time!AS11&gt;=Inputs!$F$60,1+Inputs!$F$247/100,1)</f>
        <v/>
      </c>
      <c r="AT10" s="16">
        <f>IF(Time!AT11&gt;=Inputs!$F$60,1+Inputs!$F$247/100,1)</f>
        <v/>
      </c>
      <c r="AU10" s="16">
        <f>IF(Time!AU11&gt;=Inputs!$F$60,1+Inputs!$F$247/100,1)</f>
        <v/>
      </c>
      <c r="AV10" s="16">
        <f>IF(Time!AV11&gt;=Inputs!$F$60,1+Inputs!$F$247/100,1)</f>
        <v/>
      </c>
      <c r="AW10" s="16">
        <f>IF(Time!AW11&gt;=Inputs!$F$60,1+Inputs!$F$247/100,1)</f>
        <v/>
      </c>
      <c r="AX10" s="16">
        <f>IF(Time!AX11&gt;=Inputs!$F$60,1+Inputs!$F$247/100,1)</f>
        <v/>
      </c>
      <c r="AY10" s="16">
        <f>IF(Time!AY11&gt;=Inputs!$F$60,1+Inputs!$F$247/100,1)</f>
        <v/>
      </c>
      <c r="AZ10" s="16">
        <f>IF(Time!AZ11&gt;=Inputs!$F$60,1+Inputs!$F$247/100,1)</f>
        <v/>
      </c>
      <c r="BA10" s="16">
        <f>IF(Time!BA11&gt;=Inputs!$F$60,1+Inputs!$F$247/100,1)</f>
        <v/>
      </c>
      <c r="BB10" s="16">
        <f>IF(Time!BB11&gt;=Inputs!$F$60,1+Inputs!$F$247/100,1)</f>
        <v/>
      </c>
      <c r="BC10" s="16">
        <f>IF(Time!BC11&gt;=Inputs!$F$60,1+Inputs!$F$247/100,1)</f>
        <v/>
      </c>
      <c r="BD10" s="16">
        <f>IF(Time!BD11&gt;=Inputs!$F$60,1+Inputs!$F$247/100,1)</f>
        <v/>
      </c>
      <c r="BE10" s="16">
        <f>IF(Time!BE11&gt;=Inputs!$F$60,1+Inputs!$F$247/100,1)</f>
        <v/>
      </c>
      <c r="BF10" s="16">
        <f>IF(Time!BF11&gt;=Inputs!$F$60,1+Inputs!$F$247/100,1)</f>
        <v/>
      </c>
      <c r="BG10" s="16">
        <f>IF(Time!BG11&gt;=Inputs!$F$60,1+Inputs!$F$247/100,1)</f>
        <v/>
      </c>
      <c r="BH10" s="16">
        <f>IF(Time!BH11&gt;=Inputs!$F$60,1+Inputs!$F$247/100,1)</f>
        <v/>
      </c>
      <c r="BI10" s="16">
        <f>IF(Time!BI11&gt;=Inputs!$F$60,1+Inputs!$F$247/100,1)</f>
        <v/>
      </c>
      <c r="BJ10" s="16">
        <f>IF(Time!BJ11&gt;=Inputs!$F$60,1+Inputs!$F$247/100,1)</f>
        <v/>
      </c>
      <c r="BK10" s="16">
        <f>IF(Time!BK11&gt;=Inputs!$F$60,1+Inputs!$F$247/100,1)</f>
        <v/>
      </c>
      <c r="BL10" s="16">
        <f>IF(Time!BL11&gt;=Inputs!$F$60,1+Inputs!$F$247/100,1)</f>
        <v/>
      </c>
      <c r="BM10" s="16">
        <f>IF(Time!BM11&gt;=Inputs!$F$60,1+Inputs!$F$247/100,1)</f>
        <v/>
      </c>
      <c r="BN10" s="16">
        <f>IF(Time!BN11&gt;=Inputs!$F$60,1+Inputs!$F$247/100,1)</f>
        <v/>
      </c>
      <c r="BO10" s="16">
        <f>IF(Time!BO11&gt;=Inputs!$F$60,1+Inputs!$F$247/100,1)</f>
        <v/>
      </c>
      <c r="BP10" s="16">
        <f>IF(Time!BP11&gt;=Inputs!$F$60,1+Inputs!$F$247/100,1)</f>
        <v/>
      </c>
      <c r="BQ10" s="16">
        <f>IF(Time!BQ11&gt;=Inputs!$F$60,1+Inputs!$F$247/100,1)</f>
        <v/>
      </c>
      <c r="BR10" s="16">
        <f>IF(Time!BR11&gt;=Inputs!$F$60,1+Inputs!$F$247/100,1)</f>
        <v/>
      </c>
      <c r="BS10" s="16">
        <f>IF(Time!BS11&gt;=Inputs!$F$60,1+Inputs!$F$247/100,1)</f>
        <v/>
      </c>
      <c r="BT10" s="16">
        <f>IF(Time!BT11&gt;=Inputs!$F$60,1+Inputs!$F$247/100,1)</f>
        <v/>
      </c>
      <c r="BU10" s="16">
        <f>IF(Time!BU11&gt;=Inputs!$F$60,1+Inputs!$F$247/100,1)</f>
        <v/>
      </c>
      <c r="BV10" s="16">
        <f>IF(Time!BV11&gt;=Inputs!$F$60,1+Inputs!$F$247/100,1)</f>
        <v/>
      </c>
      <c r="BW10" s="16">
        <f>IF(Time!BW11&gt;=Inputs!$F$60,1+Inputs!$F$247/100,1)</f>
        <v/>
      </c>
      <c r="BX10" s="16">
        <f>IF(Time!BX11&gt;=Inputs!$F$60,1+Inputs!$F$247/100,1)</f>
        <v/>
      </c>
      <c r="BY10" s="16">
        <f>IF(Time!BY11&gt;=Inputs!$F$60,1+Inputs!$F$247/100,1)</f>
        <v/>
      </c>
      <c r="BZ10" s="16">
        <f>IF(Time!BZ11&gt;=Inputs!$F$60,1+Inputs!$F$247/100,1)</f>
        <v/>
      </c>
      <c r="CA10" s="16">
        <f>IF(Time!CA11&gt;=Inputs!$F$60,1+Inputs!$F$247/100,1)</f>
        <v/>
      </c>
      <c r="CB10" s="16">
        <f>IF(Time!CB11&gt;=Inputs!$F$60,1+Inputs!$F$247/100,1)</f>
        <v/>
      </c>
      <c r="CC10" s="16">
        <f>IF(Time!CC11&gt;=Inputs!$F$60,1+Inputs!$F$247/100,1)</f>
        <v/>
      </c>
      <c r="CD10" s="16">
        <f>IF(Time!CD11&gt;=Inputs!$F$60,1+Inputs!$F$247/100,1)</f>
        <v/>
      </c>
      <c r="CE10" s="16">
        <f>IF(Time!CE11&gt;=Inputs!$F$60,1+Inputs!$F$247/100,1)</f>
        <v/>
      </c>
      <c r="CF10" s="16">
        <f>IF(Time!CF11&gt;=Inputs!$F$60,1+Inputs!$F$247/100,1)</f>
        <v/>
      </c>
      <c r="CG10" s="16">
        <f>IF(Time!CG11&gt;=Inputs!$F$60,1+Inputs!$F$247/100,1)</f>
        <v/>
      </c>
      <c r="CH10" s="16">
        <f>IF(Time!CH11&gt;=Inputs!$F$60,1+Inputs!$F$247/100,1)</f>
        <v/>
      </c>
      <c r="CI10" s="16">
        <f>IF(Time!CI11&gt;=Inputs!$F$60,1+Inputs!$F$247/100,1)</f>
        <v/>
      </c>
      <c r="CJ10" s="16">
        <f>IF(Time!CJ11&gt;=Inputs!$F$60,1+Inputs!$F$247/100,1)</f>
        <v/>
      </c>
      <c r="CK10" s="16">
        <f>IF(Time!CK11&gt;=Inputs!$F$60,1+Inputs!$F$247/100,1)</f>
        <v/>
      </c>
      <c r="CL10" s="16">
        <f>IF(Time!CL11&gt;=Inputs!$F$60,1+Inputs!$F$247/100,1)</f>
        <v/>
      </c>
      <c r="CM10" s="16">
        <f>IF(Time!CM11&gt;=Inputs!$F$60,1+Inputs!$F$247/100,1)</f>
        <v/>
      </c>
      <c r="CN10" s="16">
        <f>IF(Time!CN11&gt;=Inputs!$F$60,1+Inputs!$F$247/100,1)</f>
        <v/>
      </c>
      <c r="CO10" s="16">
        <f>IF(Time!CO11&gt;=Inputs!$F$60,1+Inputs!$F$247/100,1)</f>
        <v/>
      </c>
      <c r="CP10" s="16">
        <f>IF(Time!CP11&gt;=Inputs!$F$60,1+Inputs!$F$247/100,1)</f>
        <v/>
      </c>
      <c r="CQ10" s="16">
        <f>IF(Time!CQ11&gt;=Inputs!$F$60,1+Inputs!$F$247/100,1)</f>
        <v/>
      </c>
      <c r="CR10" s="16">
        <f>IF(Time!CR11&gt;=Inputs!$F$60,1+Inputs!$F$247/100,1)</f>
        <v/>
      </c>
      <c r="CS10" s="16">
        <f>IF(Time!CS11&gt;=Inputs!$F$60,1+Inputs!$F$247/100,1)</f>
        <v/>
      </c>
      <c r="CT10" s="16">
        <f>IF(Time!CT11&gt;=Inputs!$F$60,1+Inputs!$F$247/100,1)</f>
        <v/>
      </c>
      <c r="CU10" s="16">
        <f>IF(Time!CU11&gt;=Inputs!$F$60,1+Inputs!$F$247/100,1)</f>
        <v/>
      </c>
      <c r="CV10" s="16">
        <f>IF(Time!CV11&gt;=Inputs!$F$60,1+Inputs!$F$247/100,1)</f>
        <v/>
      </c>
      <c r="CW10" s="16">
        <f>IF(Time!CW11&gt;=Inputs!$F$60,1+Inputs!$F$247/100,1)</f>
        <v/>
      </c>
      <c r="CX10" s="16">
        <f>IF(Time!CX11&gt;=Inputs!$F$60,1+Inputs!$F$247/100,1)</f>
        <v/>
      </c>
      <c r="CY10" s="16">
        <f>IF(Time!CY11&gt;=Inputs!$F$60,1+Inputs!$F$247/100,1)</f>
        <v/>
      </c>
      <c r="CZ10" s="16">
        <f>IF(Time!CZ11&gt;=Inputs!$F$60,1+Inputs!$F$247/100,1)</f>
        <v/>
      </c>
      <c r="DA10" s="16">
        <f>IF(Time!DA11&gt;=Inputs!$F$60,1+Inputs!$F$247/100,1)</f>
        <v/>
      </c>
      <c r="DB10" s="16">
        <f>IF(Time!DB11&gt;=Inputs!$F$60,1+Inputs!$F$247/100,1)</f>
        <v/>
      </c>
    </row>
    <row r="11">
      <c r="D11" t="inlineStr">
        <is>
          <t>Forecast traffic</t>
        </is>
      </c>
      <c r="E11" t="inlineStr">
        <is>
          <t>k/day</t>
        </is>
      </c>
      <c r="J11" s="16">
        <f>J7*J9*J10*Inputs!$F$219</f>
        <v/>
      </c>
      <c r="K11" s="16">
        <f>K7*K9*K10*Inputs!$F$219</f>
        <v/>
      </c>
      <c r="L11" s="16">
        <f>L7*L9*L10*Inputs!$F$219</f>
        <v/>
      </c>
      <c r="M11" s="16">
        <f>M7*M9*M10*Inputs!$F$219</f>
        <v/>
      </c>
      <c r="N11" s="16">
        <f>N7*N9*N10*Inputs!$F$219</f>
        <v/>
      </c>
      <c r="O11" s="16">
        <f>O7*O9*O10*Inputs!$F$219</f>
        <v/>
      </c>
      <c r="P11" s="16">
        <f>P7*P9*P10*Inputs!$F$219</f>
        <v/>
      </c>
      <c r="Q11" s="16">
        <f>Q7*Q9*Q10*Inputs!$F$219</f>
        <v/>
      </c>
      <c r="R11" s="16">
        <f>R7*R9*R10*Inputs!$F$219</f>
        <v/>
      </c>
      <c r="S11" s="16">
        <f>S7*S9*S10*Inputs!$F$219</f>
        <v/>
      </c>
      <c r="T11" s="16">
        <f>T7*T9*T10*Inputs!$F$219</f>
        <v/>
      </c>
      <c r="U11" s="16">
        <f>U7*U9*U10*Inputs!$F$219</f>
        <v/>
      </c>
      <c r="V11" s="16">
        <f>V7*V9*V10*Inputs!$F$219</f>
        <v/>
      </c>
      <c r="W11" s="16">
        <f>W7*W9*W10*Inputs!$F$219</f>
        <v/>
      </c>
      <c r="X11" s="16">
        <f>X7*X9*X10*Inputs!$F$219</f>
        <v/>
      </c>
      <c r="Y11" s="16">
        <f>Y7*Y9*Y10*Inputs!$F$219</f>
        <v/>
      </c>
      <c r="Z11" s="16">
        <f>Z7*Z9*Z10*Inputs!$F$219</f>
        <v/>
      </c>
      <c r="AA11" s="16">
        <f>AA7*AA9*AA10*Inputs!$F$219</f>
        <v/>
      </c>
      <c r="AB11" s="16">
        <f>AB7*AB9*AB10*Inputs!$F$219</f>
        <v/>
      </c>
      <c r="AC11" s="16">
        <f>AC7*AC9*AC10*Inputs!$F$219</f>
        <v/>
      </c>
      <c r="AD11" s="16">
        <f>AD7*AD9*AD10*Inputs!$F$219</f>
        <v/>
      </c>
      <c r="AE11" s="16">
        <f>AE7*AE9*AE10*Inputs!$F$219</f>
        <v/>
      </c>
      <c r="AF11" s="16">
        <f>AF7*AF9*AF10*Inputs!$F$219</f>
        <v/>
      </c>
      <c r="AG11" s="16">
        <f>AG7*AG9*AG10*Inputs!$F$219</f>
        <v/>
      </c>
      <c r="AH11" s="16">
        <f>AH7*AH9*AH10*Inputs!$F$219</f>
        <v/>
      </c>
      <c r="AI11" s="16">
        <f>AI7*AI9*AI10*Inputs!$F$219</f>
        <v/>
      </c>
      <c r="AJ11" s="16">
        <f>AJ7*AJ9*AJ10*Inputs!$F$219</f>
        <v/>
      </c>
      <c r="AK11" s="16">
        <f>AK7*AK9*AK10*Inputs!$F$219</f>
        <v/>
      </c>
      <c r="AL11" s="16">
        <f>AL7*AL9*AL10*Inputs!$F$219</f>
        <v/>
      </c>
      <c r="AM11" s="16">
        <f>AM7*AM9*AM10*Inputs!$F$219</f>
        <v/>
      </c>
      <c r="AN11" s="16">
        <f>AN7*AN9*AN10*Inputs!$F$219</f>
        <v/>
      </c>
      <c r="AO11" s="16">
        <f>AO7*AO9*AO10*Inputs!$F$219</f>
        <v/>
      </c>
      <c r="AP11" s="16">
        <f>AP7*AP9*AP10*Inputs!$F$219</f>
        <v/>
      </c>
      <c r="AQ11" s="16">
        <f>AQ7*AQ9*AQ10*Inputs!$F$219</f>
        <v/>
      </c>
      <c r="AR11" s="16">
        <f>AR7*AR9*AR10*Inputs!$F$219</f>
        <v/>
      </c>
      <c r="AS11" s="16">
        <f>AS7*AS9*AS10*Inputs!$F$219</f>
        <v/>
      </c>
      <c r="AT11" s="16">
        <f>AT7*AT9*AT10*Inputs!$F$219</f>
        <v/>
      </c>
      <c r="AU11" s="16">
        <f>AU7*AU9*AU10*Inputs!$F$219</f>
        <v/>
      </c>
      <c r="AV11" s="16">
        <f>AV7*AV9*AV10*Inputs!$F$219</f>
        <v/>
      </c>
      <c r="AW11" s="16">
        <f>AW7*AW9*AW10*Inputs!$F$219</f>
        <v/>
      </c>
      <c r="AX11" s="16">
        <f>AX7*AX9*AX10*Inputs!$F$219</f>
        <v/>
      </c>
      <c r="AY11" s="16">
        <f>AY7*AY9*AY10*Inputs!$F$219</f>
        <v/>
      </c>
      <c r="AZ11" s="16">
        <f>AZ7*AZ9*AZ10*Inputs!$F$219</f>
        <v/>
      </c>
      <c r="BA11" s="16">
        <f>BA7*BA9*BA10*Inputs!$F$219</f>
        <v/>
      </c>
      <c r="BB11" s="16">
        <f>BB7*BB9*BB10*Inputs!$F$219</f>
        <v/>
      </c>
      <c r="BC11" s="16">
        <f>BC7*BC9*BC10*Inputs!$F$219</f>
        <v/>
      </c>
      <c r="BD11" s="16">
        <f>BD7*BD9*BD10*Inputs!$F$219</f>
        <v/>
      </c>
      <c r="BE11" s="16">
        <f>BE7*BE9*BE10*Inputs!$F$219</f>
        <v/>
      </c>
      <c r="BF11" s="16">
        <f>BF7*BF9*BF10*Inputs!$F$219</f>
        <v/>
      </c>
      <c r="BG11" s="16">
        <f>BG7*BG9*BG10*Inputs!$F$219</f>
        <v/>
      </c>
      <c r="BH11" s="16">
        <f>BH7*BH9*BH10*Inputs!$F$219</f>
        <v/>
      </c>
      <c r="BI11" s="16">
        <f>BI7*BI9*BI10*Inputs!$F$219</f>
        <v/>
      </c>
      <c r="BJ11" s="16">
        <f>BJ7*BJ9*BJ10*Inputs!$F$219</f>
        <v/>
      </c>
      <c r="BK11" s="16">
        <f>BK7*BK9*BK10*Inputs!$F$219</f>
        <v/>
      </c>
      <c r="BL11" s="16">
        <f>BL7*BL9*BL10*Inputs!$F$219</f>
        <v/>
      </c>
      <c r="BM11" s="16">
        <f>BM7*BM9*BM10*Inputs!$F$219</f>
        <v/>
      </c>
      <c r="BN11" s="16">
        <f>BN7*BN9*BN10*Inputs!$F$219</f>
        <v/>
      </c>
      <c r="BO11" s="16">
        <f>BO7*BO9*BO10*Inputs!$F$219</f>
        <v/>
      </c>
      <c r="BP11" s="16">
        <f>BP7*BP9*BP10*Inputs!$F$219</f>
        <v/>
      </c>
      <c r="BQ11" s="16">
        <f>BQ7*BQ9*BQ10*Inputs!$F$219</f>
        <v/>
      </c>
      <c r="BR11" s="16">
        <f>BR7*BR9*BR10*Inputs!$F$219</f>
        <v/>
      </c>
      <c r="BS11" s="16">
        <f>BS7*BS9*BS10*Inputs!$F$219</f>
        <v/>
      </c>
      <c r="BT11" s="16">
        <f>BT7*BT9*BT10*Inputs!$F$219</f>
        <v/>
      </c>
      <c r="BU11" s="16">
        <f>BU7*BU9*BU10*Inputs!$F$219</f>
        <v/>
      </c>
      <c r="BV11" s="16">
        <f>BV7*BV9*BV10*Inputs!$F$219</f>
        <v/>
      </c>
      <c r="BW11" s="16">
        <f>BW7*BW9*BW10*Inputs!$F$219</f>
        <v/>
      </c>
      <c r="BX11" s="16">
        <f>BX7*BX9*BX10*Inputs!$F$219</f>
        <v/>
      </c>
      <c r="BY11" s="16">
        <f>BY7*BY9*BY10*Inputs!$F$219</f>
        <v/>
      </c>
      <c r="BZ11" s="16">
        <f>BZ7*BZ9*BZ10*Inputs!$F$219</f>
        <v/>
      </c>
      <c r="CA11" s="16">
        <f>CA7*CA9*CA10*Inputs!$F$219</f>
        <v/>
      </c>
      <c r="CB11" s="16">
        <f>CB7*CB9*CB10*Inputs!$F$219</f>
        <v/>
      </c>
      <c r="CC11" s="16">
        <f>CC7*CC9*CC10*Inputs!$F$219</f>
        <v/>
      </c>
      <c r="CD11" s="16">
        <f>CD7*CD9*CD10*Inputs!$F$219</f>
        <v/>
      </c>
      <c r="CE11" s="16">
        <f>CE7*CE9*CE10*Inputs!$F$219</f>
        <v/>
      </c>
      <c r="CF11" s="16">
        <f>CF7*CF9*CF10*Inputs!$F$219</f>
        <v/>
      </c>
      <c r="CG11" s="16">
        <f>CG7*CG9*CG10*Inputs!$F$219</f>
        <v/>
      </c>
      <c r="CH11" s="16">
        <f>CH7*CH9*CH10*Inputs!$F$219</f>
        <v/>
      </c>
      <c r="CI11" s="16">
        <f>CI7*CI9*CI10*Inputs!$F$219</f>
        <v/>
      </c>
      <c r="CJ11" s="16">
        <f>CJ7*CJ9*CJ10*Inputs!$F$219</f>
        <v/>
      </c>
      <c r="CK11" s="16">
        <f>CK7*CK9*CK10*Inputs!$F$219</f>
        <v/>
      </c>
      <c r="CL11" s="16">
        <f>CL7*CL9*CL10*Inputs!$F$219</f>
        <v/>
      </c>
      <c r="CM11" s="16">
        <f>CM7*CM9*CM10*Inputs!$F$219</f>
        <v/>
      </c>
      <c r="CN11" s="16">
        <f>CN7*CN9*CN10*Inputs!$F$219</f>
        <v/>
      </c>
      <c r="CO11" s="16">
        <f>CO7*CO9*CO10*Inputs!$F$219</f>
        <v/>
      </c>
      <c r="CP11" s="16">
        <f>CP7*CP9*CP10*Inputs!$F$219</f>
        <v/>
      </c>
      <c r="CQ11" s="16">
        <f>CQ7*CQ9*CQ10*Inputs!$F$219</f>
        <v/>
      </c>
      <c r="CR11" s="16">
        <f>CR7*CR9*CR10*Inputs!$F$219</f>
        <v/>
      </c>
      <c r="CS11" s="16">
        <f>CS7*CS9*CS10*Inputs!$F$219</f>
        <v/>
      </c>
      <c r="CT11" s="16">
        <f>CT7*CT9*CT10*Inputs!$F$219</f>
        <v/>
      </c>
      <c r="CU11" s="16">
        <f>CU7*CU9*CU10*Inputs!$F$219</f>
        <v/>
      </c>
      <c r="CV11" s="16">
        <f>CV7*CV9*CV10*Inputs!$F$219</f>
        <v/>
      </c>
      <c r="CW11" s="16">
        <f>CW7*CW9*CW10*Inputs!$F$219</f>
        <v/>
      </c>
      <c r="CX11" s="16">
        <f>CX7*CX9*CX10*Inputs!$F$219</f>
        <v/>
      </c>
      <c r="CY11" s="16">
        <f>CY7*CY9*CY10*Inputs!$F$219</f>
        <v/>
      </c>
      <c r="CZ11" s="16">
        <f>CZ7*CZ9*CZ10*Inputs!$F$219</f>
        <v/>
      </c>
      <c r="DA11" s="16">
        <f>DA7*DA9*DA10*Inputs!$F$219</f>
        <v/>
      </c>
      <c r="DB11" s="16">
        <f>DB7*DB9*DB10*Inputs!$F$219</f>
        <v/>
      </c>
    </row>
    <row r="12">
      <c r="D12" t="inlineStr">
        <is>
          <t>Actual traffic</t>
        </is>
      </c>
      <c r="E12" t="inlineStr">
        <is>
          <t>k/day</t>
        </is>
      </c>
      <c r="J12" s="28">
        <f>IFERROR(INDEX(Inputs!$J$263:$X$263,MATCH(Time!J13,Inputs!$J$262:$X$262,0)),0)</f>
        <v/>
      </c>
      <c r="K12" s="28">
        <f>IFERROR(INDEX(Inputs!$J$263:$X$263,MATCH(Time!K13,Inputs!$J$262:$X$262,0)),0)</f>
        <v/>
      </c>
      <c r="L12" s="28">
        <f>IFERROR(INDEX(Inputs!$J$263:$X$263,MATCH(Time!L13,Inputs!$J$262:$X$262,0)),0)</f>
        <v/>
      </c>
      <c r="M12" s="28">
        <f>IFERROR(INDEX(Inputs!$J$263:$X$263,MATCH(Time!M13,Inputs!$J$262:$X$262,0)),0)</f>
        <v/>
      </c>
      <c r="N12" s="28">
        <f>IFERROR(INDEX(Inputs!$J$263:$X$263,MATCH(Time!N13,Inputs!$J$262:$X$262,0)),0)</f>
        <v/>
      </c>
      <c r="O12" s="28">
        <f>IFERROR(INDEX(Inputs!$J$263:$X$263,MATCH(Time!O13,Inputs!$J$262:$X$262,0)),0)</f>
        <v/>
      </c>
      <c r="P12" s="28">
        <f>IFERROR(INDEX(Inputs!$J$263:$X$263,MATCH(Time!P13,Inputs!$J$262:$X$262,0)),0)</f>
        <v/>
      </c>
      <c r="Q12" s="28">
        <f>IFERROR(INDEX(Inputs!$J$263:$X$263,MATCH(Time!Q13,Inputs!$J$262:$X$262,0)),0)</f>
        <v/>
      </c>
      <c r="R12" s="28">
        <f>IFERROR(INDEX(Inputs!$J$263:$X$263,MATCH(Time!R13,Inputs!$J$262:$X$262,0)),0)</f>
        <v/>
      </c>
      <c r="S12" s="28">
        <f>IFERROR(INDEX(Inputs!$J$263:$X$263,MATCH(Time!S13,Inputs!$J$262:$X$262,0)),0)</f>
        <v/>
      </c>
      <c r="T12" s="28">
        <f>IFERROR(INDEX(Inputs!$J$263:$X$263,MATCH(Time!T13,Inputs!$J$262:$X$262,0)),0)</f>
        <v/>
      </c>
      <c r="U12" s="28">
        <f>IFERROR(INDEX(Inputs!$J$263:$X$263,MATCH(Time!U13,Inputs!$J$262:$X$262,0)),0)</f>
        <v/>
      </c>
      <c r="V12" s="28">
        <f>IFERROR(INDEX(Inputs!$J$263:$X$263,MATCH(Time!V13,Inputs!$J$262:$X$262,0)),0)</f>
        <v/>
      </c>
      <c r="W12" s="28">
        <f>IFERROR(INDEX(Inputs!$J$263:$X$263,MATCH(Time!W13,Inputs!$J$262:$X$262,0)),0)</f>
        <v/>
      </c>
      <c r="X12" s="28">
        <f>IFERROR(INDEX(Inputs!$J$263:$X$263,MATCH(Time!X13,Inputs!$J$262:$X$262,0)),0)</f>
        <v/>
      </c>
      <c r="Y12" s="28">
        <f>IFERROR(INDEX(Inputs!$J$263:$X$263,MATCH(Time!Y13,Inputs!$J$262:$X$262,0)),0)</f>
        <v/>
      </c>
      <c r="Z12" s="28">
        <f>IFERROR(INDEX(Inputs!$J$263:$X$263,MATCH(Time!Z13,Inputs!$J$262:$X$262,0)),0)</f>
        <v/>
      </c>
      <c r="AA12" s="28">
        <f>IFERROR(INDEX(Inputs!$J$263:$X$263,MATCH(Time!AA13,Inputs!$J$262:$X$262,0)),0)</f>
        <v/>
      </c>
      <c r="AB12" s="28">
        <f>IFERROR(INDEX(Inputs!$J$263:$X$263,MATCH(Time!AB13,Inputs!$J$262:$X$262,0)),0)</f>
        <v/>
      </c>
      <c r="AC12" s="28">
        <f>IFERROR(INDEX(Inputs!$J$263:$X$263,MATCH(Time!AC13,Inputs!$J$262:$X$262,0)),0)</f>
        <v/>
      </c>
      <c r="AD12" s="28">
        <f>IFERROR(INDEX(Inputs!$J$263:$X$263,MATCH(Time!AD13,Inputs!$J$262:$X$262,0)),0)</f>
        <v/>
      </c>
      <c r="AE12" s="28">
        <f>IFERROR(INDEX(Inputs!$J$263:$X$263,MATCH(Time!AE13,Inputs!$J$262:$X$262,0)),0)</f>
        <v/>
      </c>
      <c r="AF12" s="28">
        <f>IFERROR(INDEX(Inputs!$J$263:$X$263,MATCH(Time!AF13,Inputs!$J$262:$X$262,0)),0)</f>
        <v/>
      </c>
      <c r="AG12" s="28">
        <f>IFERROR(INDEX(Inputs!$J$263:$X$263,MATCH(Time!AG13,Inputs!$J$262:$X$262,0)),0)</f>
        <v/>
      </c>
      <c r="AH12" s="28">
        <f>IFERROR(INDEX(Inputs!$J$263:$X$263,MATCH(Time!AH13,Inputs!$J$262:$X$262,0)),0)</f>
        <v/>
      </c>
      <c r="AI12" s="28">
        <f>IFERROR(INDEX(Inputs!$J$263:$X$263,MATCH(Time!AI13,Inputs!$J$262:$X$262,0)),0)</f>
        <v/>
      </c>
      <c r="AJ12" s="28">
        <f>IFERROR(INDEX(Inputs!$J$263:$X$263,MATCH(Time!AJ13,Inputs!$J$262:$X$262,0)),0)</f>
        <v/>
      </c>
      <c r="AK12" s="28">
        <f>IFERROR(INDEX(Inputs!$J$263:$X$263,MATCH(Time!AK13,Inputs!$J$262:$X$262,0)),0)</f>
        <v/>
      </c>
      <c r="AL12" s="28">
        <f>IFERROR(INDEX(Inputs!$J$263:$X$263,MATCH(Time!AL13,Inputs!$J$262:$X$262,0)),0)</f>
        <v/>
      </c>
      <c r="AM12" s="28">
        <f>IFERROR(INDEX(Inputs!$J$263:$X$263,MATCH(Time!AM13,Inputs!$J$262:$X$262,0)),0)</f>
        <v/>
      </c>
      <c r="AN12" s="28">
        <f>IFERROR(INDEX(Inputs!$J$263:$X$263,MATCH(Time!AN13,Inputs!$J$262:$X$262,0)),0)</f>
        <v/>
      </c>
      <c r="AO12" s="28">
        <f>IFERROR(INDEX(Inputs!$J$263:$X$263,MATCH(Time!AO13,Inputs!$J$262:$X$262,0)),0)</f>
        <v/>
      </c>
      <c r="AP12" s="28">
        <f>IFERROR(INDEX(Inputs!$J$263:$X$263,MATCH(Time!AP13,Inputs!$J$262:$X$262,0)),0)</f>
        <v/>
      </c>
      <c r="AQ12" s="28">
        <f>IFERROR(INDEX(Inputs!$J$263:$X$263,MATCH(Time!AQ13,Inputs!$J$262:$X$262,0)),0)</f>
        <v/>
      </c>
      <c r="AR12" s="28">
        <f>IFERROR(INDEX(Inputs!$J$263:$X$263,MATCH(Time!AR13,Inputs!$J$262:$X$262,0)),0)</f>
        <v/>
      </c>
      <c r="AS12" s="28">
        <f>IFERROR(INDEX(Inputs!$J$263:$X$263,MATCH(Time!AS13,Inputs!$J$262:$X$262,0)),0)</f>
        <v/>
      </c>
      <c r="AT12" s="28">
        <f>IFERROR(INDEX(Inputs!$J$263:$X$263,MATCH(Time!AT13,Inputs!$J$262:$X$262,0)),0)</f>
        <v/>
      </c>
      <c r="AU12" s="28">
        <f>IFERROR(INDEX(Inputs!$J$263:$X$263,MATCH(Time!AU13,Inputs!$J$262:$X$262,0)),0)</f>
        <v/>
      </c>
      <c r="AV12" s="28">
        <f>IFERROR(INDEX(Inputs!$J$263:$X$263,MATCH(Time!AV13,Inputs!$J$262:$X$262,0)),0)</f>
        <v/>
      </c>
      <c r="AW12" s="28">
        <f>IFERROR(INDEX(Inputs!$J$263:$X$263,MATCH(Time!AW13,Inputs!$J$262:$X$262,0)),0)</f>
        <v/>
      </c>
      <c r="AX12" s="28">
        <f>IFERROR(INDEX(Inputs!$J$263:$X$263,MATCH(Time!AX13,Inputs!$J$262:$X$262,0)),0)</f>
        <v/>
      </c>
      <c r="AY12" s="28">
        <f>IFERROR(INDEX(Inputs!$J$263:$X$263,MATCH(Time!AY13,Inputs!$J$262:$X$262,0)),0)</f>
        <v/>
      </c>
      <c r="AZ12" s="28">
        <f>IFERROR(INDEX(Inputs!$J$263:$X$263,MATCH(Time!AZ13,Inputs!$J$262:$X$262,0)),0)</f>
        <v/>
      </c>
      <c r="BA12" s="28">
        <f>IFERROR(INDEX(Inputs!$J$263:$X$263,MATCH(Time!BA13,Inputs!$J$262:$X$262,0)),0)</f>
        <v/>
      </c>
      <c r="BB12" s="28">
        <f>IFERROR(INDEX(Inputs!$J$263:$X$263,MATCH(Time!BB13,Inputs!$J$262:$X$262,0)),0)</f>
        <v/>
      </c>
      <c r="BC12" s="28">
        <f>IFERROR(INDEX(Inputs!$J$263:$X$263,MATCH(Time!BC13,Inputs!$J$262:$X$262,0)),0)</f>
        <v/>
      </c>
      <c r="BD12" s="28">
        <f>IFERROR(INDEX(Inputs!$J$263:$X$263,MATCH(Time!BD13,Inputs!$J$262:$X$262,0)),0)</f>
        <v/>
      </c>
      <c r="BE12" s="28">
        <f>IFERROR(INDEX(Inputs!$J$263:$X$263,MATCH(Time!BE13,Inputs!$J$262:$X$262,0)),0)</f>
        <v/>
      </c>
      <c r="BF12" s="28">
        <f>IFERROR(INDEX(Inputs!$J$263:$X$263,MATCH(Time!BF13,Inputs!$J$262:$X$262,0)),0)</f>
        <v/>
      </c>
      <c r="BG12" s="28">
        <f>IFERROR(INDEX(Inputs!$J$263:$X$263,MATCH(Time!BG13,Inputs!$J$262:$X$262,0)),0)</f>
        <v/>
      </c>
      <c r="BH12" s="28">
        <f>IFERROR(INDEX(Inputs!$J$263:$X$263,MATCH(Time!BH13,Inputs!$J$262:$X$262,0)),0)</f>
        <v/>
      </c>
      <c r="BI12" s="28">
        <f>IFERROR(INDEX(Inputs!$J$263:$X$263,MATCH(Time!BI13,Inputs!$J$262:$X$262,0)),0)</f>
        <v/>
      </c>
      <c r="BJ12" s="28">
        <f>IFERROR(INDEX(Inputs!$J$263:$X$263,MATCH(Time!BJ13,Inputs!$J$262:$X$262,0)),0)</f>
        <v/>
      </c>
      <c r="BK12" s="28">
        <f>IFERROR(INDEX(Inputs!$J$263:$X$263,MATCH(Time!BK13,Inputs!$J$262:$X$262,0)),0)</f>
        <v/>
      </c>
      <c r="BL12" s="28">
        <f>IFERROR(INDEX(Inputs!$J$263:$X$263,MATCH(Time!BL13,Inputs!$J$262:$X$262,0)),0)</f>
        <v/>
      </c>
      <c r="BM12" s="28">
        <f>IFERROR(INDEX(Inputs!$J$263:$X$263,MATCH(Time!BM13,Inputs!$J$262:$X$262,0)),0)</f>
        <v/>
      </c>
      <c r="BN12" s="28">
        <f>IFERROR(INDEX(Inputs!$J$263:$X$263,MATCH(Time!BN13,Inputs!$J$262:$X$262,0)),0)</f>
        <v/>
      </c>
      <c r="BO12" s="28">
        <f>IFERROR(INDEX(Inputs!$J$263:$X$263,MATCH(Time!BO13,Inputs!$J$262:$X$262,0)),0)</f>
        <v/>
      </c>
      <c r="BP12" s="28">
        <f>IFERROR(INDEX(Inputs!$J$263:$X$263,MATCH(Time!BP13,Inputs!$J$262:$X$262,0)),0)</f>
        <v/>
      </c>
      <c r="BQ12" s="28">
        <f>IFERROR(INDEX(Inputs!$J$263:$X$263,MATCH(Time!BQ13,Inputs!$J$262:$X$262,0)),0)</f>
        <v/>
      </c>
      <c r="BR12" s="28">
        <f>IFERROR(INDEX(Inputs!$J$263:$X$263,MATCH(Time!BR13,Inputs!$J$262:$X$262,0)),0)</f>
        <v/>
      </c>
      <c r="BS12" s="28">
        <f>IFERROR(INDEX(Inputs!$J$263:$X$263,MATCH(Time!BS13,Inputs!$J$262:$X$262,0)),0)</f>
        <v/>
      </c>
      <c r="BT12" s="28">
        <f>IFERROR(INDEX(Inputs!$J$263:$X$263,MATCH(Time!BT13,Inputs!$J$262:$X$262,0)),0)</f>
        <v/>
      </c>
      <c r="BU12" s="28">
        <f>IFERROR(INDEX(Inputs!$J$263:$X$263,MATCH(Time!BU13,Inputs!$J$262:$X$262,0)),0)</f>
        <v/>
      </c>
      <c r="BV12" s="28">
        <f>IFERROR(INDEX(Inputs!$J$263:$X$263,MATCH(Time!BV13,Inputs!$J$262:$X$262,0)),0)</f>
        <v/>
      </c>
      <c r="BW12" s="28">
        <f>IFERROR(INDEX(Inputs!$J$263:$X$263,MATCH(Time!BW13,Inputs!$J$262:$X$262,0)),0)</f>
        <v/>
      </c>
      <c r="BX12" s="28">
        <f>IFERROR(INDEX(Inputs!$J$263:$X$263,MATCH(Time!BX13,Inputs!$J$262:$X$262,0)),0)</f>
        <v/>
      </c>
      <c r="BY12" s="28">
        <f>IFERROR(INDEX(Inputs!$J$263:$X$263,MATCH(Time!BY13,Inputs!$J$262:$X$262,0)),0)</f>
        <v/>
      </c>
      <c r="BZ12" s="28">
        <f>IFERROR(INDEX(Inputs!$J$263:$X$263,MATCH(Time!BZ13,Inputs!$J$262:$X$262,0)),0)</f>
        <v/>
      </c>
      <c r="CA12" s="28">
        <f>IFERROR(INDEX(Inputs!$J$263:$X$263,MATCH(Time!CA13,Inputs!$J$262:$X$262,0)),0)</f>
        <v/>
      </c>
      <c r="CB12" s="28">
        <f>IFERROR(INDEX(Inputs!$J$263:$X$263,MATCH(Time!CB13,Inputs!$J$262:$X$262,0)),0)</f>
        <v/>
      </c>
      <c r="CC12" s="28">
        <f>IFERROR(INDEX(Inputs!$J$263:$X$263,MATCH(Time!CC13,Inputs!$J$262:$X$262,0)),0)</f>
        <v/>
      </c>
      <c r="CD12" s="28">
        <f>IFERROR(INDEX(Inputs!$J$263:$X$263,MATCH(Time!CD13,Inputs!$J$262:$X$262,0)),0)</f>
        <v/>
      </c>
      <c r="CE12" s="28">
        <f>IFERROR(INDEX(Inputs!$J$263:$X$263,MATCH(Time!CE13,Inputs!$J$262:$X$262,0)),0)</f>
        <v/>
      </c>
      <c r="CF12" s="28">
        <f>IFERROR(INDEX(Inputs!$J$263:$X$263,MATCH(Time!CF13,Inputs!$J$262:$X$262,0)),0)</f>
        <v/>
      </c>
      <c r="CG12" s="28">
        <f>IFERROR(INDEX(Inputs!$J$263:$X$263,MATCH(Time!CG13,Inputs!$J$262:$X$262,0)),0)</f>
        <v/>
      </c>
      <c r="CH12" s="28">
        <f>IFERROR(INDEX(Inputs!$J$263:$X$263,MATCH(Time!CH13,Inputs!$J$262:$X$262,0)),0)</f>
        <v/>
      </c>
      <c r="CI12" s="28">
        <f>IFERROR(INDEX(Inputs!$J$263:$X$263,MATCH(Time!CI13,Inputs!$J$262:$X$262,0)),0)</f>
        <v/>
      </c>
      <c r="CJ12" s="28">
        <f>IFERROR(INDEX(Inputs!$J$263:$X$263,MATCH(Time!CJ13,Inputs!$J$262:$X$262,0)),0)</f>
        <v/>
      </c>
      <c r="CK12" s="28">
        <f>IFERROR(INDEX(Inputs!$J$263:$X$263,MATCH(Time!CK13,Inputs!$J$262:$X$262,0)),0)</f>
        <v/>
      </c>
      <c r="CL12" s="28">
        <f>IFERROR(INDEX(Inputs!$J$263:$X$263,MATCH(Time!CL13,Inputs!$J$262:$X$262,0)),0)</f>
        <v/>
      </c>
      <c r="CM12" s="28">
        <f>IFERROR(INDEX(Inputs!$J$263:$X$263,MATCH(Time!CM13,Inputs!$J$262:$X$262,0)),0)</f>
        <v/>
      </c>
      <c r="CN12" s="28">
        <f>IFERROR(INDEX(Inputs!$J$263:$X$263,MATCH(Time!CN13,Inputs!$J$262:$X$262,0)),0)</f>
        <v/>
      </c>
      <c r="CO12" s="28">
        <f>IFERROR(INDEX(Inputs!$J$263:$X$263,MATCH(Time!CO13,Inputs!$J$262:$X$262,0)),0)</f>
        <v/>
      </c>
      <c r="CP12" s="28">
        <f>IFERROR(INDEX(Inputs!$J$263:$X$263,MATCH(Time!CP13,Inputs!$J$262:$X$262,0)),0)</f>
        <v/>
      </c>
      <c r="CQ12" s="28">
        <f>IFERROR(INDEX(Inputs!$J$263:$X$263,MATCH(Time!CQ13,Inputs!$J$262:$X$262,0)),0)</f>
        <v/>
      </c>
      <c r="CR12" s="28">
        <f>IFERROR(INDEX(Inputs!$J$263:$X$263,MATCH(Time!CR13,Inputs!$J$262:$X$262,0)),0)</f>
        <v/>
      </c>
      <c r="CS12" s="28">
        <f>IFERROR(INDEX(Inputs!$J$263:$X$263,MATCH(Time!CS13,Inputs!$J$262:$X$262,0)),0)</f>
        <v/>
      </c>
      <c r="CT12" s="28">
        <f>IFERROR(INDEX(Inputs!$J$263:$X$263,MATCH(Time!CT13,Inputs!$J$262:$X$262,0)),0)</f>
        <v/>
      </c>
      <c r="CU12" s="28">
        <f>IFERROR(INDEX(Inputs!$J$263:$X$263,MATCH(Time!CU13,Inputs!$J$262:$X$262,0)),0)</f>
        <v/>
      </c>
      <c r="CV12" s="28">
        <f>IFERROR(INDEX(Inputs!$J$263:$X$263,MATCH(Time!CV13,Inputs!$J$262:$X$262,0)),0)</f>
        <v/>
      </c>
      <c r="CW12" s="28">
        <f>IFERROR(INDEX(Inputs!$J$263:$X$263,MATCH(Time!CW13,Inputs!$J$262:$X$262,0)),0)</f>
        <v/>
      </c>
      <c r="CX12" s="28">
        <f>IFERROR(INDEX(Inputs!$J$263:$X$263,MATCH(Time!CX13,Inputs!$J$262:$X$262,0)),0)</f>
        <v/>
      </c>
      <c r="CY12" s="28">
        <f>IFERROR(INDEX(Inputs!$J$263:$X$263,MATCH(Time!CY13,Inputs!$J$262:$X$262,0)),0)</f>
        <v/>
      </c>
      <c r="CZ12" s="28">
        <f>IFERROR(INDEX(Inputs!$J$263:$X$263,MATCH(Time!CZ13,Inputs!$J$262:$X$262,0)),0)</f>
        <v/>
      </c>
      <c r="DA12" s="28">
        <f>IFERROR(INDEX(Inputs!$J$263:$X$263,MATCH(Time!DA13,Inputs!$J$262:$X$262,0)),0)</f>
        <v/>
      </c>
      <c r="DB12" s="28">
        <f>IFERROR(INDEX(Inputs!$J$263:$X$263,MATCH(Time!DB13,Inputs!$J$262:$X$262,0)),0)</f>
        <v/>
      </c>
    </row>
    <row r="13">
      <c r="D13" t="inlineStr">
        <is>
          <t>Traffic used (average daily trips)</t>
        </is>
      </c>
      <c r="E13" t="inlineStr">
        <is>
          <t>k/day</t>
        </is>
      </c>
      <c r="J13" s="16">
        <f>IF(Time!J39=1,J12,J11)*Time!J26</f>
        <v/>
      </c>
      <c r="K13" s="16">
        <f>IF(Time!K39=1,K12,K11)*Time!K26</f>
        <v/>
      </c>
      <c r="L13" s="16">
        <f>IF(Time!L39=1,L12,L11)*Time!L26</f>
        <v/>
      </c>
      <c r="M13" s="16">
        <f>IF(Time!M39=1,M12,M11)*Time!M26</f>
        <v/>
      </c>
      <c r="N13" s="16">
        <f>IF(Time!N39=1,N12,N11)*Time!N26</f>
        <v/>
      </c>
      <c r="O13" s="16">
        <f>IF(Time!O39=1,O12,O11)*Time!O26</f>
        <v/>
      </c>
      <c r="P13" s="16">
        <f>IF(Time!P39=1,P12,P11)*Time!P26</f>
        <v/>
      </c>
      <c r="Q13" s="16">
        <f>IF(Time!Q39=1,Q12,Q11)*Time!Q26</f>
        <v/>
      </c>
      <c r="R13" s="16">
        <f>IF(Time!R39=1,R12,R11)*Time!R26</f>
        <v/>
      </c>
      <c r="S13" s="16">
        <f>IF(Time!S39=1,S12,S11)*Time!S26</f>
        <v/>
      </c>
      <c r="T13" s="16">
        <f>IF(Time!T39=1,T12,T11)*Time!T26</f>
        <v/>
      </c>
      <c r="U13" s="16">
        <f>IF(Time!U39=1,U12,U11)*Time!U26</f>
        <v/>
      </c>
      <c r="V13" s="16">
        <f>IF(Time!V39=1,V12,V11)*Time!V26</f>
        <v/>
      </c>
      <c r="W13" s="16">
        <f>IF(Time!W39=1,W12,W11)*Time!W26</f>
        <v/>
      </c>
      <c r="X13" s="16">
        <f>IF(Time!X39=1,X12,X11)*Time!X26</f>
        <v/>
      </c>
      <c r="Y13" s="16">
        <f>IF(Time!Y39=1,Y12,Y11)*Time!Y26</f>
        <v/>
      </c>
      <c r="Z13" s="16">
        <f>IF(Time!Z39=1,Z12,Z11)*Time!Z26</f>
        <v/>
      </c>
      <c r="AA13" s="16">
        <f>IF(Time!AA39=1,AA12,AA11)*Time!AA26</f>
        <v/>
      </c>
      <c r="AB13" s="16">
        <f>IF(Time!AB39=1,AB12,AB11)*Time!AB26</f>
        <v/>
      </c>
      <c r="AC13" s="16">
        <f>IF(Time!AC39=1,AC12,AC11)*Time!AC26</f>
        <v/>
      </c>
      <c r="AD13" s="16">
        <f>IF(Time!AD39=1,AD12,AD11)*Time!AD26</f>
        <v/>
      </c>
      <c r="AE13" s="16">
        <f>IF(Time!AE39=1,AE12,AE11)*Time!AE26</f>
        <v/>
      </c>
      <c r="AF13" s="16">
        <f>IF(Time!AF39=1,AF12,AF11)*Time!AF26</f>
        <v/>
      </c>
      <c r="AG13" s="16">
        <f>IF(Time!AG39=1,AG12,AG11)*Time!AG26</f>
        <v/>
      </c>
      <c r="AH13" s="16">
        <f>IF(Time!AH39=1,AH12,AH11)*Time!AH26</f>
        <v/>
      </c>
      <c r="AI13" s="16">
        <f>IF(Time!AI39=1,AI12,AI11)*Time!AI26</f>
        <v/>
      </c>
      <c r="AJ13" s="16">
        <f>IF(Time!AJ39=1,AJ12,AJ11)*Time!AJ26</f>
        <v/>
      </c>
      <c r="AK13" s="16">
        <f>IF(Time!AK39=1,AK12,AK11)*Time!AK26</f>
        <v/>
      </c>
      <c r="AL13" s="16">
        <f>IF(Time!AL39=1,AL12,AL11)*Time!AL26</f>
        <v/>
      </c>
      <c r="AM13" s="16">
        <f>IF(Time!AM39=1,AM12,AM11)*Time!AM26</f>
        <v/>
      </c>
      <c r="AN13" s="16">
        <f>IF(Time!AN39=1,AN12,AN11)*Time!AN26</f>
        <v/>
      </c>
      <c r="AO13" s="16">
        <f>IF(Time!AO39=1,AO12,AO11)*Time!AO26</f>
        <v/>
      </c>
      <c r="AP13" s="16">
        <f>IF(Time!AP39=1,AP12,AP11)*Time!AP26</f>
        <v/>
      </c>
      <c r="AQ13" s="16">
        <f>IF(Time!AQ39=1,AQ12,AQ11)*Time!AQ26</f>
        <v/>
      </c>
      <c r="AR13" s="16">
        <f>IF(Time!AR39=1,AR12,AR11)*Time!AR26</f>
        <v/>
      </c>
      <c r="AS13" s="16">
        <f>IF(Time!AS39=1,AS12,AS11)*Time!AS26</f>
        <v/>
      </c>
      <c r="AT13" s="16">
        <f>IF(Time!AT39=1,AT12,AT11)*Time!AT26</f>
        <v/>
      </c>
      <c r="AU13" s="16">
        <f>IF(Time!AU39=1,AU12,AU11)*Time!AU26</f>
        <v/>
      </c>
      <c r="AV13" s="16">
        <f>IF(Time!AV39=1,AV12,AV11)*Time!AV26</f>
        <v/>
      </c>
      <c r="AW13" s="16">
        <f>IF(Time!AW39=1,AW12,AW11)*Time!AW26</f>
        <v/>
      </c>
      <c r="AX13" s="16">
        <f>IF(Time!AX39=1,AX12,AX11)*Time!AX26</f>
        <v/>
      </c>
      <c r="AY13" s="16">
        <f>IF(Time!AY39=1,AY12,AY11)*Time!AY26</f>
        <v/>
      </c>
      <c r="AZ13" s="16">
        <f>IF(Time!AZ39=1,AZ12,AZ11)*Time!AZ26</f>
        <v/>
      </c>
      <c r="BA13" s="16">
        <f>IF(Time!BA39=1,BA12,BA11)*Time!BA26</f>
        <v/>
      </c>
      <c r="BB13" s="16">
        <f>IF(Time!BB39=1,BB12,BB11)*Time!BB26</f>
        <v/>
      </c>
      <c r="BC13" s="16">
        <f>IF(Time!BC39=1,BC12,BC11)*Time!BC26</f>
        <v/>
      </c>
      <c r="BD13" s="16">
        <f>IF(Time!BD39=1,BD12,BD11)*Time!BD26</f>
        <v/>
      </c>
      <c r="BE13" s="16">
        <f>IF(Time!BE39=1,BE12,BE11)*Time!BE26</f>
        <v/>
      </c>
      <c r="BF13" s="16">
        <f>IF(Time!BF39=1,BF12,BF11)*Time!BF26</f>
        <v/>
      </c>
      <c r="BG13" s="16">
        <f>IF(Time!BG39=1,BG12,BG11)*Time!BG26</f>
        <v/>
      </c>
      <c r="BH13" s="16">
        <f>IF(Time!BH39=1,BH12,BH11)*Time!BH26</f>
        <v/>
      </c>
      <c r="BI13" s="16">
        <f>IF(Time!BI39=1,BI12,BI11)*Time!BI26</f>
        <v/>
      </c>
      <c r="BJ13" s="16">
        <f>IF(Time!BJ39=1,BJ12,BJ11)*Time!BJ26</f>
        <v/>
      </c>
      <c r="BK13" s="16">
        <f>IF(Time!BK39=1,BK12,BK11)*Time!BK26</f>
        <v/>
      </c>
      <c r="BL13" s="16">
        <f>IF(Time!BL39=1,BL12,BL11)*Time!BL26</f>
        <v/>
      </c>
      <c r="BM13" s="16">
        <f>IF(Time!BM39=1,BM12,BM11)*Time!BM26</f>
        <v/>
      </c>
      <c r="BN13" s="16">
        <f>IF(Time!BN39=1,BN12,BN11)*Time!BN26</f>
        <v/>
      </c>
      <c r="BO13" s="16">
        <f>IF(Time!BO39=1,BO12,BO11)*Time!BO26</f>
        <v/>
      </c>
      <c r="BP13" s="16">
        <f>IF(Time!BP39=1,BP12,BP11)*Time!BP26</f>
        <v/>
      </c>
      <c r="BQ13" s="16">
        <f>IF(Time!BQ39=1,BQ12,BQ11)*Time!BQ26</f>
        <v/>
      </c>
      <c r="BR13" s="16">
        <f>IF(Time!BR39=1,BR12,BR11)*Time!BR26</f>
        <v/>
      </c>
      <c r="BS13" s="16">
        <f>IF(Time!BS39=1,BS12,BS11)*Time!BS26</f>
        <v/>
      </c>
      <c r="BT13" s="16">
        <f>IF(Time!BT39=1,BT12,BT11)*Time!BT26</f>
        <v/>
      </c>
      <c r="BU13" s="16">
        <f>IF(Time!BU39=1,BU12,BU11)*Time!BU26</f>
        <v/>
      </c>
      <c r="BV13" s="16">
        <f>IF(Time!BV39=1,BV12,BV11)*Time!BV26</f>
        <v/>
      </c>
      <c r="BW13" s="16">
        <f>IF(Time!BW39=1,BW12,BW11)*Time!BW26</f>
        <v/>
      </c>
      <c r="BX13" s="16">
        <f>IF(Time!BX39=1,BX12,BX11)*Time!BX26</f>
        <v/>
      </c>
      <c r="BY13" s="16">
        <f>IF(Time!BY39=1,BY12,BY11)*Time!BY26</f>
        <v/>
      </c>
      <c r="BZ13" s="16">
        <f>IF(Time!BZ39=1,BZ12,BZ11)*Time!BZ26</f>
        <v/>
      </c>
      <c r="CA13" s="16">
        <f>IF(Time!CA39=1,CA12,CA11)*Time!CA26</f>
        <v/>
      </c>
      <c r="CB13" s="16">
        <f>IF(Time!CB39=1,CB12,CB11)*Time!CB26</f>
        <v/>
      </c>
      <c r="CC13" s="16">
        <f>IF(Time!CC39=1,CC12,CC11)*Time!CC26</f>
        <v/>
      </c>
      <c r="CD13" s="16">
        <f>IF(Time!CD39=1,CD12,CD11)*Time!CD26</f>
        <v/>
      </c>
      <c r="CE13" s="16">
        <f>IF(Time!CE39=1,CE12,CE11)*Time!CE26</f>
        <v/>
      </c>
      <c r="CF13" s="16">
        <f>IF(Time!CF39=1,CF12,CF11)*Time!CF26</f>
        <v/>
      </c>
      <c r="CG13" s="16">
        <f>IF(Time!CG39=1,CG12,CG11)*Time!CG26</f>
        <v/>
      </c>
      <c r="CH13" s="16">
        <f>IF(Time!CH39=1,CH12,CH11)*Time!CH26</f>
        <v/>
      </c>
      <c r="CI13" s="16">
        <f>IF(Time!CI39=1,CI12,CI11)*Time!CI26</f>
        <v/>
      </c>
      <c r="CJ13" s="16">
        <f>IF(Time!CJ39=1,CJ12,CJ11)*Time!CJ26</f>
        <v/>
      </c>
      <c r="CK13" s="16">
        <f>IF(Time!CK39=1,CK12,CK11)*Time!CK26</f>
        <v/>
      </c>
      <c r="CL13" s="16">
        <f>IF(Time!CL39=1,CL12,CL11)*Time!CL26</f>
        <v/>
      </c>
      <c r="CM13" s="16">
        <f>IF(Time!CM39=1,CM12,CM11)*Time!CM26</f>
        <v/>
      </c>
      <c r="CN13" s="16">
        <f>IF(Time!CN39=1,CN12,CN11)*Time!CN26</f>
        <v/>
      </c>
      <c r="CO13" s="16">
        <f>IF(Time!CO39=1,CO12,CO11)*Time!CO26</f>
        <v/>
      </c>
      <c r="CP13" s="16">
        <f>IF(Time!CP39=1,CP12,CP11)*Time!CP26</f>
        <v/>
      </c>
      <c r="CQ13" s="16">
        <f>IF(Time!CQ39=1,CQ12,CQ11)*Time!CQ26</f>
        <v/>
      </c>
      <c r="CR13" s="16">
        <f>IF(Time!CR39=1,CR12,CR11)*Time!CR26</f>
        <v/>
      </c>
      <c r="CS13" s="16">
        <f>IF(Time!CS39=1,CS12,CS11)*Time!CS26</f>
        <v/>
      </c>
      <c r="CT13" s="16">
        <f>IF(Time!CT39=1,CT12,CT11)*Time!CT26</f>
        <v/>
      </c>
      <c r="CU13" s="16">
        <f>IF(Time!CU39=1,CU12,CU11)*Time!CU26</f>
        <v/>
      </c>
      <c r="CV13" s="16">
        <f>IF(Time!CV39=1,CV12,CV11)*Time!CV26</f>
        <v/>
      </c>
      <c r="CW13" s="16">
        <f>IF(Time!CW39=1,CW12,CW11)*Time!CW26</f>
        <v/>
      </c>
      <c r="CX13" s="16">
        <f>IF(Time!CX39=1,CX12,CX11)*Time!CX26</f>
        <v/>
      </c>
      <c r="CY13" s="16">
        <f>IF(Time!CY39=1,CY12,CY11)*Time!CY26</f>
        <v/>
      </c>
      <c r="CZ13" s="16">
        <f>IF(Time!CZ39=1,CZ12,CZ11)*Time!CZ26</f>
        <v/>
      </c>
      <c r="DA13" s="16">
        <f>IF(Time!DA39=1,DA12,DA11)*Time!DA26</f>
        <v/>
      </c>
      <c r="DB13" s="16">
        <f>IF(Time!DB39=1,DB12,DB11)*Time!DB26</f>
        <v/>
      </c>
    </row>
    <row r="14">
      <c r="D14" s="3" t="inlineStr">
        <is>
          <t>Toll revenue</t>
        </is>
      </c>
    </row>
    <row r="15">
      <c r="D15" t="inlineStr">
        <is>
          <t>Weighted class multiplier, original</t>
        </is>
      </c>
      <c r="E15" t="inlineStr">
        <is>
          <t>factor</t>
        </is>
      </c>
      <c r="F15" s="27">
        <f>((Inputs!$F$130-Inputs!$F$225)*Inputs!$F$139+Inputs!$F$131*Inputs!$F$136+(Inputs!$F$132+Inputs!$F$225)*Inputs!$F$137)/100</f>
        <v/>
      </c>
    </row>
    <row r="16">
      <c r="D16" t="inlineStr">
        <is>
          <t>Weighted class multiplier, from 2024 (restructured)</t>
        </is>
      </c>
      <c r="E16" t="inlineStr">
        <is>
          <t>factor</t>
        </is>
      </c>
      <c r="F16" s="27">
        <f>(Inputs!$F$133*Inputs!$F$139+Inputs!$F$134*Inputs!$F$136+Inputs!$F$135*Inputs!$F$138)/100</f>
        <v/>
      </c>
    </row>
    <row r="17">
      <c r="D17" t="inlineStr">
        <is>
          <t>Weighted class multiplier</t>
        </is>
      </c>
      <c r="E17" t="inlineStr">
        <is>
          <t>factor</t>
        </is>
      </c>
      <c r="J17" s="27">
        <f>IF(Time!J23=1,$F$16,$F$15)</f>
        <v/>
      </c>
      <c r="K17" s="27">
        <f>IF(Time!K23=1,$F$16,$F$15)</f>
        <v/>
      </c>
      <c r="L17" s="27">
        <f>IF(Time!L23=1,$F$16,$F$15)</f>
        <v/>
      </c>
      <c r="M17" s="27">
        <f>IF(Time!M23=1,$F$16,$F$15)</f>
        <v/>
      </c>
      <c r="N17" s="27">
        <f>IF(Time!N23=1,$F$16,$F$15)</f>
        <v/>
      </c>
      <c r="O17" s="27">
        <f>IF(Time!O23=1,$F$16,$F$15)</f>
        <v/>
      </c>
      <c r="P17" s="27">
        <f>IF(Time!P23=1,$F$16,$F$15)</f>
        <v/>
      </c>
      <c r="Q17" s="27">
        <f>IF(Time!Q23=1,$F$16,$F$15)</f>
        <v/>
      </c>
      <c r="R17" s="27">
        <f>IF(Time!R23=1,$F$16,$F$15)</f>
        <v/>
      </c>
      <c r="S17" s="27">
        <f>IF(Time!S23=1,$F$16,$F$15)</f>
        <v/>
      </c>
      <c r="T17" s="27">
        <f>IF(Time!T23=1,$F$16,$F$15)</f>
        <v/>
      </c>
      <c r="U17" s="27">
        <f>IF(Time!U23=1,$F$16,$F$15)</f>
        <v/>
      </c>
      <c r="V17" s="27">
        <f>IF(Time!V23=1,$F$16,$F$15)</f>
        <v/>
      </c>
      <c r="W17" s="27">
        <f>IF(Time!W23=1,$F$16,$F$15)</f>
        <v/>
      </c>
      <c r="X17" s="27">
        <f>IF(Time!X23=1,$F$16,$F$15)</f>
        <v/>
      </c>
      <c r="Y17" s="27">
        <f>IF(Time!Y23=1,$F$16,$F$15)</f>
        <v/>
      </c>
      <c r="Z17" s="27">
        <f>IF(Time!Z23=1,$F$16,$F$15)</f>
        <v/>
      </c>
      <c r="AA17" s="27">
        <f>IF(Time!AA23=1,$F$16,$F$15)</f>
        <v/>
      </c>
      <c r="AB17" s="27">
        <f>IF(Time!AB23=1,$F$16,$F$15)</f>
        <v/>
      </c>
      <c r="AC17" s="27">
        <f>IF(Time!AC23=1,$F$16,$F$15)</f>
        <v/>
      </c>
      <c r="AD17" s="27">
        <f>IF(Time!AD23=1,$F$16,$F$15)</f>
        <v/>
      </c>
      <c r="AE17" s="27">
        <f>IF(Time!AE23=1,$F$16,$F$15)</f>
        <v/>
      </c>
      <c r="AF17" s="27">
        <f>IF(Time!AF23=1,$F$16,$F$15)</f>
        <v/>
      </c>
      <c r="AG17" s="27">
        <f>IF(Time!AG23=1,$F$16,$F$15)</f>
        <v/>
      </c>
      <c r="AH17" s="27">
        <f>IF(Time!AH23=1,$F$16,$F$15)</f>
        <v/>
      </c>
      <c r="AI17" s="27">
        <f>IF(Time!AI23=1,$F$16,$F$15)</f>
        <v/>
      </c>
      <c r="AJ17" s="27">
        <f>IF(Time!AJ23=1,$F$16,$F$15)</f>
        <v/>
      </c>
      <c r="AK17" s="27">
        <f>IF(Time!AK23=1,$F$16,$F$15)</f>
        <v/>
      </c>
      <c r="AL17" s="27">
        <f>IF(Time!AL23=1,$F$16,$F$15)</f>
        <v/>
      </c>
      <c r="AM17" s="27">
        <f>IF(Time!AM23=1,$F$16,$F$15)</f>
        <v/>
      </c>
      <c r="AN17" s="27">
        <f>IF(Time!AN23=1,$F$16,$F$15)</f>
        <v/>
      </c>
      <c r="AO17" s="27">
        <f>IF(Time!AO23=1,$F$16,$F$15)</f>
        <v/>
      </c>
      <c r="AP17" s="27">
        <f>IF(Time!AP23=1,$F$16,$F$15)</f>
        <v/>
      </c>
      <c r="AQ17" s="27">
        <f>IF(Time!AQ23=1,$F$16,$F$15)</f>
        <v/>
      </c>
      <c r="AR17" s="27">
        <f>IF(Time!AR23=1,$F$16,$F$15)</f>
        <v/>
      </c>
      <c r="AS17" s="27">
        <f>IF(Time!AS23=1,$F$16,$F$15)</f>
        <v/>
      </c>
      <c r="AT17" s="27">
        <f>IF(Time!AT23=1,$F$16,$F$15)</f>
        <v/>
      </c>
      <c r="AU17" s="27">
        <f>IF(Time!AU23=1,$F$16,$F$15)</f>
        <v/>
      </c>
      <c r="AV17" s="27">
        <f>IF(Time!AV23=1,$F$16,$F$15)</f>
        <v/>
      </c>
      <c r="AW17" s="27">
        <f>IF(Time!AW23=1,$F$16,$F$15)</f>
        <v/>
      </c>
      <c r="AX17" s="27">
        <f>IF(Time!AX23=1,$F$16,$F$15)</f>
        <v/>
      </c>
      <c r="AY17" s="27">
        <f>IF(Time!AY23=1,$F$16,$F$15)</f>
        <v/>
      </c>
      <c r="AZ17" s="27">
        <f>IF(Time!AZ23=1,$F$16,$F$15)</f>
        <v/>
      </c>
      <c r="BA17" s="27">
        <f>IF(Time!BA23=1,$F$16,$F$15)</f>
        <v/>
      </c>
      <c r="BB17" s="27">
        <f>IF(Time!BB23=1,$F$16,$F$15)</f>
        <v/>
      </c>
      <c r="BC17" s="27">
        <f>IF(Time!BC23=1,$F$16,$F$15)</f>
        <v/>
      </c>
      <c r="BD17" s="27">
        <f>IF(Time!BD23=1,$F$16,$F$15)</f>
        <v/>
      </c>
      <c r="BE17" s="27">
        <f>IF(Time!BE23=1,$F$16,$F$15)</f>
        <v/>
      </c>
      <c r="BF17" s="27">
        <f>IF(Time!BF23=1,$F$16,$F$15)</f>
        <v/>
      </c>
      <c r="BG17" s="27">
        <f>IF(Time!BG23=1,$F$16,$F$15)</f>
        <v/>
      </c>
      <c r="BH17" s="27">
        <f>IF(Time!BH23=1,$F$16,$F$15)</f>
        <v/>
      </c>
      <c r="BI17" s="27">
        <f>IF(Time!BI23=1,$F$16,$F$15)</f>
        <v/>
      </c>
      <c r="BJ17" s="27">
        <f>IF(Time!BJ23=1,$F$16,$F$15)</f>
        <v/>
      </c>
      <c r="BK17" s="27">
        <f>IF(Time!BK23=1,$F$16,$F$15)</f>
        <v/>
      </c>
      <c r="BL17" s="27">
        <f>IF(Time!BL23=1,$F$16,$F$15)</f>
        <v/>
      </c>
      <c r="BM17" s="27">
        <f>IF(Time!BM23=1,$F$16,$F$15)</f>
        <v/>
      </c>
      <c r="BN17" s="27">
        <f>IF(Time!BN23=1,$F$16,$F$15)</f>
        <v/>
      </c>
      <c r="BO17" s="27">
        <f>IF(Time!BO23=1,$F$16,$F$15)</f>
        <v/>
      </c>
      <c r="BP17" s="27">
        <f>IF(Time!BP23=1,$F$16,$F$15)</f>
        <v/>
      </c>
      <c r="BQ17" s="27">
        <f>IF(Time!BQ23=1,$F$16,$F$15)</f>
        <v/>
      </c>
      <c r="BR17" s="27">
        <f>IF(Time!BR23=1,$F$16,$F$15)</f>
        <v/>
      </c>
      <c r="BS17" s="27">
        <f>IF(Time!BS23=1,$F$16,$F$15)</f>
        <v/>
      </c>
      <c r="BT17" s="27">
        <f>IF(Time!BT23=1,$F$16,$F$15)</f>
        <v/>
      </c>
      <c r="BU17" s="27">
        <f>IF(Time!BU23=1,$F$16,$F$15)</f>
        <v/>
      </c>
      <c r="BV17" s="27">
        <f>IF(Time!BV23=1,$F$16,$F$15)</f>
        <v/>
      </c>
      <c r="BW17" s="27">
        <f>IF(Time!BW23=1,$F$16,$F$15)</f>
        <v/>
      </c>
      <c r="BX17" s="27">
        <f>IF(Time!BX23=1,$F$16,$F$15)</f>
        <v/>
      </c>
      <c r="BY17" s="27">
        <f>IF(Time!BY23=1,$F$16,$F$15)</f>
        <v/>
      </c>
      <c r="BZ17" s="27">
        <f>IF(Time!BZ23=1,$F$16,$F$15)</f>
        <v/>
      </c>
      <c r="CA17" s="27">
        <f>IF(Time!CA23=1,$F$16,$F$15)</f>
        <v/>
      </c>
      <c r="CB17" s="27">
        <f>IF(Time!CB23=1,$F$16,$F$15)</f>
        <v/>
      </c>
      <c r="CC17" s="27">
        <f>IF(Time!CC23=1,$F$16,$F$15)</f>
        <v/>
      </c>
      <c r="CD17" s="27">
        <f>IF(Time!CD23=1,$F$16,$F$15)</f>
        <v/>
      </c>
      <c r="CE17" s="27">
        <f>IF(Time!CE23=1,$F$16,$F$15)</f>
        <v/>
      </c>
      <c r="CF17" s="27">
        <f>IF(Time!CF23=1,$F$16,$F$15)</f>
        <v/>
      </c>
      <c r="CG17" s="27">
        <f>IF(Time!CG23=1,$F$16,$F$15)</f>
        <v/>
      </c>
      <c r="CH17" s="27">
        <f>IF(Time!CH23=1,$F$16,$F$15)</f>
        <v/>
      </c>
      <c r="CI17" s="27">
        <f>IF(Time!CI23=1,$F$16,$F$15)</f>
        <v/>
      </c>
      <c r="CJ17" s="27">
        <f>IF(Time!CJ23=1,$F$16,$F$15)</f>
        <v/>
      </c>
      <c r="CK17" s="27">
        <f>IF(Time!CK23=1,$F$16,$F$15)</f>
        <v/>
      </c>
      <c r="CL17" s="27">
        <f>IF(Time!CL23=1,$F$16,$F$15)</f>
        <v/>
      </c>
      <c r="CM17" s="27">
        <f>IF(Time!CM23=1,$F$16,$F$15)</f>
        <v/>
      </c>
      <c r="CN17" s="27">
        <f>IF(Time!CN23=1,$F$16,$F$15)</f>
        <v/>
      </c>
      <c r="CO17" s="27">
        <f>IF(Time!CO23=1,$F$16,$F$15)</f>
        <v/>
      </c>
      <c r="CP17" s="27">
        <f>IF(Time!CP23=1,$F$16,$F$15)</f>
        <v/>
      </c>
      <c r="CQ17" s="27">
        <f>IF(Time!CQ23=1,$F$16,$F$15)</f>
        <v/>
      </c>
      <c r="CR17" s="27">
        <f>IF(Time!CR23=1,$F$16,$F$15)</f>
        <v/>
      </c>
      <c r="CS17" s="27">
        <f>IF(Time!CS23=1,$F$16,$F$15)</f>
        <v/>
      </c>
      <c r="CT17" s="27">
        <f>IF(Time!CT23=1,$F$16,$F$15)</f>
        <v/>
      </c>
      <c r="CU17" s="27">
        <f>IF(Time!CU23=1,$F$16,$F$15)</f>
        <v/>
      </c>
      <c r="CV17" s="27">
        <f>IF(Time!CV23=1,$F$16,$F$15)</f>
        <v/>
      </c>
      <c r="CW17" s="27">
        <f>IF(Time!CW23=1,$F$16,$F$15)</f>
        <v/>
      </c>
      <c r="CX17" s="27">
        <f>IF(Time!CX23=1,$F$16,$F$15)</f>
        <v/>
      </c>
      <c r="CY17" s="27">
        <f>IF(Time!CY23=1,$F$16,$F$15)</f>
        <v/>
      </c>
      <c r="CZ17" s="27">
        <f>IF(Time!CZ23=1,$F$16,$F$15)</f>
        <v/>
      </c>
      <c r="DA17" s="27">
        <f>IF(Time!DA23=1,$F$16,$F$15)</f>
        <v/>
      </c>
      <c r="DB17" s="27">
        <f>IF(Time!DB23=1,$F$16,$F$15)</f>
        <v/>
      </c>
    </row>
    <row r="18">
      <c r="D18" t="inlineStr">
        <is>
          <t>Gross toll revenue</t>
        </is>
      </c>
      <c r="E18" t="inlineStr">
        <is>
          <t>ARD m</t>
        </is>
      </c>
      <c r="G18" s="19">
        <f>SUM(J18:DB18)</f>
        <v/>
      </c>
      <c r="J18" s="19">
        <f>J13*Inputs!$F$65*Time!J25*Inputs!$F$128*Time!J60*J17/Inputs!$F$66</f>
        <v/>
      </c>
      <c r="K18" s="19">
        <f>K13*Inputs!$F$65*Time!K25*Inputs!$F$128*Time!K60*K17/Inputs!$F$66</f>
        <v/>
      </c>
      <c r="L18" s="19">
        <f>L13*Inputs!$F$65*Time!L25*Inputs!$F$128*Time!L60*L17/Inputs!$F$66</f>
        <v/>
      </c>
      <c r="M18" s="19">
        <f>M13*Inputs!$F$65*Time!M25*Inputs!$F$128*Time!M60*M17/Inputs!$F$66</f>
        <v/>
      </c>
      <c r="N18" s="19">
        <f>N13*Inputs!$F$65*Time!N25*Inputs!$F$128*Time!N60*N17/Inputs!$F$66</f>
        <v/>
      </c>
      <c r="O18" s="19">
        <f>O13*Inputs!$F$65*Time!O25*Inputs!$F$128*Time!O60*O17/Inputs!$F$66</f>
        <v/>
      </c>
      <c r="P18" s="19">
        <f>P13*Inputs!$F$65*Time!P25*Inputs!$F$128*Time!P60*P17/Inputs!$F$66</f>
        <v/>
      </c>
      <c r="Q18" s="19">
        <f>Q13*Inputs!$F$65*Time!Q25*Inputs!$F$128*Time!Q60*Q17/Inputs!$F$66</f>
        <v/>
      </c>
      <c r="R18" s="19">
        <f>R13*Inputs!$F$65*Time!R25*Inputs!$F$128*Time!R60*R17/Inputs!$F$66</f>
        <v/>
      </c>
      <c r="S18" s="19">
        <f>S13*Inputs!$F$65*Time!S25*Inputs!$F$128*Time!S60*S17/Inputs!$F$66</f>
        <v/>
      </c>
      <c r="T18" s="19">
        <f>T13*Inputs!$F$65*Time!T25*Inputs!$F$128*Time!T60*T17/Inputs!$F$66</f>
        <v/>
      </c>
      <c r="U18" s="19">
        <f>U13*Inputs!$F$65*Time!U25*Inputs!$F$128*Time!U60*U17/Inputs!$F$66</f>
        <v/>
      </c>
      <c r="V18" s="19">
        <f>V13*Inputs!$F$65*Time!V25*Inputs!$F$128*Time!V60*V17/Inputs!$F$66</f>
        <v/>
      </c>
      <c r="W18" s="19">
        <f>W13*Inputs!$F$65*Time!W25*Inputs!$F$128*Time!W60*W17/Inputs!$F$66</f>
        <v/>
      </c>
      <c r="X18" s="19">
        <f>X13*Inputs!$F$65*Time!X25*Inputs!$F$128*Time!X60*X17/Inputs!$F$66</f>
        <v/>
      </c>
      <c r="Y18" s="19">
        <f>Y13*Inputs!$F$65*Time!Y25*Inputs!$F$128*Time!Y60*Y17/Inputs!$F$66</f>
        <v/>
      </c>
      <c r="Z18" s="19">
        <f>Z13*Inputs!$F$65*Time!Z25*Inputs!$F$128*Time!Z60*Z17/Inputs!$F$66</f>
        <v/>
      </c>
      <c r="AA18" s="19">
        <f>AA13*Inputs!$F$65*Time!AA25*Inputs!$F$128*Time!AA60*AA17/Inputs!$F$66</f>
        <v/>
      </c>
      <c r="AB18" s="19">
        <f>AB13*Inputs!$F$65*Time!AB25*Inputs!$F$128*Time!AB60*AB17/Inputs!$F$66</f>
        <v/>
      </c>
      <c r="AC18" s="19">
        <f>AC13*Inputs!$F$65*Time!AC25*Inputs!$F$128*Time!AC60*AC17/Inputs!$F$66</f>
        <v/>
      </c>
      <c r="AD18" s="19">
        <f>AD13*Inputs!$F$65*Time!AD25*Inputs!$F$128*Time!AD60*AD17/Inputs!$F$66</f>
        <v/>
      </c>
      <c r="AE18" s="19">
        <f>AE13*Inputs!$F$65*Time!AE25*Inputs!$F$128*Time!AE60*AE17/Inputs!$F$66</f>
        <v/>
      </c>
      <c r="AF18" s="19">
        <f>AF13*Inputs!$F$65*Time!AF25*Inputs!$F$128*Time!AF60*AF17/Inputs!$F$66</f>
        <v/>
      </c>
      <c r="AG18" s="19">
        <f>AG13*Inputs!$F$65*Time!AG25*Inputs!$F$128*Time!AG60*AG17/Inputs!$F$66</f>
        <v/>
      </c>
      <c r="AH18" s="19">
        <f>AH13*Inputs!$F$65*Time!AH25*Inputs!$F$128*Time!AH60*AH17/Inputs!$F$66</f>
        <v/>
      </c>
      <c r="AI18" s="19">
        <f>AI13*Inputs!$F$65*Time!AI25*Inputs!$F$128*Time!AI60*AI17/Inputs!$F$66</f>
        <v/>
      </c>
      <c r="AJ18" s="19">
        <f>AJ13*Inputs!$F$65*Time!AJ25*Inputs!$F$128*Time!AJ60*AJ17/Inputs!$F$66</f>
        <v/>
      </c>
      <c r="AK18" s="19">
        <f>AK13*Inputs!$F$65*Time!AK25*Inputs!$F$128*Time!AK60*AK17/Inputs!$F$66</f>
        <v/>
      </c>
      <c r="AL18" s="19">
        <f>AL13*Inputs!$F$65*Time!AL25*Inputs!$F$128*Time!AL60*AL17/Inputs!$F$66</f>
        <v/>
      </c>
      <c r="AM18" s="19">
        <f>AM13*Inputs!$F$65*Time!AM25*Inputs!$F$128*Time!AM60*AM17/Inputs!$F$66</f>
        <v/>
      </c>
      <c r="AN18" s="19">
        <f>AN13*Inputs!$F$65*Time!AN25*Inputs!$F$128*Time!AN60*AN17/Inputs!$F$66</f>
        <v/>
      </c>
      <c r="AO18" s="19">
        <f>AO13*Inputs!$F$65*Time!AO25*Inputs!$F$128*Time!AO60*AO17/Inputs!$F$66</f>
        <v/>
      </c>
      <c r="AP18" s="19">
        <f>AP13*Inputs!$F$65*Time!AP25*Inputs!$F$128*Time!AP60*AP17/Inputs!$F$66</f>
        <v/>
      </c>
      <c r="AQ18" s="19">
        <f>AQ13*Inputs!$F$65*Time!AQ25*Inputs!$F$128*Time!AQ60*AQ17/Inputs!$F$66</f>
        <v/>
      </c>
      <c r="AR18" s="19">
        <f>AR13*Inputs!$F$65*Time!AR25*Inputs!$F$128*Time!AR60*AR17/Inputs!$F$66</f>
        <v/>
      </c>
      <c r="AS18" s="19">
        <f>AS13*Inputs!$F$65*Time!AS25*Inputs!$F$128*Time!AS60*AS17/Inputs!$F$66</f>
        <v/>
      </c>
      <c r="AT18" s="19">
        <f>AT13*Inputs!$F$65*Time!AT25*Inputs!$F$128*Time!AT60*AT17/Inputs!$F$66</f>
        <v/>
      </c>
      <c r="AU18" s="19">
        <f>AU13*Inputs!$F$65*Time!AU25*Inputs!$F$128*Time!AU60*AU17/Inputs!$F$66</f>
        <v/>
      </c>
      <c r="AV18" s="19">
        <f>AV13*Inputs!$F$65*Time!AV25*Inputs!$F$128*Time!AV60*AV17/Inputs!$F$66</f>
        <v/>
      </c>
      <c r="AW18" s="19">
        <f>AW13*Inputs!$F$65*Time!AW25*Inputs!$F$128*Time!AW60*AW17/Inputs!$F$66</f>
        <v/>
      </c>
      <c r="AX18" s="19">
        <f>AX13*Inputs!$F$65*Time!AX25*Inputs!$F$128*Time!AX60*AX17/Inputs!$F$66</f>
        <v/>
      </c>
      <c r="AY18" s="19">
        <f>AY13*Inputs!$F$65*Time!AY25*Inputs!$F$128*Time!AY60*AY17/Inputs!$F$66</f>
        <v/>
      </c>
      <c r="AZ18" s="19">
        <f>AZ13*Inputs!$F$65*Time!AZ25*Inputs!$F$128*Time!AZ60*AZ17/Inputs!$F$66</f>
        <v/>
      </c>
      <c r="BA18" s="19">
        <f>BA13*Inputs!$F$65*Time!BA25*Inputs!$F$128*Time!BA60*BA17/Inputs!$F$66</f>
        <v/>
      </c>
      <c r="BB18" s="19">
        <f>BB13*Inputs!$F$65*Time!BB25*Inputs!$F$128*Time!BB60*BB17/Inputs!$F$66</f>
        <v/>
      </c>
      <c r="BC18" s="19">
        <f>BC13*Inputs!$F$65*Time!BC25*Inputs!$F$128*Time!BC60*BC17/Inputs!$F$66</f>
        <v/>
      </c>
      <c r="BD18" s="19">
        <f>BD13*Inputs!$F$65*Time!BD25*Inputs!$F$128*Time!BD60*BD17/Inputs!$F$66</f>
        <v/>
      </c>
      <c r="BE18" s="19">
        <f>BE13*Inputs!$F$65*Time!BE25*Inputs!$F$128*Time!BE60*BE17/Inputs!$F$66</f>
        <v/>
      </c>
      <c r="BF18" s="19">
        <f>BF13*Inputs!$F$65*Time!BF25*Inputs!$F$128*Time!BF60*BF17/Inputs!$F$66</f>
        <v/>
      </c>
      <c r="BG18" s="19">
        <f>BG13*Inputs!$F$65*Time!BG25*Inputs!$F$128*Time!BG60*BG17/Inputs!$F$66</f>
        <v/>
      </c>
      <c r="BH18" s="19">
        <f>BH13*Inputs!$F$65*Time!BH25*Inputs!$F$128*Time!BH60*BH17/Inputs!$F$66</f>
        <v/>
      </c>
      <c r="BI18" s="19">
        <f>BI13*Inputs!$F$65*Time!BI25*Inputs!$F$128*Time!BI60*BI17/Inputs!$F$66</f>
        <v/>
      </c>
      <c r="BJ18" s="19">
        <f>BJ13*Inputs!$F$65*Time!BJ25*Inputs!$F$128*Time!BJ60*BJ17/Inputs!$F$66</f>
        <v/>
      </c>
      <c r="BK18" s="19">
        <f>BK13*Inputs!$F$65*Time!BK25*Inputs!$F$128*Time!BK60*BK17/Inputs!$F$66</f>
        <v/>
      </c>
      <c r="BL18" s="19">
        <f>BL13*Inputs!$F$65*Time!BL25*Inputs!$F$128*Time!BL60*BL17/Inputs!$F$66</f>
        <v/>
      </c>
      <c r="BM18" s="19">
        <f>BM13*Inputs!$F$65*Time!BM25*Inputs!$F$128*Time!BM60*BM17/Inputs!$F$66</f>
        <v/>
      </c>
      <c r="BN18" s="19">
        <f>BN13*Inputs!$F$65*Time!BN25*Inputs!$F$128*Time!BN60*BN17/Inputs!$F$66</f>
        <v/>
      </c>
      <c r="BO18" s="19">
        <f>BO13*Inputs!$F$65*Time!BO25*Inputs!$F$128*Time!BO60*BO17/Inputs!$F$66</f>
        <v/>
      </c>
      <c r="BP18" s="19">
        <f>BP13*Inputs!$F$65*Time!BP25*Inputs!$F$128*Time!BP60*BP17/Inputs!$F$66</f>
        <v/>
      </c>
      <c r="BQ18" s="19">
        <f>BQ13*Inputs!$F$65*Time!BQ25*Inputs!$F$128*Time!BQ60*BQ17/Inputs!$F$66</f>
        <v/>
      </c>
      <c r="BR18" s="19">
        <f>BR13*Inputs!$F$65*Time!BR25*Inputs!$F$128*Time!BR60*BR17/Inputs!$F$66</f>
        <v/>
      </c>
      <c r="BS18" s="19">
        <f>BS13*Inputs!$F$65*Time!BS25*Inputs!$F$128*Time!BS60*BS17/Inputs!$F$66</f>
        <v/>
      </c>
      <c r="BT18" s="19">
        <f>BT13*Inputs!$F$65*Time!BT25*Inputs!$F$128*Time!BT60*BT17/Inputs!$F$66</f>
        <v/>
      </c>
      <c r="BU18" s="19">
        <f>BU13*Inputs!$F$65*Time!BU25*Inputs!$F$128*Time!BU60*BU17/Inputs!$F$66</f>
        <v/>
      </c>
      <c r="BV18" s="19">
        <f>BV13*Inputs!$F$65*Time!BV25*Inputs!$F$128*Time!BV60*BV17/Inputs!$F$66</f>
        <v/>
      </c>
      <c r="BW18" s="19">
        <f>BW13*Inputs!$F$65*Time!BW25*Inputs!$F$128*Time!BW60*BW17/Inputs!$F$66</f>
        <v/>
      </c>
      <c r="BX18" s="19">
        <f>BX13*Inputs!$F$65*Time!BX25*Inputs!$F$128*Time!BX60*BX17/Inputs!$F$66</f>
        <v/>
      </c>
      <c r="BY18" s="19">
        <f>BY13*Inputs!$F$65*Time!BY25*Inputs!$F$128*Time!BY60*BY17/Inputs!$F$66</f>
        <v/>
      </c>
      <c r="BZ18" s="19">
        <f>BZ13*Inputs!$F$65*Time!BZ25*Inputs!$F$128*Time!BZ60*BZ17/Inputs!$F$66</f>
        <v/>
      </c>
      <c r="CA18" s="19">
        <f>CA13*Inputs!$F$65*Time!CA25*Inputs!$F$128*Time!CA60*CA17/Inputs!$F$66</f>
        <v/>
      </c>
      <c r="CB18" s="19">
        <f>CB13*Inputs!$F$65*Time!CB25*Inputs!$F$128*Time!CB60*CB17/Inputs!$F$66</f>
        <v/>
      </c>
      <c r="CC18" s="19">
        <f>CC13*Inputs!$F$65*Time!CC25*Inputs!$F$128*Time!CC60*CC17/Inputs!$F$66</f>
        <v/>
      </c>
      <c r="CD18" s="19">
        <f>CD13*Inputs!$F$65*Time!CD25*Inputs!$F$128*Time!CD60*CD17/Inputs!$F$66</f>
        <v/>
      </c>
      <c r="CE18" s="19">
        <f>CE13*Inputs!$F$65*Time!CE25*Inputs!$F$128*Time!CE60*CE17/Inputs!$F$66</f>
        <v/>
      </c>
      <c r="CF18" s="19">
        <f>CF13*Inputs!$F$65*Time!CF25*Inputs!$F$128*Time!CF60*CF17/Inputs!$F$66</f>
        <v/>
      </c>
      <c r="CG18" s="19">
        <f>CG13*Inputs!$F$65*Time!CG25*Inputs!$F$128*Time!CG60*CG17/Inputs!$F$66</f>
        <v/>
      </c>
      <c r="CH18" s="19">
        <f>CH13*Inputs!$F$65*Time!CH25*Inputs!$F$128*Time!CH60*CH17/Inputs!$F$66</f>
        <v/>
      </c>
      <c r="CI18" s="19">
        <f>CI13*Inputs!$F$65*Time!CI25*Inputs!$F$128*Time!CI60*CI17/Inputs!$F$66</f>
        <v/>
      </c>
      <c r="CJ18" s="19">
        <f>CJ13*Inputs!$F$65*Time!CJ25*Inputs!$F$128*Time!CJ60*CJ17/Inputs!$F$66</f>
        <v/>
      </c>
      <c r="CK18" s="19">
        <f>CK13*Inputs!$F$65*Time!CK25*Inputs!$F$128*Time!CK60*CK17/Inputs!$F$66</f>
        <v/>
      </c>
      <c r="CL18" s="19">
        <f>CL13*Inputs!$F$65*Time!CL25*Inputs!$F$128*Time!CL60*CL17/Inputs!$F$66</f>
        <v/>
      </c>
      <c r="CM18" s="19">
        <f>CM13*Inputs!$F$65*Time!CM25*Inputs!$F$128*Time!CM60*CM17/Inputs!$F$66</f>
        <v/>
      </c>
      <c r="CN18" s="19">
        <f>CN13*Inputs!$F$65*Time!CN25*Inputs!$F$128*Time!CN60*CN17/Inputs!$F$66</f>
        <v/>
      </c>
      <c r="CO18" s="19">
        <f>CO13*Inputs!$F$65*Time!CO25*Inputs!$F$128*Time!CO60*CO17/Inputs!$F$66</f>
        <v/>
      </c>
      <c r="CP18" s="19">
        <f>CP13*Inputs!$F$65*Time!CP25*Inputs!$F$128*Time!CP60*CP17/Inputs!$F$66</f>
        <v/>
      </c>
      <c r="CQ18" s="19">
        <f>CQ13*Inputs!$F$65*Time!CQ25*Inputs!$F$128*Time!CQ60*CQ17/Inputs!$F$66</f>
        <v/>
      </c>
      <c r="CR18" s="19">
        <f>CR13*Inputs!$F$65*Time!CR25*Inputs!$F$128*Time!CR60*CR17/Inputs!$F$66</f>
        <v/>
      </c>
      <c r="CS18" s="19">
        <f>CS13*Inputs!$F$65*Time!CS25*Inputs!$F$128*Time!CS60*CS17/Inputs!$F$66</f>
        <v/>
      </c>
      <c r="CT18" s="19">
        <f>CT13*Inputs!$F$65*Time!CT25*Inputs!$F$128*Time!CT60*CT17/Inputs!$F$66</f>
        <v/>
      </c>
      <c r="CU18" s="19">
        <f>CU13*Inputs!$F$65*Time!CU25*Inputs!$F$128*Time!CU60*CU17/Inputs!$F$66</f>
        <v/>
      </c>
      <c r="CV18" s="19">
        <f>CV13*Inputs!$F$65*Time!CV25*Inputs!$F$128*Time!CV60*CV17/Inputs!$F$66</f>
        <v/>
      </c>
      <c r="CW18" s="19">
        <f>CW13*Inputs!$F$65*Time!CW25*Inputs!$F$128*Time!CW60*CW17/Inputs!$F$66</f>
        <v/>
      </c>
      <c r="CX18" s="19">
        <f>CX13*Inputs!$F$65*Time!CX25*Inputs!$F$128*Time!CX60*CX17/Inputs!$F$66</f>
        <v/>
      </c>
      <c r="CY18" s="19">
        <f>CY13*Inputs!$F$65*Time!CY25*Inputs!$F$128*Time!CY60*CY17/Inputs!$F$66</f>
        <v/>
      </c>
      <c r="CZ18" s="19">
        <f>CZ13*Inputs!$F$65*Time!CZ25*Inputs!$F$128*Time!CZ60*CZ17/Inputs!$F$66</f>
        <v/>
      </c>
      <c r="DA18" s="19">
        <f>DA13*Inputs!$F$65*Time!DA25*Inputs!$F$128*Time!DA60*DA17/Inputs!$F$66</f>
        <v/>
      </c>
      <c r="DB18" s="19">
        <f>DB13*Inputs!$F$65*Time!DB25*Inputs!$F$128*Time!DB60*DB17/Inputs!$F$66</f>
        <v/>
      </c>
    </row>
    <row r="19">
      <c r="D19" t="inlineStr">
        <is>
          <t>Revenue leakage</t>
        </is>
      </c>
      <c r="E19" t="inlineStr">
        <is>
          <t>ARD m</t>
        </is>
      </c>
      <c r="G19" s="19">
        <f>SUM(J19:DB19)</f>
        <v/>
      </c>
      <c r="J19" s="19">
        <f>J18*Inputs!$F$129</f>
        <v/>
      </c>
      <c r="K19" s="19">
        <f>K18*Inputs!$F$129</f>
        <v/>
      </c>
      <c r="L19" s="19">
        <f>L18*Inputs!$F$129</f>
        <v/>
      </c>
      <c r="M19" s="19">
        <f>M18*Inputs!$F$129</f>
        <v/>
      </c>
      <c r="N19" s="19">
        <f>N18*Inputs!$F$129</f>
        <v/>
      </c>
      <c r="O19" s="19">
        <f>O18*Inputs!$F$129</f>
        <v/>
      </c>
      <c r="P19" s="19">
        <f>P18*Inputs!$F$129</f>
        <v/>
      </c>
      <c r="Q19" s="19">
        <f>Q18*Inputs!$F$129</f>
        <v/>
      </c>
      <c r="R19" s="19">
        <f>R18*Inputs!$F$129</f>
        <v/>
      </c>
      <c r="S19" s="19">
        <f>S18*Inputs!$F$129</f>
        <v/>
      </c>
      <c r="T19" s="19">
        <f>T18*Inputs!$F$129</f>
        <v/>
      </c>
      <c r="U19" s="19">
        <f>U18*Inputs!$F$129</f>
        <v/>
      </c>
      <c r="V19" s="19">
        <f>V18*Inputs!$F$129</f>
        <v/>
      </c>
      <c r="W19" s="19">
        <f>W18*Inputs!$F$129</f>
        <v/>
      </c>
      <c r="X19" s="19">
        <f>X18*Inputs!$F$129</f>
        <v/>
      </c>
      <c r="Y19" s="19">
        <f>Y18*Inputs!$F$129</f>
        <v/>
      </c>
      <c r="Z19" s="19">
        <f>Z18*Inputs!$F$129</f>
        <v/>
      </c>
      <c r="AA19" s="19">
        <f>AA18*Inputs!$F$129</f>
        <v/>
      </c>
      <c r="AB19" s="19">
        <f>AB18*Inputs!$F$129</f>
        <v/>
      </c>
      <c r="AC19" s="19">
        <f>AC18*Inputs!$F$129</f>
        <v/>
      </c>
      <c r="AD19" s="19">
        <f>AD18*Inputs!$F$129</f>
        <v/>
      </c>
      <c r="AE19" s="19">
        <f>AE18*Inputs!$F$129</f>
        <v/>
      </c>
      <c r="AF19" s="19">
        <f>AF18*Inputs!$F$129</f>
        <v/>
      </c>
      <c r="AG19" s="19">
        <f>AG18*Inputs!$F$129</f>
        <v/>
      </c>
      <c r="AH19" s="19">
        <f>AH18*Inputs!$F$129</f>
        <v/>
      </c>
      <c r="AI19" s="19">
        <f>AI18*Inputs!$F$129</f>
        <v/>
      </c>
      <c r="AJ19" s="19">
        <f>AJ18*Inputs!$F$129</f>
        <v/>
      </c>
      <c r="AK19" s="19">
        <f>AK18*Inputs!$F$129</f>
        <v/>
      </c>
      <c r="AL19" s="19">
        <f>AL18*Inputs!$F$129</f>
        <v/>
      </c>
      <c r="AM19" s="19">
        <f>AM18*Inputs!$F$129</f>
        <v/>
      </c>
      <c r="AN19" s="19">
        <f>AN18*Inputs!$F$129</f>
        <v/>
      </c>
      <c r="AO19" s="19">
        <f>AO18*Inputs!$F$129</f>
        <v/>
      </c>
      <c r="AP19" s="19">
        <f>AP18*Inputs!$F$129</f>
        <v/>
      </c>
      <c r="AQ19" s="19">
        <f>AQ18*Inputs!$F$129</f>
        <v/>
      </c>
      <c r="AR19" s="19">
        <f>AR18*Inputs!$F$129</f>
        <v/>
      </c>
      <c r="AS19" s="19">
        <f>AS18*Inputs!$F$129</f>
        <v/>
      </c>
      <c r="AT19" s="19">
        <f>AT18*Inputs!$F$129</f>
        <v/>
      </c>
      <c r="AU19" s="19">
        <f>AU18*Inputs!$F$129</f>
        <v/>
      </c>
      <c r="AV19" s="19">
        <f>AV18*Inputs!$F$129</f>
        <v/>
      </c>
      <c r="AW19" s="19">
        <f>AW18*Inputs!$F$129</f>
        <v/>
      </c>
      <c r="AX19" s="19">
        <f>AX18*Inputs!$F$129</f>
        <v/>
      </c>
      <c r="AY19" s="19">
        <f>AY18*Inputs!$F$129</f>
        <v/>
      </c>
      <c r="AZ19" s="19">
        <f>AZ18*Inputs!$F$129</f>
        <v/>
      </c>
      <c r="BA19" s="19">
        <f>BA18*Inputs!$F$129</f>
        <v/>
      </c>
      <c r="BB19" s="19">
        <f>BB18*Inputs!$F$129</f>
        <v/>
      </c>
      <c r="BC19" s="19">
        <f>BC18*Inputs!$F$129</f>
        <v/>
      </c>
      <c r="BD19" s="19">
        <f>BD18*Inputs!$F$129</f>
        <v/>
      </c>
      <c r="BE19" s="19">
        <f>BE18*Inputs!$F$129</f>
        <v/>
      </c>
      <c r="BF19" s="19">
        <f>BF18*Inputs!$F$129</f>
        <v/>
      </c>
      <c r="BG19" s="19">
        <f>BG18*Inputs!$F$129</f>
        <v/>
      </c>
      <c r="BH19" s="19">
        <f>BH18*Inputs!$F$129</f>
        <v/>
      </c>
      <c r="BI19" s="19">
        <f>BI18*Inputs!$F$129</f>
        <v/>
      </c>
      <c r="BJ19" s="19">
        <f>BJ18*Inputs!$F$129</f>
        <v/>
      </c>
      <c r="BK19" s="19">
        <f>BK18*Inputs!$F$129</f>
        <v/>
      </c>
      <c r="BL19" s="19">
        <f>BL18*Inputs!$F$129</f>
        <v/>
      </c>
      <c r="BM19" s="19">
        <f>BM18*Inputs!$F$129</f>
        <v/>
      </c>
      <c r="BN19" s="19">
        <f>BN18*Inputs!$F$129</f>
        <v/>
      </c>
      <c r="BO19" s="19">
        <f>BO18*Inputs!$F$129</f>
        <v/>
      </c>
      <c r="BP19" s="19">
        <f>BP18*Inputs!$F$129</f>
        <v/>
      </c>
      <c r="BQ19" s="19">
        <f>BQ18*Inputs!$F$129</f>
        <v/>
      </c>
      <c r="BR19" s="19">
        <f>BR18*Inputs!$F$129</f>
        <v/>
      </c>
      <c r="BS19" s="19">
        <f>BS18*Inputs!$F$129</f>
        <v/>
      </c>
      <c r="BT19" s="19">
        <f>BT18*Inputs!$F$129</f>
        <v/>
      </c>
      <c r="BU19" s="19">
        <f>BU18*Inputs!$F$129</f>
        <v/>
      </c>
      <c r="BV19" s="19">
        <f>BV18*Inputs!$F$129</f>
        <v/>
      </c>
      <c r="BW19" s="19">
        <f>BW18*Inputs!$F$129</f>
        <v/>
      </c>
      <c r="BX19" s="19">
        <f>BX18*Inputs!$F$129</f>
        <v/>
      </c>
      <c r="BY19" s="19">
        <f>BY18*Inputs!$F$129</f>
        <v/>
      </c>
      <c r="BZ19" s="19">
        <f>BZ18*Inputs!$F$129</f>
        <v/>
      </c>
      <c r="CA19" s="19">
        <f>CA18*Inputs!$F$129</f>
        <v/>
      </c>
      <c r="CB19" s="19">
        <f>CB18*Inputs!$F$129</f>
        <v/>
      </c>
      <c r="CC19" s="19">
        <f>CC18*Inputs!$F$129</f>
        <v/>
      </c>
      <c r="CD19" s="19">
        <f>CD18*Inputs!$F$129</f>
        <v/>
      </c>
      <c r="CE19" s="19">
        <f>CE18*Inputs!$F$129</f>
        <v/>
      </c>
      <c r="CF19" s="19">
        <f>CF18*Inputs!$F$129</f>
        <v/>
      </c>
      <c r="CG19" s="19">
        <f>CG18*Inputs!$F$129</f>
        <v/>
      </c>
      <c r="CH19" s="19">
        <f>CH18*Inputs!$F$129</f>
        <v/>
      </c>
      <c r="CI19" s="19">
        <f>CI18*Inputs!$F$129</f>
        <v/>
      </c>
      <c r="CJ19" s="19">
        <f>CJ18*Inputs!$F$129</f>
        <v/>
      </c>
      <c r="CK19" s="19">
        <f>CK18*Inputs!$F$129</f>
        <v/>
      </c>
      <c r="CL19" s="19">
        <f>CL18*Inputs!$F$129</f>
        <v/>
      </c>
      <c r="CM19" s="19">
        <f>CM18*Inputs!$F$129</f>
        <v/>
      </c>
      <c r="CN19" s="19">
        <f>CN18*Inputs!$F$129</f>
        <v/>
      </c>
      <c r="CO19" s="19">
        <f>CO18*Inputs!$F$129</f>
        <v/>
      </c>
      <c r="CP19" s="19">
        <f>CP18*Inputs!$F$129</f>
        <v/>
      </c>
      <c r="CQ19" s="19">
        <f>CQ18*Inputs!$F$129</f>
        <v/>
      </c>
      <c r="CR19" s="19">
        <f>CR18*Inputs!$F$129</f>
        <v/>
      </c>
      <c r="CS19" s="19">
        <f>CS18*Inputs!$F$129</f>
        <v/>
      </c>
      <c r="CT19" s="19">
        <f>CT18*Inputs!$F$129</f>
        <v/>
      </c>
      <c r="CU19" s="19">
        <f>CU18*Inputs!$F$129</f>
        <v/>
      </c>
      <c r="CV19" s="19">
        <f>CV18*Inputs!$F$129</f>
        <v/>
      </c>
      <c r="CW19" s="19">
        <f>CW18*Inputs!$F$129</f>
        <v/>
      </c>
      <c r="CX19" s="19">
        <f>CX18*Inputs!$F$129</f>
        <v/>
      </c>
      <c r="CY19" s="19">
        <f>CY18*Inputs!$F$129</f>
        <v/>
      </c>
      <c r="CZ19" s="19">
        <f>CZ18*Inputs!$F$129</f>
        <v/>
      </c>
      <c r="DA19" s="19">
        <f>DA18*Inputs!$F$129</f>
        <v/>
      </c>
      <c r="DB19" s="19">
        <f>DB18*Inputs!$F$129</f>
        <v/>
      </c>
    </row>
    <row r="20">
      <c r="D20" t="inlineStr">
        <is>
          <t>Net toll revenue</t>
        </is>
      </c>
      <c r="E20" t="inlineStr">
        <is>
          <t>ARD m</t>
        </is>
      </c>
      <c r="G20" s="19">
        <f>SUM(J20:DB20)</f>
        <v/>
      </c>
      <c r="J20" s="19">
        <f>J18-J19</f>
        <v/>
      </c>
      <c r="K20" s="19">
        <f>K18-K19</f>
        <v/>
      </c>
      <c r="L20" s="19">
        <f>L18-L19</f>
        <v/>
      </c>
      <c r="M20" s="19">
        <f>M18-M19</f>
        <v/>
      </c>
      <c r="N20" s="19">
        <f>N18-N19</f>
        <v/>
      </c>
      <c r="O20" s="19">
        <f>O18-O19</f>
        <v/>
      </c>
      <c r="P20" s="19">
        <f>P18-P19</f>
        <v/>
      </c>
      <c r="Q20" s="19">
        <f>Q18-Q19</f>
        <v/>
      </c>
      <c r="R20" s="19">
        <f>R18-R19</f>
        <v/>
      </c>
      <c r="S20" s="19">
        <f>S18-S19</f>
        <v/>
      </c>
      <c r="T20" s="19">
        <f>T18-T19</f>
        <v/>
      </c>
      <c r="U20" s="19">
        <f>U18-U19</f>
        <v/>
      </c>
      <c r="V20" s="19">
        <f>V18-V19</f>
        <v/>
      </c>
      <c r="W20" s="19">
        <f>W18-W19</f>
        <v/>
      </c>
      <c r="X20" s="19">
        <f>X18-X19</f>
        <v/>
      </c>
      <c r="Y20" s="19">
        <f>Y18-Y19</f>
        <v/>
      </c>
      <c r="Z20" s="19">
        <f>Z18-Z19</f>
        <v/>
      </c>
      <c r="AA20" s="19">
        <f>AA18-AA19</f>
        <v/>
      </c>
      <c r="AB20" s="19">
        <f>AB18-AB19</f>
        <v/>
      </c>
      <c r="AC20" s="19">
        <f>AC18-AC19</f>
        <v/>
      </c>
      <c r="AD20" s="19">
        <f>AD18-AD19</f>
        <v/>
      </c>
      <c r="AE20" s="19">
        <f>AE18-AE19</f>
        <v/>
      </c>
      <c r="AF20" s="19">
        <f>AF18-AF19</f>
        <v/>
      </c>
      <c r="AG20" s="19">
        <f>AG18-AG19</f>
        <v/>
      </c>
      <c r="AH20" s="19">
        <f>AH18-AH19</f>
        <v/>
      </c>
      <c r="AI20" s="19">
        <f>AI18-AI19</f>
        <v/>
      </c>
      <c r="AJ20" s="19">
        <f>AJ18-AJ19</f>
        <v/>
      </c>
      <c r="AK20" s="19">
        <f>AK18-AK19</f>
        <v/>
      </c>
      <c r="AL20" s="19">
        <f>AL18-AL19</f>
        <v/>
      </c>
      <c r="AM20" s="19">
        <f>AM18-AM19</f>
        <v/>
      </c>
      <c r="AN20" s="19">
        <f>AN18-AN19</f>
        <v/>
      </c>
      <c r="AO20" s="19">
        <f>AO18-AO19</f>
        <v/>
      </c>
      <c r="AP20" s="19">
        <f>AP18-AP19</f>
        <v/>
      </c>
      <c r="AQ20" s="19">
        <f>AQ18-AQ19</f>
        <v/>
      </c>
      <c r="AR20" s="19">
        <f>AR18-AR19</f>
        <v/>
      </c>
      <c r="AS20" s="19">
        <f>AS18-AS19</f>
        <v/>
      </c>
      <c r="AT20" s="19">
        <f>AT18-AT19</f>
        <v/>
      </c>
      <c r="AU20" s="19">
        <f>AU18-AU19</f>
        <v/>
      </c>
      <c r="AV20" s="19">
        <f>AV18-AV19</f>
        <v/>
      </c>
      <c r="AW20" s="19">
        <f>AW18-AW19</f>
        <v/>
      </c>
      <c r="AX20" s="19">
        <f>AX18-AX19</f>
        <v/>
      </c>
      <c r="AY20" s="19">
        <f>AY18-AY19</f>
        <v/>
      </c>
      <c r="AZ20" s="19">
        <f>AZ18-AZ19</f>
        <v/>
      </c>
      <c r="BA20" s="19">
        <f>BA18-BA19</f>
        <v/>
      </c>
      <c r="BB20" s="19">
        <f>BB18-BB19</f>
        <v/>
      </c>
      <c r="BC20" s="19">
        <f>BC18-BC19</f>
        <v/>
      </c>
      <c r="BD20" s="19">
        <f>BD18-BD19</f>
        <v/>
      </c>
      <c r="BE20" s="19">
        <f>BE18-BE19</f>
        <v/>
      </c>
      <c r="BF20" s="19">
        <f>BF18-BF19</f>
        <v/>
      </c>
      <c r="BG20" s="19">
        <f>BG18-BG19</f>
        <v/>
      </c>
      <c r="BH20" s="19">
        <f>BH18-BH19</f>
        <v/>
      </c>
      <c r="BI20" s="19">
        <f>BI18-BI19</f>
        <v/>
      </c>
      <c r="BJ20" s="19">
        <f>BJ18-BJ19</f>
        <v/>
      </c>
      <c r="BK20" s="19">
        <f>BK18-BK19</f>
        <v/>
      </c>
      <c r="BL20" s="19">
        <f>BL18-BL19</f>
        <v/>
      </c>
      <c r="BM20" s="19">
        <f>BM18-BM19</f>
        <v/>
      </c>
      <c r="BN20" s="19">
        <f>BN18-BN19</f>
        <v/>
      </c>
      <c r="BO20" s="19">
        <f>BO18-BO19</f>
        <v/>
      </c>
      <c r="BP20" s="19">
        <f>BP18-BP19</f>
        <v/>
      </c>
      <c r="BQ20" s="19">
        <f>BQ18-BQ19</f>
        <v/>
      </c>
      <c r="BR20" s="19">
        <f>BR18-BR19</f>
        <v/>
      </c>
      <c r="BS20" s="19">
        <f>BS18-BS19</f>
        <v/>
      </c>
      <c r="BT20" s="19">
        <f>BT18-BT19</f>
        <v/>
      </c>
      <c r="BU20" s="19">
        <f>BU18-BU19</f>
        <v/>
      </c>
      <c r="BV20" s="19">
        <f>BV18-BV19</f>
        <v/>
      </c>
      <c r="BW20" s="19">
        <f>BW18-BW19</f>
        <v/>
      </c>
      <c r="BX20" s="19">
        <f>BX18-BX19</f>
        <v/>
      </c>
      <c r="BY20" s="19">
        <f>BY18-BY19</f>
        <v/>
      </c>
      <c r="BZ20" s="19">
        <f>BZ18-BZ19</f>
        <v/>
      </c>
      <c r="CA20" s="19">
        <f>CA18-CA19</f>
        <v/>
      </c>
      <c r="CB20" s="19">
        <f>CB18-CB19</f>
        <v/>
      </c>
      <c r="CC20" s="19">
        <f>CC18-CC19</f>
        <v/>
      </c>
      <c r="CD20" s="19">
        <f>CD18-CD19</f>
        <v/>
      </c>
      <c r="CE20" s="19">
        <f>CE18-CE19</f>
        <v/>
      </c>
      <c r="CF20" s="19">
        <f>CF18-CF19</f>
        <v/>
      </c>
      <c r="CG20" s="19">
        <f>CG18-CG19</f>
        <v/>
      </c>
      <c r="CH20" s="19">
        <f>CH18-CH19</f>
        <v/>
      </c>
      <c r="CI20" s="19">
        <f>CI18-CI19</f>
        <v/>
      </c>
      <c r="CJ20" s="19">
        <f>CJ18-CJ19</f>
        <v/>
      </c>
      <c r="CK20" s="19">
        <f>CK18-CK19</f>
        <v/>
      </c>
      <c r="CL20" s="19">
        <f>CL18-CL19</f>
        <v/>
      </c>
      <c r="CM20" s="19">
        <f>CM18-CM19</f>
        <v/>
      </c>
      <c r="CN20" s="19">
        <f>CN18-CN19</f>
        <v/>
      </c>
      <c r="CO20" s="19">
        <f>CO18-CO19</f>
        <v/>
      </c>
      <c r="CP20" s="19">
        <f>CP18-CP19</f>
        <v/>
      </c>
      <c r="CQ20" s="19">
        <f>CQ18-CQ19</f>
        <v/>
      </c>
      <c r="CR20" s="19">
        <f>CR18-CR19</f>
        <v/>
      </c>
      <c r="CS20" s="19">
        <f>CS18-CS19</f>
        <v/>
      </c>
      <c r="CT20" s="19">
        <f>CT18-CT19</f>
        <v/>
      </c>
      <c r="CU20" s="19">
        <f>CU18-CU19</f>
        <v/>
      </c>
      <c r="CV20" s="19">
        <f>CV18-CV19</f>
        <v/>
      </c>
      <c r="CW20" s="19">
        <f>CW18-CW19</f>
        <v/>
      </c>
      <c r="CX20" s="19">
        <f>CX18-CX19</f>
        <v/>
      </c>
      <c r="CY20" s="19">
        <f>CY18-CY19</f>
        <v/>
      </c>
      <c r="CZ20" s="19">
        <f>CZ18-CZ19</f>
        <v/>
      </c>
      <c r="DA20" s="19">
        <f>DA18-DA19</f>
        <v/>
      </c>
      <c r="DB20" s="19">
        <f>DB18-DB19</f>
        <v/>
      </c>
    </row>
    <row r="21">
      <c r="D21" t="inlineStr">
        <is>
          <t>Delay liquidated damages received</t>
        </is>
      </c>
      <c r="E21" t="inlineStr">
        <is>
          <t>ARD m</t>
        </is>
      </c>
      <c r="G21" s="19">
        <f>SUM(J21:DB21)</f>
        <v/>
      </c>
      <c r="J21" s="19">
        <f>IF(AND(Inputs!$F$214=1,Time!J27=1),Inputs!$F$79,0)</f>
        <v/>
      </c>
      <c r="K21" s="19">
        <f>IF(AND(Inputs!$F$214=1,Time!K27=1),Inputs!$F$79,0)</f>
        <v/>
      </c>
      <c r="L21" s="19">
        <f>IF(AND(Inputs!$F$214=1,Time!L27=1),Inputs!$F$79,0)</f>
        <v/>
      </c>
      <c r="M21" s="19">
        <f>IF(AND(Inputs!$F$214=1,Time!M27=1),Inputs!$F$79,0)</f>
        <v/>
      </c>
      <c r="N21" s="19">
        <f>IF(AND(Inputs!$F$214=1,Time!N27=1),Inputs!$F$79,0)</f>
        <v/>
      </c>
      <c r="O21" s="19">
        <f>IF(AND(Inputs!$F$214=1,Time!O27=1),Inputs!$F$79,0)</f>
        <v/>
      </c>
      <c r="P21" s="19">
        <f>IF(AND(Inputs!$F$214=1,Time!P27=1),Inputs!$F$79,0)</f>
        <v/>
      </c>
      <c r="Q21" s="19">
        <f>IF(AND(Inputs!$F$214=1,Time!Q27=1),Inputs!$F$79,0)</f>
        <v/>
      </c>
      <c r="R21" s="19">
        <f>IF(AND(Inputs!$F$214=1,Time!R27=1),Inputs!$F$79,0)</f>
        <v/>
      </c>
      <c r="S21" s="19">
        <f>IF(AND(Inputs!$F$214=1,Time!S27=1),Inputs!$F$79,0)</f>
        <v/>
      </c>
      <c r="T21" s="19">
        <f>IF(AND(Inputs!$F$214=1,Time!T27=1),Inputs!$F$79,0)</f>
        <v/>
      </c>
      <c r="U21" s="19">
        <f>IF(AND(Inputs!$F$214=1,Time!U27=1),Inputs!$F$79,0)</f>
        <v/>
      </c>
      <c r="V21" s="19">
        <f>IF(AND(Inputs!$F$214=1,Time!V27=1),Inputs!$F$79,0)</f>
        <v/>
      </c>
      <c r="W21" s="19">
        <f>IF(AND(Inputs!$F$214=1,Time!W27=1),Inputs!$F$79,0)</f>
        <v/>
      </c>
      <c r="X21" s="19">
        <f>IF(AND(Inputs!$F$214=1,Time!X27=1),Inputs!$F$79,0)</f>
        <v/>
      </c>
      <c r="Y21" s="19">
        <f>IF(AND(Inputs!$F$214=1,Time!Y27=1),Inputs!$F$79,0)</f>
        <v/>
      </c>
      <c r="Z21" s="19">
        <f>IF(AND(Inputs!$F$214=1,Time!Z27=1),Inputs!$F$79,0)</f>
        <v/>
      </c>
      <c r="AA21" s="19">
        <f>IF(AND(Inputs!$F$214=1,Time!AA27=1),Inputs!$F$79,0)</f>
        <v/>
      </c>
      <c r="AB21" s="19">
        <f>IF(AND(Inputs!$F$214=1,Time!AB27=1),Inputs!$F$79,0)</f>
        <v/>
      </c>
      <c r="AC21" s="19">
        <f>IF(AND(Inputs!$F$214=1,Time!AC27=1),Inputs!$F$79,0)</f>
        <v/>
      </c>
      <c r="AD21" s="19">
        <f>IF(AND(Inputs!$F$214=1,Time!AD27=1),Inputs!$F$79,0)</f>
        <v/>
      </c>
      <c r="AE21" s="19">
        <f>IF(AND(Inputs!$F$214=1,Time!AE27=1),Inputs!$F$79,0)</f>
        <v/>
      </c>
      <c r="AF21" s="19">
        <f>IF(AND(Inputs!$F$214=1,Time!AF27=1),Inputs!$F$79,0)</f>
        <v/>
      </c>
      <c r="AG21" s="19">
        <f>IF(AND(Inputs!$F$214=1,Time!AG27=1),Inputs!$F$79,0)</f>
        <v/>
      </c>
      <c r="AH21" s="19">
        <f>IF(AND(Inputs!$F$214=1,Time!AH27=1),Inputs!$F$79,0)</f>
        <v/>
      </c>
      <c r="AI21" s="19">
        <f>IF(AND(Inputs!$F$214=1,Time!AI27=1),Inputs!$F$79,0)</f>
        <v/>
      </c>
      <c r="AJ21" s="19">
        <f>IF(AND(Inputs!$F$214=1,Time!AJ27=1),Inputs!$F$79,0)</f>
        <v/>
      </c>
      <c r="AK21" s="19">
        <f>IF(AND(Inputs!$F$214=1,Time!AK27=1),Inputs!$F$79,0)</f>
        <v/>
      </c>
      <c r="AL21" s="19">
        <f>IF(AND(Inputs!$F$214=1,Time!AL27=1),Inputs!$F$79,0)</f>
        <v/>
      </c>
      <c r="AM21" s="19">
        <f>IF(AND(Inputs!$F$214=1,Time!AM27=1),Inputs!$F$79,0)</f>
        <v/>
      </c>
      <c r="AN21" s="19">
        <f>IF(AND(Inputs!$F$214=1,Time!AN27=1),Inputs!$F$79,0)</f>
        <v/>
      </c>
      <c r="AO21" s="19">
        <f>IF(AND(Inputs!$F$214=1,Time!AO27=1),Inputs!$F$79,0)</f>
        <v/>
      </c>
      <c r="AP21" s="19">
        <f>IF(AND(Inputs!$F$214=1,Time!AP27=1),Inputs!$F$79,0)</f>
        <v/>
      </c>
      <c r="AQ21" s="19">
        <f>IF(AND(Inputs!$F$214=1,Time!AQ27=1),Inputs!$F$79,0)</f>
        <v/>
      </c>
      <c r="AR21" s="19">
        <f>IF(AND(Inputs!$F$214=1,Time!AR27=1),Inputs!$F$79,0)</f>
        <v/>
      </c>
      <c r="AS21" s="19">
        <f>IF(AND(Inputs!$F$214=1,Time!AS27=1),Inputs!$F$79,0)</f>
        <v/>
      </c>
      <c r="AT21" s="19">
        <f>IF(AND(Inputs!$F$214=1,Time!AT27=1),Inputs!$F$79,0)</f>
        <v/>
      </c>
      <c r="AU21" s="19">
        <f>IF(AND(Inputs!$F$214=1,Time!AU27=1),Inputs!$F$79,0)</f>
        <v/>
      </c>
      <c r="AV21" s="19">
        <f>IF(AND(Inputs!$F$214=1,Time!AV27=1),Inputs!$F$79,0)</f>
        <v/>
      </c>
      <c r="AW21" s="19">
        <f>IF(AND(Inputs!$F$214=1,Time!AW27=1),Inputs!$F$79,0)</f>
        <v/>
      </c>
      <c r="AX21" s="19">
        <f>IF(AND(Inputs!$F$214=1,Time!AX27=1),Inputs!$F$79,0)</f>
        <v/>
      </c>
      <c r="AY21" s="19">
        <f>IF(AND(Inputs!$F$214=1,Time!AY27=1),Inputs!$F$79,0)</f>
        <v/>
      </c>
      <c r="AZ21" s="19">
        <f>IF(AND(Inputs!$F$214=1,Time!AZ27=1),Inputs!$F$79,0)</f>
        <v/>
      </c>
      <c r="BA21" s="19">
        <f>IF(AND(Inputs!$F$214=1,Time!BA27=1),Inputs!$F$79,0)</f>
        <v/>
      </c>
      <c r="BB21" s="19">
        <f>IF(AND(Inputs!$F$214=1,Time!BB27=1),Inputs!$F$79,0)</f>
        <v/>
      </c>
      <c r="BC21" s="19">
        <f>IF(AND(Inputs!$F$214=1,Time!BC27=1),Inputs!$F$79,0)</f>
        <v/>
      </c>
      <c r="BD21" s="19">
        <f>IF(AND(Inputs!$F$214=1,Time!BD27=1),Inputs!$F$79,0)</f>
        <v/>
      </c>
      <c r="BE21" s="19">
        <f>IF(AND(Inputs!$F$214=1,Time!BE27=1),Inputs!$F$79,0)</f>
        <v/>
      </c>
      <c r="BF21" s="19">
        <f>IF(AND(Inputs!$F$214=1,Time!BF27=1),Inputs!$F$79,0)</f>
        <v/>
      </c>
      <c r="BG21" s="19">
        <f>IF(AND(Inputs!$F$214=1,Time!BG27=1),Inputs!$F$79,0)</f>
        <v/>
      </c>
      <c r="BH21" s="19">
        <f>IF(AND(Inputs!$F$214=1,Time!BH27=1),Inputs!$F$79,0)</f>
        <v/>
      </c>
      <c r="BI21" s="19">
        <f>IF(AND(Inputs!$F$214=1,Time!BI27=1),Inputs!$F$79,0)</f>
        <v/>
      </c>
      <c r="BJ21" s="19">
        <f>IF(AND(Inputs!$F$214=1,Time!BJ27=1),Inputs!$F$79,0)</f>
        <v/>
      </c>
      <c r="BK21" s="19">
        <f>IF(AND(Inputs!$F$214=1,Time!BK27=1),Inputs!$F$79,0)</f>
        <v/>
      </c>
      <c r="BL21" s="19">
        <f>IF(AND(Inputs!$F$214=1,Time!BL27=1),Inputs!$F$79,0)</f>
        <v/>
      </c>
      <c r="BM21" s="19">
        <f>IF(AND(Inputs!$F$214=1,Time!BM27=1),Inputs!$F$79,0)</f>
        <v/>
      </c>
      <c r="BN21" s="19">
        <f>IF(AND(Inputs!$F$214=1,Time!BN27=1),Inputs!$F$79,0)</f>
        <v/>
      </c>
      <c r="BO21" s="19">
        <f>IF(AND(Inputs!$F$214=1,Time!BO27=1),Inputs!$F$79,0)</f>
        <v/>
      </c>
      <c r="BP21" s="19">
        <f>IF(AND(Inputs!$F$214=1,Time!BP27=1),Inputs!$F$79,0)</f>
        <v/>
      </c>
      <c r="BQ21" s="19">
        <f>IF(AND(Inputs!$F$214=1,Time!BQ27=1),Inputs!$F$79,0)</f>
        <v/>
      </c>
      <c r="BR21" s="19">
        <f>IF(AND(Inputs!$F$214=1,Time!BR27=1),Inputs!$F$79,0)</f>
        <v/>
      </c>
      <c r="BS21" s="19">
        <f>IF(AND(Inputs!$F$214=1,Time!BS27=1),Inputs!$F$79,0)</f>
        <v/>
      </c>
      <c r="BT21" s="19">
        <f>IF(AND(Inputs!$F$214=1,Time!BT27=1),Inputs!$F$79,0)</f>
        <v/>
      </c>
      <c r="BU21" s="19">
        <f>IF(AND(Inputs!$F$214=1,Time!BU27=1),Inputs!$F$79,0)</f>
        <v/>
      </c>
      <c r="BV21" s="19">
        <f>IF(AND(Inputs!$F$214=1,Time!BV27=1),Inputs!$F$79,0)</f>
        <v/>
      </c>
      <c r="BW21" s="19">
        <f>IF(AND(Inputs!$F$214=1,Time!BW27=1),Inputs!$F$79,0)</f>
        <v/>
      </c>
      <c r="BX21" s="19">
        <f>IF(AND(Inputs!$F$214=1,Time!BX27=1),Inputs!$F$79,0)</f>
        <v/>
      </c>
      <c r="BY21" s="19">
        <f>IF(AND(Inputs!$F$214=1,Time!BY27=1),Inputs!$F$79,0)</f>
        <v/>
      </c>
      <c r="BZ21" s="19">
        <f>IF(AND(Inputs!$F$214=1,Time!BZ27=1),Inputs!$F$79,0)</f>
        <v/>
      </c>
      <c r="CA21" s="19">
        <f>IF(AND(Inputs!$F$214=1,Time!CA27=1),Inputs!$F$79,0)</f>
        <v/>
      </c>
      <c r="CB21" s="19">
        <f>IF(AND(Inputs!$F$214=1,Time!CB27=1),Inputs!$F$79,0)</f>
        <v/>
      </c>
      <c r="CC21" s="19">
        <f>IF(AND(Inputs!$F$214=1,Time!CC27=1),Inputs!$F$79,0)</f>
        <v/>
      </c>
      <c r="CD21" s="19">
        <f>IF(AND(Inputs!$F$214=1,Time!CD27=1),Inputs!$F$79,0)</f>
        <v/>
      </c>
      <c r="CE21" s="19">
        <f>IF(AND(Inputs!$F$214=1,Time!CE27=1),Inputs!$F$79,0)</f>
        <v/>
      </c>
      <c r="CF21" s="19">
        <f>IF(AND(Inputs!$F$214=1,Time!CF27=1),Inputs!$F$79,0)</f>
        <v/>
      </c>
      <c r="CG21" s="19">
        <f>IF(AND(Inputs!$F$214=1,Time!CG27=1),Inputs!$F$79,0)</f>
        <v/>
      </c>
      <c r="CH21" s="19">
        <f>IF(AND(Inputs!$F$214=1,Time!CH27=1),Inputs!$F$79,0)</f>
        <v/>
      </c>
      <c r="CI21" s="19">
        <f>IF(AND(Inputs!$F$214=1,Time!CI27=1),Inputs!$F$79,0)</f>
        <v/>
      </c>
      <c r="CJ21" s="19">
        <f>IF(AND(Inputs!$F$214=1,Time!CJ27=1),Inputs!$F$79,0)</f>
        <v/>
      </c>
      <c r="CK21" s="19">
        <f>IF(AND(Inputs!$F$214=1,Time!CK27=1),Inputs!$F$79,0)</f>
        <v/>
      </c>
      <c r="CL21" s="19">
        <f>IF(AND(Inputs!$F$214=1,Time!CL27=1),Inputs!$F$79,0)</f>
        <v/>
      </c>
      <c r="CM21" s="19">
        <f>IF(AND(Inputs!$F$214=1,Time!CM27=1),Inputs!$F$79,0)</f>
        <v/>
      </c>
      <c r="CN21" s="19">
        <f>IF(AND(Inputs!$F$214=1,Time!CN27=1),Inputs!$F$79,0)</f>
        <v/>
      </c>
      <c r="CO21" s="19">
        <f>IF(AND(Inputs!$F$214=1,Time!CO27=1),Inputs!$F$79,0)</f>
        <v/>
      </c>
      <c r="CP21" s="19">
        <f>IF(AND(Inputs!$F$214=1,Time!CP27=1),Inputs!$F$79,0)</f>
        <v/>
      </c>
      <c r="CQ21" s="19">
        <f>IF(AND(Inputs!$F$214=1,Time!CQ27=1),Inputs!$F$79,0)</f>
        <v/>
      </c>
      <c r="CR21" s="19">
        <f>IF(AND(Inputs!$F$214=1,Time!CR27=1),Inputs!$F$79,0)</f>
        <v/>
      </c>
      <c r="CS21" s="19">
        <f>IF(AND(Inputs!$F$214=1,Time!CS27=1),Inputs!$F$79,0)</f>
        <v/>
      </c>
      <c r="CT21" s="19">
        <f>IF(AND(Inputs!$F$214=1,Time!CT27=1),Inputs!$F$79,0)</f>
        <v/>
      </c>
      <c r="CU21" s="19">
        <f>IF(AND(Inputs!$F$214=1,Time!CU27=1),Inputs!$F$79,0)</f>
        <v/>
      </c>
      <c r="CV21" s="19">
        <f>IF(AND(Inputs!$F$214=1,Time!CV27=1),Inputs!$F$79,0)</f>
        <v/>
      </c>
      <c r="CW21" s="19">
        <f>IF(AND(Inputs!$F$214=1,Time!CW27=1),Inputs!$F$79,0)</f>
        <v/>
      </c>
      <c r="CX21" s="19">
        <f>IF(AND(Inputs!$F$214=1,Time!CX27=1),Inputs!$F$79,0)</f>
        <v/>
      </c>
      <c r="CY21" s="19">
        <f>IF(AND(Inputs!$F$214=1,Time!CY27=1),Inputs!$F$79,0)</f>
        <v/>
      </c>
      <c r="CZ21" s="19">
        <f>IF(AND(Inputs!$F$214=1,Time!CZ27=1),Inputs!$F$79,0)</f>
        <v/>
      </c>
      <c r="DA21" s="19">
        <f>IF(AND(Inputs!$F$214=1,Time!DA27=1),Inputs!$F$79,0)</f>
        <v/>
      </c>
      <c r="DB21" s="19">
        <f>IF(AND(Inputs!$F$214=1,Time!DB27=1),Inputs!$F$79,0)</f>
        <v/>
      </c>
    </row>
    <row r="22">
      <c r="D22" s="3" t="inlineStr">
        <is>
          <t>Operating costs</t>
        </is>
      </c>
    </row>
    <row r="23">
      <c r="D23" t="inlineStr">
        <is>
          <t>Cost factor (CPI x operating days / 365 x opex factor)</t>
        </is>
      </c>
      <c r="E23" t="inlineStr">
        <is>
          <t>factor</t>
        </is>
      </c>
      <c r="J23" s="27">
        <f>Time!J56*Time!J25/Inputs!$F$46*Inputs!$F$222</f>
        <v/>
      </c>
      <c r="K23" s="27">
        <f>Time!K56*Time!K25/Inputs!$F$46*Inputs!$F$222</f>
        <v/>
      </c>
      <c r="L23" s="27">
        <f>Time!L56*Time!L25/Inputs!$F$46*Inputs!$F$222</f>
        <v/>
      </c>
      <c r="M23" s="27">
        <f>Time!M56*Time!M25/Inputs!$F$46*Inputs!$F$222</f>
        <v/>
      </c>
      <c r="N23" s="27">
        <f>Time!N56*Time!N25/Inputs!$F$46*Inputs!$F$222</f>
        <v/>
      </c>
      <c r="O23" s="27">
        <f>Time!O56*Time!O25/Inputs!$F$46*Inputs!$F$222</f>
        <v/>
      </c>
      <c r="P23" s="27">
        <f>Time!P56*Time!P25/Inputs!$F$46*Inputs!$F$222</f>
        <v/>
      </c>
      <c r="Q23" s="27">
        <f>Time!Q56*Time!Q25/Inputs!$F$46*Inputs!$F$222</f>
        <v/>
      </c>
      <c r="R23" s="27">
        <f>Time!R56*Time!R25/Inputs!$F$46*Inputs!$F$222</f>
        <v/>
      </c>
      <c r="S23" s="27">
        <f>Time!S56*Time!S25/Inputs!$F$46*Inputs!$F$222</f>
        <v/>
      </c>
      <c r="T23" s="27">
        <f>Time!T56*Time!T25/Inputs!$F$46*Inputs!$F$222</f>
        <v/>
      </c>
      <c r="U23" s="27">
        <f>Time!U56*Time!U25/Inputs!$F$46*Inputs!$F$222</f>
        <v/>
      </c>
      <c r="V23" s="27">
        <f>Time!V56*Time!V25/Inputs!$F$46*Inputs!$F$222</f>
        <v/>
      </c>
      <c r="W23" s="27">
        <f>Time!W56*Time!W25/Inputs!$F$46*Inputs!$F$222</f>
        <v/>
      </c>
      <c r="X23" s="27">
        <f>Time!X56*Time!X25/Inputs!$F$46*Inputs!$F$222</f>
        <v/>
      </c>
      <c r="Y23" s="27">
        <f>Time!Y56*Time!Y25/Inputs!$F$46*Inputs!$F$222</f>
        <v/>
      </c>
      <c r="Z23" s="27">
        <f>Time!Z56*Time!Z25/Inputs!$F$46*Inputs!$F$222</f>
        <v/>
      </c>
      <c r="AA23" s="27">
        <f>Time!AA56*Time!AA25/Inputs!$F$46*Inputs!$F$222</f>
        <v/>
      </c>
      <c r="AB23" s="27">
        <f>Time!AB56*Time!AB25/Inputs!$F$46*Inputs!$F$222</f>
        <v/>
      </c>
      <c r="AC23" s="27">
        <f>Time!AC56*Time!AC25/Inputs!$F$46*Inputs!$F$222</f>
        <v/>
      </c>
      <c r="AD23" s="27">
        <f>Time!AD56*Time!AD25/Inputs!$F$46*Inputs!$F$222</f>
        <v/>
      </c>
      <c r="AE23" s="27">
        <f>Time!AE56*Time!AE25/Inputs!$F$46*Inputs!$F$222</f>
        <v/>
      </c>
      <c r="AF23" s="27">
        <f>Time!AF56*Time!AF25/Inputs!$F$46*Inputs!$F$222</f>
        <v/>
      </c>
      <c r="AG23" s="27">
        <f>Time!AG56*Time!AG25/Inputs!$F$46*Inputs!$F$222</f>
        <v/>
      </c>
      <c r="AH23" s="27">
        <f>Time!AH56*Time!AH25/Inputs!$F$46*Inputs!$F$222</f>
        <v/>
      </c>
      <c r="AI23" s="27">
        <f>Time!AI56*Time!AI25/Inputs!$F$46*Inputs!$F$222</f>
        <v/>
      </c>
      <c r="AJ23" s="27">
        <f>Time!AJ56*Time!AJ25/Inputs!$F$46*Inputs!$F$222</f>
        <v/>
      </c>
      <c r="AK23" s="27">
        <f>Time!AK56*Time!AK25/Inputs!$F$46*Inputs!$F$222</f>
        <v/>
      </c>
      <c r="AL23" s="27">
        <f>Time!AL56*Time!AL25/Inputs!$F$46*Inputs!$F$222</f>
        <v/>
      </c>
      <c r="AM23" s="27">
        <f>Time!AM56*Time!AM25/Inputs!$F$46*Inputs!$F$222</f>
        <v/>
      </c>
      <c r="AN23" s="27">
        <f>Time!AN56*Time!AN25/Inputs!$F$46*Inputs!$F$222</f>
        <v/>
      </c>
      <c r="AO23" s="27">
        <f>Time!AO56*Time!AO25/Inputs!$F$46*Inputs!$F$222</f>
        <v/>
      </c>
      <c r="AP23" s="27">
        <f>Time!AP56*Time!AP25/Inputs!$F$46*Inputs!$F$222</f>
        <v/>
      </c>
      <c r="AQ23" s="27">
        <f>Time!AQ56*Time!AQ25/Inputs!$F$46*Inputs!$F$222</f>
        <v/>
      </c>
      <c r="AR23" s="27">
        <f>Time!AR56*Time!AR25/Inputs!$F$46*Inputs!$F$222</f>
        <v/>
      </c>
      <c r="AS23" s="27">
        <f>Time!AS56*Time!AS25/Inputs!$F$46*Inputs!$F$222</f>
        <v/>
      </c>
      <c r="AT23" s="27">
        <f>Time!AT56*Time!AT25/Inputs!$F$46*Inputs!$F$222</f>
        <v/>
      </c>
      <c r="AU23" s="27">
        <f>Time!AU56*Time!AU25/Inputs!$F$46*Inputs!$F$222</f>
        <v/>
      </c>
      <c r="AV23" s="27">
        <f>Time!AV56*Time!AV25/Inputs!$F$46*Inputs!$F$222</f>
        <v/>
      </c>
      <c r="AW23" s="27">
        <f>Time!AW56*Time!AW25/Inputs!$F$46*Inputs!$F$222</f>
        <v/>
      </c>
      <c r="AX23" s="27">
        <f>Time!AX56*Time!AX25/Inputs!$F$46*Inputs!$F$222</f>
        <v/>
      </c>
      <c r="AY23" s="27">
        <f>Time!AY56*Time!AY25/Inputs!$F$46*Inputs!$F$222</f>
        <v/>
      </c>
      <c r="AZ23" s="27">
        <f>Time!AZ56*Time!AZ25/Inputs!$F$46*Inputs!$F$222</f>
        <v/>
      </c>
      <c r="BA23" s="27">
        <f>Time!BA56*Time!BA25/Inputs!$F$46*Inputs!$F$222</f>
        <v/>
      </c>
      <c r="BB23" s="27">
        <f>Time!BB56*Time!BB25/Inputs!$F$46*Inputs!$F$222</f>
        <v/>
      </c>
      <c r="BC23" s="27">
        <f>Time!BC56*Time!BC25/Inputs!$F$46*Inputs!$F$222</f>
        <v/>
      </c>
      <c r="BD23" s="27">
        <f>Time!BD56*Time!BD25/Inputs!$F$46*Inputs!$F$222</f>
        <v/>
      </c>
      <c r="BE23" s="27">
        <f>Time!BE56*Time!BE25/Inputs!$F$46*Inputs!$F$222</f>
        <v/>
      </c>
      <c r="BF23" s="27">
        <f>Time!BF56*Time!BF25/Inputs!$F$46*Inputs!$F$222</f>
        <v/>
      </c>
      <c r="BG23" s="27">
        <f>Time!BG56*Time!BG25/Inputs!$F$46*Inputs!$F$222</f>
        <v/>
      </c>
      <c r="BH23" s="27">
        <f>Time!BH56*Time!BH25/Inputs!$F$46*Inputs!$F$222</f>
        <v/>
      </c>
      <c r="BI23" s="27">
        <f>Time!BI56*Time!BI25/Inputs!$F$46*Inputs!$F$222</f>
        <v/>
      </c>
      <c r="BJ23" s="27">
        <f>Time!BJ56*Time!BJ25/Inputs!$F$46*Inputs!$F$222</f>
        <v/>
      </c>
      <c r="BK23" s="27">
        <f>Time!BK56*Time!BK25/Inputs!$F$46*Inputs!$F$222</f>
        <v/>
      </c>
      <c r="BL23" s="27">
        <f>Time!BL56*Time!BL25/Inputs!$F$46*Inputs!$F$222</f>
        <v/>
      </c>
      <c r="BM23" s="27">
        <f>Time!BM56*Time!BM25/Inputs!$F$46*Inputs!$F$222</f>
        <v/>
      </c>
      <c r="BN23" s="27">
        <f>Time!BN56*Time!BN25/Inputs!$F$46*Inputs!$F$222</f>
        <v/>
      </c>
      <c r="BO23" s="27">
        <f>Time!BO56*Time!BO25/Inputs!$F$46*Inputs!$F$222</f>
        <v/>
      </c>
      <c r="BP23" s="27">
        <f>Time!BP56*Time!BP25/Inputs!$F$46*Inputs!$F$222</f>
        <v/>
      </c>
      <c r="BQ23" s="27">
        <f>Time!BQ56*Time!BQ25/Inputs!$F$46*Inputs!$F$222</f>
        <v/>
      </c>
      <c r="BR23" s="27">
        <f>Time!BR56*Time!BR25/Inputs!$F$46*Inputs!$F$222</f>
        <v/>
      </c>
      <c r="BS23" s="27">
        <f>Time!BS56*Time!BS25/Inputs!$F$46*Inputs!$F$222</f>
        <v/>
      </c>
      <c r="BT23" s="27">
        <f>Time!BT56*Time!BT25/Inputs!$F$46*Inputs!$F$222</f>
        <v/>
      </c>
      <c r="BU23" s="27">
        <f>Time!BU56*Time!BU25/Inputs!$F$46*Inputs!$F$222</f>
        <v/>
      </c>
      <c r="BV23" s="27">
        <f>Time!BV56*Time!BV25/Inputs!$F$46*Inputs!$F$222</f>
        <v/>
      </c>
      <c r="BW23" s="27">
        <f>Time!BW56*Time!BW25/Inputs!$F$46*Inputs!$F$222</f>
        <v/>
      </c>
      <c r="BX23" s="27">
        <f>Time!BX56*Time!BX25/Inputs!$F$46*Inputs!$F$222</f>
        <v/>
      </c>
      <c r="BY23" s="27">
        <f>Time!BY56*Time!BY25/Inputs!$F$46*Inputs!$F$222</f>
        <v/>
      </c>
      <c r="BZ23" s="27">
        <f>Time!BZ56*Time!BZ25/Inputs!$F$46*Inputs!$F$222</f>
        <v/>
      </c>
      <c r="CA23" s="27">
        <f>Time!CA56*Time!CA25/Inputs!$F$46*Inputs!$F$222</f>
        <v/>
      </c>
      <c r="CB23" s="27">
        <f>Time!CB56*Time!CB25/Inputs!$F$46*Inputs!$F$222</f>
        <v/>
      </c>
      <c r="CC23" s="27">
        <f>Time!CC56*Time!CC25/Inputs!$F$46*Inputs!$F$222</f>
        <v/>
      </c>
      <c r="CD23" s="27">
        <f>Time!CD56*Time!CD25/Inputs!$F$46*Inputs!$F$222</f>
        <v/>
      </c>
      <c r="CE23" s="27">
        <f>Time!CE56*Time!CE25/Inputs!$F$46*Inputs!$F$222</f>
        <v/>
      </c>
      <c r="CF23" s="27">
        <f>Time!CF56*Time!CF25/Inputs!$F$46*Inputs!$F$222</f>
        <v/>
      </c>
      <c r="CG23" s="27">
        <f>Time!CG56*Time!CG25/Inputs!$F$46*Inputs!$F$222</f>
        <v/>
      </c>
      <c r="CH23" s="27">
        <f>Time!CH56*Time!CH25/Inputs!$F$46*Inputs!$F$222</f>
        <v/>
      </c>
      <c r="CI23" s="27">
        <f>Time!CI56*Time!CI25/Inputs!$F$46*Inputs!$F$222</f>
        <v/>
      </c>
      <c r="CJ23" s="27">
        <f>Time!CJ56*Time!CJ25/Inputs!$F$46*Inputs!$F$222</f>
        <v/>
      </c>
      <c r="CK23" s="27">
        <f>Time!CK56*Time!CK25/Inputs!$F$46*Inputs!$F$222</f>
        <v/>
      </c>
      <c r="CL23" s="27">
        <f>Time!CL56*Time!CL25/Inputs!$F$46*Inputs!$F$222</f>
        <v/>
      </c>
      <c r="CM23" s="27">
        <f>Time!CM56*Time!CM25/Inputs!$F$46*Inputs!$F$222</f>
        <v/>
      </c>
      <c r="CN23" s="27">
        <f>Time!CN56*Time!CN25/Inputs!$F$46*Inputs!$F$222</f>
        <v/>
      </c>
      <c r="CO23" s="27">
        <f>Time!CO56*Time!CO25/Inputs!$F$46*Inputs!$F$222</f>
        <v/>
      </c>
      <c r="CP23" s="27">
        <f>Time!CP56*Time!CP25/Inputs!$F$46*Inputs!$F$222</f>
        <v/>
      </c>
      <c r="CQ23" s="27">
        <f>Time!CQ56*Time!CQ25/Inputs!$F$46*Inputs!$F$222</f>
        <v/>
      </c>
      <c r="CR23" s="27">
        <f>Time!CR56*Time!CR25/Inputs!$F$46*Inputs!$F$222</f>
        <v/>
      </c>
      <c r="CS23" s="27">
        <f>Time!CS56*Time!CS25/Inputs!$F$46*Inputs!$F$222</f>
        <v/>
      </c>
      <c r="CT23" s="27">
        <f>Time!CT56*Time!CT25/Inputs!$F$46*Inputs!$F$222</f>
        <v/>
      </c>
      <c r="CU23" s="27">
        <f>Time!CU56*Time!CU25/Inputs!$F$46*Inputs!$F$222</f>
        <v/>
      </c>
      <c r="CV23" s="27">
        <f>Time!CV56*Time!CV25/Inputs!$F$46*Inputs!$F$222</f>
        <v/>
      </c>
      <c r="CW23" s="27">
        <f>Time!CW56*Time!CW25/Inputs!$F$46*Inputs!$F$222</f>
        <v/>
      </c>
      <c r="CX23" s="27">
        <f>Time!CX56*Time!CX25/Inputs!$F$46*Inputs!$F$222</f>
        <v/>
      </c>
      <c r="CY23" s="27">
        <f>Time!CY56*Time!CY25/Inputs!$F$46*Inputs!$F$222</f>
        <v/>
      </c>
      <c r="CZ23" s="27">
        <f>Time!CZ56*Time!CZ25/Inputs!$F$46*Inputs!$F$222</f>
        <v/>
      </c>
      <c r="DA23" s="27">
        <f>Time!DA56*Time!DA25/Inputs!$F$46*Inputs!$F$222</f>
        <v/>
      </c>
      <c r="DB23" s="27">
        <f>Time!DB56*Time!DB25/Inputs!$F$46*Inputs!$F$222</f>
        <v/>
      </c>
    </row>
    <row r="24">
      <c r="D24" t="inlineStr">
        <is>
          <t>Corvus fixed O&amp;M</t>
        </is>
      </c>
      <c r="E24" t="inlineStr">
        <is>
          <t>ARD m</t>
        </is>
      </c>
      <c r="G24" s="19">
        <f>SUM(J24:DB24)</f>
        <v/>
      </c>
      <c r="J24" s="19">
        <f>Inputs!$F$142*J23*IF(Time!J23=1,1-Inputs!$F$143,1)</f>
        <v/>
      </c>
      <c r="K24" s="19">
        <f>Inputs!$F$142*K23*IF(Time!K23=1,1-Inputs!$F$143,1)</f>
        <v/>
      </c>
      <c r="L24" s="19">
        <f>Inputs!$F$142*L23*IF(Time!L23=1,1-Inputs!$F$143,1)</f>
        <v/>
      </c>
      <c r="M24" s="19">
        <f>Inputs!$F$142*M23*IF(Time!M23=1,1-Inputs!$F$143,1)</f>
        <v/>
      </c>
      <c r="N24" s="19">
        <f>Inputs!$F$142*N23*IF(Time!N23=1,1-Inputs!$F$143,1)</f>
        <v/>
      </c>
      <c r="O24" s="19">
        <f>Inputs!$F$142*O23*IF(Time!O23=1,1-Inputs!$F$143,1)</f>
        <v/>
      </c>
      <c r="P24" s="19">
        <f>Inputs!$F$142*P23*IF(Time!P23=1,1-Inputs!$F$143,1)</f>
        <v/>
      </c>
      <c r="Q24" s="19">
        <f>Inputs!$F$142*Q23*IF(Time!Q23=1,1-Inputs!$F$143,1)</f>
        <v/>
      </c>
      <c r="R24" s="19">
        <f>Inputs!$F$142*R23*IF(Time!R23=1,1-Inputs!$F$143,1)</f>
        <v/>
      </c>
      <c r="S24" s="19">
        <f>Inputs!$F$142*S23*IF(Time!S23=1,1-Inputs!$F$143,1)</f>
        <v/>
      </c>
      <c r="T24" s="19">
        <f>Inputs!$F$142*T23*IF(Time!T23=1,1-Inputs!$F$143,1)</f>
        <v/>
      </c>
      <c r="U24" s="19">
        <f>Inputs!$F$142*U23*IF(Time!U23=1,1-Inputs!$F$143,1)</f>
        <v/>
      </c>
      <c r="V24" s="19">
        <f>Inputs!$F$142*V23*IF(Time!V23=1,1-Inputs!$F$143,1)</f>
        <v/>
      </c>
      <c r="W24" s="19">
        <f>Inputs!$F$142*W23*IF(Time!W23=1,1-Inputs!$F$143,1)</f>
        <v/>
      </c>
      <c r="X24" s="19">
        <f>Inputs!$F$142*X23*IF(Time!X23=1,1-Inputs!$F$143,1)</f>
        <v/>
      </c>
      <c r="Y24" s="19">
        <f>Inputs!$F$142*Y23*IF(Time!Y23=1,1-Inputs!$F$143,1)</f>
        <v/>
      </c>
      <c r="Z24" s="19">
        <f>Inputs!$F$142*Z23*IF(Time!Z23=1,1-Inputs!$F$143,1)</f>
        <v/>
      </c>
      <c r="AA24" s="19">
        <f>Inputs!$F$142*AA23*IF(Time!AA23=1,1-Inputs!$F$143,1)</f>
        <v/>
      </c>
      <c r="AB24" s="19">
        <f>Inputs!$F$142*AB23*IF(Time!AB23=1,1-Inputs!$F$143,1)</f>
        <v/>
      </c>
      <c r="AC24" s="19">
        <f>Inputs!$F$142*AC23*IF(Time!AC23=1,1-Inputs!$F$143,1)</f>
        <v/>
      </c>
      <c r="AD24" s="19">
        <f>Inputs!$F$142*AD23*IF(Time!AD23=1,1-Inputs!$F$143,1)</f>
        <v/>
      </c>
      <c r="AE24" s="19">
        <f>Inputs!$F$142*AE23*IF(Time!AE23=1,1-Inputs!$F$143,1)</f>
        <v/>
      </c>
      <c r="AF24" s="19">
        <f>Inputs!$F$142*AF23*IF(Time!AF23=1,1-Inputs!$F$143,1)</f>
        <v/>
      </c>
      <c r="AG24" s="19">
        <f>Inputs!$F$142*AG23*IF(Time!AG23=1,1-Inputs!$F$143,1)</f>
        <v/>
      </c>
      <c r="AH24" s="19">
        <f>Inputs!$F$142*AH23*IF(Time!AH23=1,1-Inputs!$F$143,1)</f>
        <v/>
      </c>
      <c r="AI24" s="19">
        <f>Inputs!$F$142*AI23*IF(Time!AI23=1,1-Inputs!$F$143,1)</f>
        <v/>
      </c>
      <c r="AJ24" s="19">
        <f>Inputs!$F$142*AJ23*IF(Time!AJ23=1,1-Inputs!$F$143,1)</f>
        <v/>
      </c>
      <c r="AK24" s="19">
        <f>Inputs!$F$142*AK23*IF(Time!AK23=1,1-Inputs!$F$143,1)</f>
        <v/>
      </c>
      <c r="AL24" s="19">
        <f>Inputs!$F$142*AL23*IF(Time!AL23=1,1-Inputs!$F$143,1)</f>
        <v/>
      </c>
      <c r="AM24" s="19">
        <f>Inputs!$F$142*AM23*IF(Time!AM23=1,1-Inputs!$F$143,1)</f>
        <v/>
      </c>
      <c r="AN24" s="19">
        <f>Inputs!$F$142*AN23*IF(Time!AN23=1,1-Inputs!$F$143,1)</f>
        <v/>
      </c>
      <c r="AO24" s="19">
        <f>Inputs!$F$142*AO23*IF(Time!AO23=1,1-Inputs!$F$143,1)</f>
        <v/>
      </c>
      <c r="AP24" s="19">
        <f>Inputs!$F$142*AP23*IF(Time!AP23=1,1-Inputs!$F$143,1)</f>
        <v/>
      </c>
      <c r="AQ24" s="19">
        <f>Inputs!$F$142*AQ23*IF(Time!AQ23=1,1-Inputs!$F$143,1)</f>
        <v/>
      </c>
      <c r="AR24" s="19">
        <f>Inputs!$F$142*AR23*IF(Time!AR23=1,1-Inputs!$F$143,1)</f>
        <v/>
      </c>
      <c r="AS24" s="19">
        <f>Inputs!$F$142*AS23*IF(Time!AS23=1,1-Inputs!$F$143,1)</f>
        <v/>
      </c>
      <c r="AT24" s="19">
        <f>Inputs!$F$142*AT23*IF(Time!AT23=1,1-Inputs!$F$143,1)</f>
        <v/>
      </c>
      <c r="AU24" s="19">
        <f>Inputs!$F$142*AU23*IF(Time!AU23=1,1-Inputs!$F$143,1)</f>
        <v/>
      </c>
      <c r="AV24" s="19">
        <f>Inputs!$F$142*AV23*IF(Time!AV23=1,1-Inputs!$F$143,1)</f>
        <v/>
      </c>
      <c r="AW24" s="19">
        <f>Inputs!$F$142*AW23*IF(Time!AW23=1,1-Inputs!$F$143,1)</f>
        <v/>
      </c>
      <c r="AX24" s="19">
        <f>Inputs!$F$142*AX23*IF(Time!AX23=1,1-Inputs!$F$143,1)</f>
        <v/>
      </c>
      <c r="AY24" s="19">
        <f>Inputs!$F$142*AY23*IF(Time!AY23=1,1-Inputs!$F$143,1)</f>
        <v/>
      </c>
      <c r="AZ24" s="19">
        <f>Inputs!$F$142*AZ23*IF(Time!AZ23=1,1-Inputs!$F$143,1)</f>
        <v/>
      </c>
      <c r="BA24" s="19">
        <f>Inputs!$F$142*BA23*IF(Time!BA23=1,1-Inputs!$F$143,1)</f>
        <v/>
      </c>
      <c r="BB24" s="19">
        <f>Inputs!$F$142*BB23*IF(Time!BB23=1,1-Inputs!$F$143,1)</f>
        <v/>
      </c>
      <c r="BC24" s="19">
        <f>Inputs!$F$142*BC23*IF(Time!BC23=1,1-Inputs!$F$143,1)</f>
        <v/>
      </c>
      <c r="BD24" s="19">
        <f>Inputs!$F$142*BD23*IF(Time!BD23=1,1-Inputs!$F$143,1)</f>
        <v/>
      </c>
      <c r="BE24" s="19">
        <f>Inputs!$F$142*BE23*IF(Time!BE23=1,1-Inputs!$F$143,1)</f>
        <v/>
      </c>
      <c r="BF24" s="19">
        <f>Inputs!$F$142*BF23*IF(Time!BF23=1,1-Inputs!$F$143,1)</f>
        <v/>
      </c>
      <c r="BG24" s="19">
        <f>Inputs!$F$142*BG23*IF(Time!BG23=1,1-Inputs!$F$143,1)</f>
        <v/>
      </c>
      <c r="BH24" s="19">
        <f>Inputs!$F$142*BH23*IF(Time!BH23=1,1-Inputs!$F$143,1)</f>
        <v/>
      </c>
      <c r="BI24" s="19">
        <f>Inputs!$F$142*BI23*IF(Time!BI23=1,1-Inputs!$F$143,1)</f>
        <v/>
      </c>
      <c r="BJ24" s="19">
        <f>Inputs!$F$142*BJ23*IF(Time!BJ23=1,1-Inputs!$F$143,1)</f>
        <v/>
      </c>
      <c r="BK24" s="19">
        <f>Inputs!$F$142*BK23*IF(Time!BK23=1,1-Inputs!$F$143,1)</f>
        <v/>
      </c>
      <c r="BL24" s="19">
        <f>Inputs!$F$142*BL23*IF(Time!BL23=1,1-Inputs!$F$143,1)</f>
        <v/>
      </c>
      <c r="BM24" s="19">
        <f>Inputs!$F$142*BM23*IF(Time!BM23=1,1-Inputs!$F$143,1)</f>
        <v/>
      </c>
      <c r="BN24" s="19">
        <f>Inputs!$F$142*BN23*IF(Time!BN23=1,1-Inputs!$F$143,1)</f>
        <v/>
      </c>
      <c r="BO24" s="19">
        <f>Inputs!$F$142*BO23*IF(Time!BO23=1,1-Inputs!$F$143,1)</f>
        <v/>
      </c>
      <c r="BP24" s="19">
        <f>Inputs!$F$142*BP23*IF(Time!BP23=1,1-Inputs!$F$143,1)</f>
        <v/>
      </c>
      <c r="BQ24" s="19">
        <f>Inputs!$F$142*BQ23*IF(Time!BQ23=1,1-Inputs!$F$143,1)</f>
        <v/>
      </c>
      <c r="BR24" s="19">
        <f>Inputs!$F$142*BR23*IF(Time!BR23=1,1-Inputs!$F$143,1)</f>
        <v/>
      </c>
      <c r="BS24" s="19">
        <f>Inputs!$F$142*BS23*IF(Time!BS23=1,1-Inputs!$F$143,1)</f>
        <v/>
      </c>
      <c r="BT24" s="19">
        <f>Inputs!$F$142*BT23*IF(Time!BT23=1,1-Inputs!$F$143,1)</f>
        <v/>
      </c>
      <c r="BU24" s="19">
        <f>Inputs!$F$142*BU23*IF(Time!BU23=1,1-Inputs!$F$143,1)</f>
        <v/>
      </c>
      <c r="BV24" s="19">
        <f>Inputs!$F$142*BV23*IF(Time!BV23=1,1-Inputs!$F$143,1)</f>
        <v/>
      </c>
      <c r="BW24" s="19">
        <f>Inputs!$F$142*BW23*IF(Time!BW23=1,1-Inputs!$F$143,1)</f>
        <v/>
      </c>
      <c r="BX24" s="19">
        <f>Inputs!$F$142*BX23*IF(Time!BX23=1,1-Inputs!$F$143,1)</f>
        <v/>
      </c>
      <c r="BY24" s="19">
        <f>Inputs!$F$142*BY23*IF(Time!BY23=1,1-Inputs!$F$143,1)</f>
        <v/>
      </c>
      <c r="BZ24" s="19">
        <f>Inputs!$F$142*BZ23*IF(Time!BZ23=1,1-Inputs!$F$143,1)</f>
        <v/>
      </c>
      <c r="CA24" s="19">
        <f>Inputs!$F$142*CA23*IF(Time!CA23=1,1-Inputs!$F$143,1)</f>
        <v/>
      </c>
      <c r="CB24" s="19">
        <f>Inputs!$F$142*CB23*IF(Time!CB23=1,1-Inputs!$F$143,1)</f>
        <v/>
      </c>
      <c r="CC24" s="19">
        <f>Inputs!$F$142*CC23*IF(Time!CC23=1,1-Inputs!$F$143,1)</f>
        <v/>
      </c>
      <c r="CD24" s="19">
        <f>Inputs!$F$142*CD23*IF(Time!CD23=1,1-Inputs!$F$143,1)</f>
        <v/>
      </c>
      <c r="CE24" s="19">
        <f>Inputs!$F$142*CE23*IF(Time!CE23=1,1-Inputs!$F$143,1)</f>
        <v/>
      </c>
      <c r="CF24" s="19">
        <f>Inputs!$F$142*CF23*IF(Time!CF23=1,1-Inputs!$F$143,1)</f>
        <v/>
      </c>
      <c r="CG24" s="19">
        <f>Inputs!$F$142*CG23*IF(Time!CG23=1,1-Inputs!$F$143,1)</f>
        <v/>
      </c>
      <c r="CH24" s="19">
        <f>Inputs!$F$142*CH23*IF(Time!CH23=1,1-Inputs!$F$143,1)</f>
        <v/>
      </c>
      <c r="CI24" s="19">
        <f>Inputs!$F$142*CI23*IF(Time!CI23=1,1-Inputs!$F$143,1)</f>
        <v/>
      </c>
      <c r="CJ24" s="19">
        <f>Inputs!$F$142*CJ23*IF(Time!CJ23=1,1-Inputs!$F$143,1)</f>
        <v/>
      </c>
      <c r="CK24" s="19">
        <f>Inputs!$F$142*CK23*IF(Time!CK23=1,1-Inputs!$F$143,1)</f>
        <v/>
      </c>
      <c r="CL24" s="19">
        <f>Inputs!$F$142*CL23*IF(Time!CL23=1,1-Inputs!$F$143,1)</f>
        <v/>
      </c>
      <c r="CM24" s="19">
        <f>Inputs!$F$142*CM23*IF(Time!CM23=1,1-Inputs!$F$143,1)</f>
        <v/>
      </c>
      <c r="CN24" s="19">
        <f>Inputs!$F$142*CN23*IF(Time!CN23=1,1-Inputs!$F$143,1)</f>
        <v/>
      </c>
      <c r="CO24" s="19">
        <f>Inputs!$F$142*CO23*IF(Time!CO23=1,1-Inputs!$F$143,1)</f>
        <v/>
      </c>
      <c r="CP24" s="19">
        <f>Inputs!$F$142*CP23*IF(Time!CP23=1,1-Inputs!$F$143,1)</f>
        <v/>
      </c>
      <c r="CQ24" s="19">
        <f>Inputs!$F$142*CQ23*IF(Time!CQ23=1,1-Inputs!$F$143,1)</f>
        <v/>
      </c>
      <c r="CR24" s="19">
        <f>Inputs!$F$142*CR23*IF(Time!CR23=1,1-Inputs!$F$143,1)</f>
        <v/>
      </c>
      <c r="CS24" s="19">
        <f>Inputs!$F$142*CS23*IF(Time!CS23=1,1-Inputs!$F$143,1)</f>
        <v/>
      </c>
      <c r="CT24" s="19">
        <f>Inputs!$F$142*CT23*IF(Time!CT23=1,1-Inputs!$F$143,1)</f>
        <v/>
      </c>
      <c r="CU24" s="19">
        <f>Inputs!$F$142*CU23*IF(Time!CU23=1,1-Inputs!$F$143,1)</f>
        <v/>
      </c>
      <c r="CV24" s="19">
        <f>Inputs!$F$142*CV23*IF(Time!CV23=1,1-Inputs!$F$143,1)</f>
        <v/>
      </c>
      <c r="CW24" s="19">
        <f>Inputs!$F$142*CW23*IF(Time!CW23=1,1-Inputs!$F$143,1)</f>
        <v/>
      </c>
      <c r="CX24" s="19">
        <f>Inputs!$F$142*CX23*IF(Time!CX23=1,1-Inputs!$F$143,1)</f>
        <v/>
      </c>
      <c r="CY24" s="19">
        <f>Inputs!$F$142*CY23*IF(Time!CY23=1,1-Inputs!$F$143,1)</f>
        <v/>
      </c>
      <c r="CZ24" s="19">
        <f>Inputs!$F$142*CZ23*IF(Time!CZ23=1,1-Inputs!$F$143,1)</f>
        <v/>
      </c>
      <c r="DA24" s="19">
        <f>Inputs!$F$142*DA23*IF(Time!DA23=1,1-Inputs!$F$143,1)</f>
        <v/>
      </c>
      <c r="DB24" s="19">
        <f>Inputs!$F$142*DB23*IF(Time!DB23=1,1-Inputs!$F$143,1)</f>
        <v/>
      </c>
    </row>
    <row r="25">
      <c r="D25" t="inlineStr">
        <is>
          <t>Tolling back office, fixed</t>
        </is>
      </c>
      <c r="E25" t="inlineStr">
        <is>
          <t>ARD m</t>
        </is>
      </c>
      <c r="G25" s="19">
        <f>SUM(J25:DB25)</f>
        <v/>
      </c>
      <c r="J25" s="19">
        <f>Inputs!$F$145*J23</f>
        <v/>
      </c>
      <c r="K25" s="19">
        <f>Inputs!$F$145*K23</f>
        <v/>
      </c>
      <c r="L25" s="19">
        <f>Inputs!$F$145*L23</f>
        <v/>
      </c>
      <c r="M25" s="19">
        <f>Inputs!$F$145*M23</f>
        <v/>
      </c>
      <c r="N25" s="19">
        <f>Inputs!$F$145*N23</f>
        <v/>
      </c>
      <c r="O25" s="19">
        <f>Inputs!$F$145*O23</f>
        <v/>
      </c>
      <c r="P25" s="19">
        <f>Inputs!$F$145*P23</f>
        <v/>
      </c>
      <c r="Q25" s="19">
        <f>Inputs!$F$145*Q23</f>
        <v/>
      </c>
      <c r="R25" s="19">
        <f>Inputs!$F$145*R23</f>
        <v/>
      </c>
      <c r="S25" s="19">
        <f>Inputs!$F$145*S23</f>
        <v/>
      </c>
      <c r="T25" s="19">
        <f>Inputs!$F$145*T23</f>
        <v/>
      </c>
      <c r="U25" s="19">
        <f>Inputs!$F$145*U23</f>
        <v/>
      </c>
      <c r="V25" s="19">
        <f>Inputs!$F$145*V23</f>
        <v/>
      </c>
      <c r="W25" s="19">
        <f>Inputs!$F$145*W23</f>
        <v/>
      </c>
      <c r="X25" s="19">
        <f>Inputs!$F$145*X23</f>
        <v/>
      </c>
      <c r="Y25" s="19">
        <f>Inputs!$F$145*Y23</f>
        <v/>
      </c>
      <c r="Z25" s="19">
        <f>Inputs!$F$145*Z23</f>
        <v/>
      </c>
      <c r="AA25" s="19">
        <f>Inputs!$F$145*AA23</f>
        <v/>
      </c>
      <c r="AB25" s="19">
        <f>Inputs!$F$145*AB23</f>
        <v/>
      </c>
      <c r="AC25" s="19">
        <f>Inputs!$F$145*AC23</f>
        <v/>
      </c>
      <c r="AD25" s="19">
        <f>Inputs!$F$145*AD23</f>
        <v/>
      </c>
      <c r="AE25" s="19">
        <f>Inputs!$F$145*AE23</f>
        <v/>
      </c>
      <c r="AF25" s="19">
        <f>Inputs!$F$145*AF23</f>
        <v/>
      </c>
      <c r="AG25" s="19">
        <f>Inputs!$F$145*AG23</f>
        <v/>
      </c>
      <c r="AH25" s="19">
        <f>Inputs!$F$145*AH23</f>
        <v/>
      </c>
      <c r="AI25" s="19">
        <f>Inputs!$F$145*AI23</f>
        <v/>
      </c>
      <c r="AJ25" s="19">
        <f>Inputs!$F$145*AJ23</f>
        <v/>
      </c>
      <c r="AK25" s="19">
        <f>Inputs!$F$145*AK23</f>
        <v/>
      </c>
      <c r="AL25" s="19">
        <f>Inputs!$F$145*AL23</f>
        <v/>
      </c>
      <c r="AM25" s="19">
        <f>Inputs!$F$145*AM23</f>
        <v/>
      </c>
      <c r="AN25" s="19">
        <f>Inputs!$F$145*AN23</f>
        <v/>
      </c>
      <c r="AO25" s="19">
        <f>Inputs!$F$145*AO23</f>
        <v/>
      </c>
      <c r="AP25" s="19">
        <f>Inputs!$F$145*AP23</f>
        <v/>
      </c>
      <c r="AQ25" s="19">
        <f>Inputs!$F$145*AQ23</f>
        <v/>
      </c>
      <c r="AR25" s="19">
        <f>Inputs!$F$145*AR23</f>
        <v/>
      </c>
      <c r="AS25" s="19">
        <f>Inputs!$F$145*AS23</f>
        <v/>
      </c>
      <c r="AT25" s="19">
        <f>Inputs!$F$145*AT23</f>
        <v/>
      </c>
      <c r="AU25" s="19">
        <f>Inputs!$F$145*AU23</f>
        <v/>
      </c>
      <c r="AV25" s="19">
        <f>Inputs!$F$145*AV23</f>
        <v/>
      </c>
      <c r="AW25" s="19">
        <f>Inputs!$F$145*AW23</f>
        <v/>
      </c>
      <c r="AX25" s="19">
        <f>Inputs!$F$145*AX23</f>
        <v/>
      </c>
      <c r="AY25" s="19">
        <f>Inputs!$F$145*AY23</f>
        <v/>
      </c>
      <c r="AZ25" s="19">
        <f>Inputs!$F$145*AZ23</f>
        <v/>
      </c>
      <c r="BA25" s="19">
        <f>Inputs!$F$145*BA23</f>
        <v/>
      </c>
      <c r="BB25" s="19">
        <f>Inputs!$F$145*BB23</f>
        <v/>
      </c>
      <c r="BC25" s="19">
        <f>Inputs!$F$145*BC23</f>
        <v/>
      </c>
      <c r="BD25" s="19">
        <f>Inputs!$F$145*BD23</f>
        <v/>
      </c>
      <c r="BE25" s="19">
        <f>Inputs!$F$145*BE23</f>
        <v/>
      </c>
      <c r="BF25" s="19">
        <f>Inputs!$F$145*BF23</f>
        <v/>
      </c>
      <c r="BG25" s="19">
        <f>Inputs!$F$145*BG23</f>
        <v/>
      </c>
      <c r="BH25" s="19">
        <f>Inputs!$F$145*BH23</f>
        <v/>
      </c>
      <c r="BI25" s="19">
        <f>Inputs!$F$145*BI23</f>
        <v/>
      </c>
      <c r="BJ25" s="19">
        <f>Inputs!$F$145*BJ23</f>
        <v/>
      </c>
      <c r="BK25" s="19">
        <f>Inputs!$F$145*BK23</f>
        <v/>
      </c>
      <c r="BL25" s="19">
        <f>Inputs!$F$145*BL23</f>
        <v/>
      </c>
      <c r="BM25" s="19">
        <f>Inputs!$F$145*BM23</f>
        <v/>
      </c>
      <c r="BN25" s="19">
        <f>Inputs!$F$145*BN23</f>
        <v/>
      </c>
      <c r="BO25" s="19">
        <f>Inputs!$F$145*BO23</f>
        <v/>
      </c>
      <c r="BP25" s="19">
        <f>Inputs!$F$145*BP23</f>
        <v/>
      </c>
      <c r="BQ25" s="19">
        <f>Inputs!$F$145*BQ23</f>
        <v/>
      </c>
      <c r="BR25" s="19">
        <f>Inputs!$F$145*BR23</f>
        <v/>
      </c>
      <c r="BS25" s="19">
        <f>Inputs!$F$145*BS23</f>
        <v/>
      </c>
      <c r="BT25" s="19">
        <f>Inputs!$F$145*BT23</f>
        <v/>
      </c>
      <c r="BU25" s="19">
        <f>Inputs!$F$145*BU23</f>
        <v/>
      </c>
      <c r="BV25" s="19">
        <f>Inputs!$F$145*BV23</f>
        <v/>
      </c>
      <c r="BW25" s="19">
        <f>Inputs!$F$145*BW23</f>
        <v/>
      </c>
      <c r="BX25" s="19">
        <f>Inputs!$F$145*BX23</f>
        <v/>
      </c>
      <c r="BY25" s="19">
        <f>Inputs!$F$145*BY23</f>
        <v/>
      </c>
      <c r="BZ25" s="19">
        <f>Inputs!$F$145*BZ23</f>
        <v/>
      </c>
      <c r="CA25" s="19">
        <f>Inputs!$F$145*CA23</f>
        <v/>
      </c>
      <c r="CB25" s="19">
        <f>Inputs!$F$145*CB23</f>
        <v/>
      </c>
      <c r="CC25" s="19">
        <f>Inputs!$F$145*CC23</f>
        <v/>
      </c>
      <c r="CD25" s="19">
        <f>Inputs!$F$145*CD23</f>
        <v/>
      </c>
      <c r="CE25" s="19">
        <f>Inputs!$F$145*CE23</f>
        <v/>
      </c>
      <c r="CF25" s="19">
        <f>Inputs!$F$145*CF23</f>
        <v/>
      </c>
      <c r="CG25" s="19">
        <f>Inputs!$F$145*CG23</f>
        <v/>
      </c>
      <c r="CH25" s="19">
        <f>Inputs!$F$145*CH23</f>
        <v/>
      </c>
      <c r="CI25" s="19">
        <f>Inputs!$F$145*CI23</f>
        <v/>
      </c>
      <c r="CJ25" s="19">
        <f>Inputs!$F$145*CJ23</f>
        <v/>
      </c>
      <c r="CK25" s="19">
        <f>Inputs!$F$145*CK23</f>
        <v/>
      </c>
      <c r="CL25" s="19">
        <f>Inputs!$F$145*CL23</f>
        <v/>
      </c>
      <c r="CM25" s="19">
        <f>Inputs!$F$145*CM23</f>
        <v/>
      </c>
      <c r="CN25" s="19">
        <f>Inputs!$F$145*CN23</f>
        <v/>
      </c>
      <c r="CO25" s="19">
        <f>Inputs!$F$145*CO23</f>
        <v/>
      </c>
      <c r="CP25" s="19">
        <f>Inputs!$F$145*CP23</f>
        <v/>
      </c>
      <c r="CQ25" s="19">
        <f>Inputs!$F$145*CQ23</f>
        <v/>
      </c>
      <c r="CR25" s="19">
        <f>Inputs!$F$145*CR23</f>
        <v/>
      </c>
      <c r="CS25" s="19">
        <f>Inputs!$F$145*CS23</f>
        <v/>
      </c>
      <c r="CT25" s="19">
        <f>Inputs!$F$145*CT23</f>
        <v/>
      </c>
      <c r="CU25" s="19">
        <f>Inputs!$F$145*CU23</f>
        <v/>
      </c>
      <c r="CV25" s="19">
        <f>Inputs!$F$145*CV23</f>
        <v/>
      </c>
      <c r="CW25" s="19">
        <f>Inputs!$F$145*CW23</f>
        <v/>
      </c>
      <c r="CX25" s="19">
        <f>Inputs!$F$145*CX23</f>
        <v/>
      </c>
      <c r="CY25" s="19">
        <f>Inputs!$F$145*CY23</f>
        <v/>
      </c>
      <c r="CZ25" s="19">
        <f>Inputs!$F$145*CZ23</f>
        <v/>
      </c>
      <c r="DA25" s="19">
        <f>Inputs!$F$145*DA23</f>
        <v/>
      </c>
      <c r="DB25" s="19">
        <f>Inputs!$F$145*DB23</f>
        <v/>
      </c>
    </row>
    <row r="26">
      <c r="D26" t="inlineStr">
        <is>
          <t>Tolling back office, variable</t>
        </is>
      </c>
      <c r="E26" t="inlineStr">
        <is>
          <t>ARD m</t>
        </is>
      </c>
      <c r="G26" s="19">
        <f>SUM(J26:DB26)</f>
        <v/>
      </c>
      <c r="J26" s="19">
        <f>Inputs!$F$144*J20*Inputs!$F$222</f>
        <v/>
      </c>
      <c r="K26" s="19">
        <f>Inputs!$F$144*K20*Inputs!$F$222</f>
        <v/>
      </c>
      <c r="L26" s="19">
        <f>Inputs!$F$144*L20*Inputs!$F$222</f>
        <v/>
      </c>
      <c r="M26" s="19">
        <f>Inputs!$F$144*M20*Inputs!$F$222</f>
        <v/>
      </c>
      <c r="N26" s="19">
        <f>Inputs!$F$144*N20*Inputs!$F$222</f>
        <v/>
      </c>
      <c r="O26" s="19">
        <f>Inputs!$F$144*O20*Inputs!$F$222</f>
        <v/>
      </c>
      <c r="P26" s="19">
        <f>Inputs!$F$144*P20*Inputs!$F$222</f>
        <v/>
      </c>
      <c r="Q26" s="19">
        <f>Inputs!$F$144*Q20*Inputs!$F$222</f>
        <v/>
      </c>
      <c r="R26" s="19">
        <f>Inputs!$F$144*R20*Inputs!$F$222</f>
        <v/>
      </c>
      <c r="S26" s="19">
        <f>Inputs!$F$144*S20*Inputs!$F$222</f>
        <v/>
      </c>
      <c r="T26" s="19">
        <f>Inputs!$F$144*T20*Inputs!$F$222</f>
        <v/>
      </c>
      <c r="U26" s="19">
        <f>Inputs!$F$144*U20*Inputs!$F$222</f>
        <v/>
      </c>
      <c r="V26" s="19">
        <f>Inputs!$F$144*V20*Inputs!$F$222</f>
        <v/>
      </c>
      <c r="W26" s="19">
        <f>Inputs!$F$144*W20*Inputs!$F$222</f>
        <v/>
      </c>
      <c r="X26" s="19">
        <f>Inputs!$F$144*X20*Inputs!$F$222</f>
        <v/>
      </c>
      <c r="Y26" s="19">
        <f>Inputs!$F$144*Y20*Inputs!$F$222</f>
        <v/>
      </c>
      <c r="Z26" s="19">
        <f>Inputs!$F$144*Z20*Inputs!$F$222</f>
        <v/>
      </c>
      <c r="AA26" s="19">
        <f>Inputs!$F$144*AA20*Inputs!$F$222</f>
        <v/>
      </c>
      <c r="AB26" s="19">
        <f>Inputs!$F$144*AB20*Inputs!$F$222</f>
        <v/>
      </c>
      <c r="AC26" s="19">
        <f>Inputs!$F$144*AC20*Inputs!$F$222</f>
        <v/>
      </c>
      <c r="AD26" s="19">
        <f>Inputs!$F$144*AD20*Inputs!$F$222</f>
        <v/>
      </c>
      <c r="AE26" s="19">
        <f>Inputs!$F$144*AE20*Inputs!$F$222</f>
        <v/>
      </c>
      <c r="AF26" s="19">
        <f>Inputs!$F$144*AF20*Inputs!$F$222</f>
        <v/>
      </c>
      <c r="AG26" s="19">
        <f>Inputs!$F$144*AG20*Inputs!$F$222</f>
        <v/>
      </c>
      <c r="AH26" s="19">
        <f>Inputs!$F$144*AH20*Inputs!$F$222</f>
        <v/>
      </c>
      <c r="AI26" s="19">
        <f>Inputs!$F$144*AI20*Inputs!$F$222</f>
        <v/>
      </c>
      <c r="AJ26" s="19">
        <f>Inputs!$F$144*AJ20*Inputs!$F$222</f>
        <v/>
      </c>
      <c r="AK26" s="19">
        <f>Inputs!$F$144*AK20*Inputs!$F$222</f>
        <v/>
      </c>
      <c r="AL26" s="19">
        <f>Inputs!$F$144*AL20*Inputs!$F$222</f>
        <v/>
      </c>
      <c r="AM26" s="19">
        <f>Inputs!$F$144*AM20*Inputs!$F$222</f>
        <v/>
      </c>
      <c r="AN26" s="19">
        <f>Inputs!$F$144*AN20*Inputs!$F$222</f>
        <v/>
      </c>
      <c r="AO26" s="19">
        <f>Inputs!$F$144*AO20*Inputs!$F$222</f>
        <v/>
      </c>
      <c r="AP26" s="19">
        <f>Inputs!$F$144*AP20*Inputs!$F$222</f>
        <v/>
      </c>
      <c r="AQ26" s="19">
        <f>Inputs!$F$144*AQ20*Inputs!$F$222</f>
        <v/>
      </c>
      <c r="AR26" s="19">
        <f>Inputs!$F$144*AR20*Inputs!$F$222</f>
        <v/>
      </c>
      <c r="AS26" s="19">
        <f>Inputs!$F$144*AS20*Inputs!$F$222</f>
        <v/>
      </c>
      <c r="AT26" s="19">
        <f>Inputs!$F$144*AT20*Inputs!$F$222</f>
        <v/>
      </c>
      <c r="AU26" s="19">
        <f>Inputs!$F$144*AU20*Inputs!$F$222</f>
        <v/>
      </c>
      <c r="AV26" s="19">
        <f>Inputs!$F$144*AV20*Inputs!$F$222</f>
        <v/>
      </c>
      <c r="AW26" s="19">
        <f>Inputs!$F$144*AW20*Inputs!$F$222</f>
        <v/>
      </c>
      <c r="AX26" s="19">
        <f>Inputs!$F$144*AX20*Inputs!$F$222</f>
        <v/>
      </c>
      <c r="AY26" s="19">
        <f>Inputs!$F$144*AY20*Inputs!$F$222</f>
        <v/>
      </c>
      <c r="AZ26" s="19">
        <f>Inputs!$F$144*AZ20*Inputs!$F$222</f>
        <v/>
      </c>
      <c r="BA26" s="19">
        <f>Inputs!$F$144*BA20*Inputs!$F$222</f>
        <v/>
      </c>
      <c r="BB26" s="19">
        <f>Inputs!$F$144*BB20*Inputs!$F$222</f>
        <v/>
      </c>
      <c r="BC26" s="19">
        <f>Inputs!$F$144*BC20*Inputs!$F$222</f>
        <v/>
      </c>
      <c r="BD26" s="19">
        <f>Inputs!$F$144*BD20*Inputs!$F$222</f>
        <v/>
      </c>
      <c r="BE26" s="19">
        <f>Inputs!$F$144*BE20*Inputs!$F$222</f>
        <v/>
      </c>
      <c r="BF26" s="19">
        <f>Inputs!$F$144*BF20*Inputs!$F$222</f>
        <v/>
      </c>
      <c r="BG26" s="19">
        <f>Inputs!$F$144*BG20*Inputs!$F$222</f>
        <v/>
      </c>
      <c r="BH26" s="19">
        <f>Inputs!$F$144*BH20*Inputs!$F$222</f>
        <v/>
      </c>
      <c r="BI26" s="19">
        <f>Inputs!$F$144*BI20*Inputs!$F$222</f>
        <v/>
      </c>
      <c r="BJ26" s="19">
        <f>Inputs!$F$144*BJ20*Inputs!$F$222</f>
        <v/>
      </c>
      <c r="BK26" s="19">
        <f>Inputs!$F$144*BK20*Inputs!$F$222</f>
        <v/>
      </c>
      <c r="BL26" s="19">
        <f>Inputs!$F$144*BL20*Inputs!$F$222</f>
        <v/>
      </c>
      <c r="BM26" s="19">
        <f>Inputs!$F$144*BM20*Inputs!$F$222</f>
        <v/>
      </c>
      <c r="BN26" s="19">
        <f>Inputs!$F$144*BN20*Inputs!$F$222</f>
        <v/>
      </c>
      <c r="BO26" s="19">
        <f>Inputs!$F$144*BO20*Inputs!$F$222</f>
        <v/>
      </c>
      <c r="BP26" s="19">
        <f>Inputs!$F$144*BP20*Inputs!$F$222</f>
        <v/>
      </c>
      <c r="BQ26" s="19">
        <f>Inputs!$F$144*BQ20*Inputs!$F$222</f>
        <v/>
      </c>
      <c r="BR26" s="19">
        <f>Inputs!$F$144*BR20*Inputs!$F$222</f>
        <v/>
      </c>
      <c r="BS26" s="19">
        <f>Inputs!$F$144*BS20*Inputs!$F$222</f>
        <v/>
      </c>
      <c r="BT26" s="19">
        <f>Inputs!$F$144*BT20*Inputs!$F$222</f>
        <v/>
      </c>
      <c r="BU26" s="19">
        <f>Inputs!$F$144*BU20*Inputs!$F$222</f>
        <v/>
      </c>
      <c r="BV26" s="19">
        <f>Inputs!$F$144*BV20*Inputs!$F$222</f>
        <v/>
      </c>
      <c r="BW26" s="19">
        <f>Inputs!$F$144*BW20*Inputs!$F$222</f>
        <v/>
      </c>
      <c r="BX26" s="19">
        <f>Inputs!$F$144*BX20*Inputs!$F$222</f>
        <v/>
      </c>
      <c r="BY26" s="19">
        <f>Inputs!$F$144*BY20*Inputs!$F$222</f>
        <v/>
      </c>
      <c r="BZ26" s="19">
        <f>Inputs!$F$144*BZ20*Inputs!$F$222</f>
        <v/>
      </c>
      <c r="CA26" s="19">
        <f>Inputs!$F$144*CA20*Inputs!$F$222</f>
        <v/>
      </c>
      <c r="CB26" s="19">
        <f>Inputs!$F$144*CB20*Inputs!$F$222</f>
        <v/>
      </c>
      <c r="CC26" s="19">
        <f>Inputs!$F$144*CC20*Inputs!$F$222</f>
        <v/>
      </c>
      <c r="CD26" s="19">
        <f>Inputs!$F$144*CD20*Inputs!$F$222</f>
        <v/>
      </c>
      <c r="CE26" s="19">
        <f>Inputs!$F$144*CE20*Inputs!$F$222</f>
        <v/>
      </c>
      <c r="CF26" s="19">
        <f>Inputs!$F$144*CF20*Inputs!$F$222</f>
        <v/>
      </c>
      <c r="CG26" s="19">
        <f>Inputs!$F$144*CG20*Inputs!$F$222</f>
        <v/>
      </c>
      <c r="CH26" s="19">
        <f>Inputs!$F$144*CH20*Inputs!$F$222</f>
        <v/>
      </c>
      <c r="CI26" s="19">
        <f>Inputs!$F$144*CI20*Inputs!$F$222</f>
        <v/>
      </c>
      <c r="CJ26" s="19">
        <f>Inputs!$F$144*CJ20*Inputs!$F$222</f>
        <v/>
      </c>
      <c r="CK26" s="19">
        <f>Inputs!$F$144*CK20*Inputs!$F$222</f>
        <v/>
      </c>
      <c r="CL26" s="19">
        <f>Inputs!$F$144*CL20*Inputs!$F$222</f>
        <v/>
      </c>
      <c r="CM26" s="19">
        <f>Inputs!$F$144*CM20*Inputs!$F$222</f>
        <v/>
      </c>
      <c r="CN26" s="19">
        <f>Inputs!$F$144*CN20*Inputs!$F$222</f>
        <v/>
      </c>
      <c r="CO26" s="19">
        <f>Inputs!$F$144*CO20*Inputs!$F$222</f>
        <v/>
      </c>
      <c r="CP26" s="19">
        <f>Inputs!$F$144*CP20*Inputs!$F$222</f>
        <v/>
      </c>
      <c r="CQ26" s="19">
        <f>Inputs!$F$144*CQ20*Inputs!$F$222</f>
        <v/>
      </c>
      <c r="CR26" s="19">
        <f>Inputs!$F$144*CR20*Inputs!$F$222</f>
        <v/>
      </c>
      <c r="CS26" s="19">
        <f>Inputs!$F$144*CS20*Inputs!$F$222</f>
        <v/>
      </c>
      <c r="CT26" s="19">
        <f>Inputs!$F$144*CT20*Inputs!$F$222</f>
        <v/>
      </c>
      <c r="CU26" s="19">
        <f>Inputs!$F$144*CU20*Inputs!$F$222</f>
        <v/>
      </c>
      <c r="CV26" s="19">
        <f>Inputs!$F$144*CV20*Inputs!$F$222</f>
        <v/>
      </c>
      <c r="CW26" s="19">
        <f>Inputs!$F$144*CW20*Inputs!$F$222</f>
        <v/>
      </c>
      <c r="CX26" s="19">
        <f>Inputs!$F$144*CX20*Inputs!$F$222</f>
        <v/>
      </c>
      <c r="CY26" s="19">
        <f>Inputs!$F$144*CY20*Inputs!$F$222</f>
        <v/>
      </c>
      <c r="CZ26" s="19">
        <f>Inputs!$F$144*CZ20*Inputs!$F$222</f>
        <v/>
      </c>
      <c r="DA26" s="19">
        <f>Inputs!$F$144*DA20*Inputs!$F$222</f>
        <v/>
      </c>
      <c r="DB26" s="19">
        <f>Inputs!$F$144*DB20*Inputs!$F$222</f>
        <v/>
      </c>
    </row>
    <row r="27">
      <c r="D27" t="inlineStr">
        <is>
          <t>Insurance</t>
        </is>
      </c>
      <c r="E27" t="inlineStr">
        <is>
          <t>ARD m</t>
        </is>
      </c>
      <c r="G27" s="19">
        <f>SUM(J27:DB27)</f>
        <v/>
      </c>
      <c r="J27" s="19">
        <f>Inputs!$F$146*J23</f>
        <v/>
      </c>
      <c r="K27" s="19">
        <f>Inputs!$F$146*K23</f>
        <v/>
      </c>
      <c r="L27" s="19">
        <f>Inputs!$F$146*L23</f>
        <v/>
      </c>
      <c r="M27" s="19">
        <f>Inputs!$F$146*M23</f>
        <v/>
      </c>
      <c r="N27" s="19">
        <f>Inputs!$F$146*N23</f>
        <v/>
      </c>
      <c r="O27" s="19">
        <f>Inputs!$F$146*O23</f>
        <v/>
      </c>
      <c r="P27" s="19">
        <f>Inputs!$F$146*P23</f>
        <v/>
      </c>
      <c r="Q27" s="19">
        <f>Inputs!$F$146*Q23</f>
        <v/>
      </c>
      <c r="R27" s="19">
        <f>Inputs!$F$146*R23</f>
        <v/>
      </c>
      <c r="S27" s="19">
        <f>Inputs!$F$146*S23</f>
        <v/>
      </c>
      <c r="T27" s="19">
        <f>Inputs!$F$146*T23</f>
        <v/>
      </c>
      <c r="U27" s="19">
        <f>Inputs!$F$146*U23</f>
        <v/>
      </c>
      <c r="V27" s="19">
        <f>Inputs!$F$146*V23</f>
        <v/>
      </c>
      <c r="W27" s="19">
        <f>Inputs!$F$146*W23</f>
        <v/>
      </c>
      <c r="X27" s="19">
        <f>Inputs!$F$146*X23</f>
        <v/>
      </c>
      <c r="Y27" s="19">
        <f>Inputs!$F$146*Y23</f>
        <v/>
      </c>
      <c r="Z27" s="19">
        <f>Inputs!$F$146*Z23</f>
        <v/>
      </c>
      <c r="AA27" s="19">
        <f>Inputs!$F$146*AA23</f>
        <v/>
      </c>
      <c r="AB27" s="19">
        <f>Inputs!$F$146*AB23</f>
        <v/>
      </c>
      <c r="AC27" s="19">
        <f>Inputs!$F$146*AC23</f>
        <v/>
      </c>
      <c r="AD27" s="19">
        <f>Inputs!$F$146*AD23</f>
        <v/>
      </c>
      <c r="AE27" s="19">
        <f>Inputs!$F$146*AE23</f>
        <v/>
      </c>
      <c r="AF27" s="19">
        <f>Inputs!$F$146*AF23</f>
        <v/>
      </c>
      <c r="AG27" s="19">
        <f>Inputs!$F$146*AG23</f>
        <v/>
      </c>
      <c r="AH27" s="19">
        <f>Inputs!$F$146*AH23</f>
        <v/>
      </c>
      <c r="AI27" s="19">
        <f>Inputs!$F$146*AI23</f>
        <v/>
      </c>
      <c r="AJ27" s="19">
        <f>Inputs!$F$146*AJ23</f>
        <v/>
      </c>
      <c r="AK27" s="19">
        <f>Inputs!$F$146*AK23</f>
        <v/>
      </c>
      <c r="AL27" s="19">
        <f>Inputs!$F$146*AL23</f>
        <v/>
      </c>
      <c r="AM27" s="19">
        <f>Inputs!$F$146*AM23</f>
        <v/>
      </c>
      <c r="AN27" s="19">
        <f>Inputs!$F$146*AN23</f>
        <v/>
      </c>
      <c r="AO27" s="19">
        <f>Inputs!$F$146*AO23</f>
        <v/>
      </c>
      <c r="AP27" s="19">
        <f>Inputs!$F$146*AP23</f>
        <v/>
      </c>
      <c r="AQ27" s="19">
        <f>Inputs!$F$146*AQ23</f>
        <v/>
      </c>
      <c r="AR27" s="19">
        <f>Inputs!$F$146*AR23</f>
        <v/>
      </c>
      <c r="AS27" s="19">
        <f>Inputs!$F$146*AS23</f>
        <v/>
      </c>
      <c r="AT27" s="19">
        <f>Inputs!$F$146*AT23</f>
        <v/>
      </c>
      <c r="AU27" s="19">
        <f>Inputs!$F$146*AU23</f>
        <v/>
      </c>
      <c r="AV27" s="19">
        <f>Inputs!$F$146*AV23</f>
        <v/>
      </c>
      <c r="AW27" s="19">
        <f>Inputs!$F$146*AW23</f>
        <v/>
      </c>
      <c r="AX27" s="19">
        <f>Inputs!$F$146*AX23</f>
        <v/>
      </c>
      <c r="AY27" s="19">
        <f>Inputs!$F$146*AY23</f>
        <v/>
      </c>
      <c r="AZ27" s="19">
        <f>Inputs!$F$146*AZ23</f>
        <v/>
      </c>
      <c r="BA27" s="19">
        <f>Inputs!$F$146*BA23</f>
        <v/>
      </c>
      <c r="BB27" s="19">
        <f>Inputs!$F$146*BB23</f>
        <v/>
      </c>
      <c r="BC27" s="19">
        <f>Inputs!$F$146*BC23</f>
        <v/>
      </c>
      <c r="BD27" s="19">
        <f>Inputs!$F$146*BD23</f>
        <v/>
      </c>
      <c r="BE27" s="19">
        <f>Inputs!$F$146*BE23</f>
        <v/>
      </c>
      <c r="BF27" s="19">
        <f>Inputs!$F$146*BF23</f>
        <v/>
      </c>
      <c r="BG27" s="19">
        <f>Inputs!$F$146*BG23</f>
        <v/>
      </c>
      <c r="BH27" s="19">
        <f>Inputs!$F$146*BH23</f>
        <v/>
      </c>
      <c r="BI27" s="19">
        <f>Inputs!$F$146*BI23</f>
        <v/>
      </c>
      <c r="BJ27" s="19">
        <f>Inputs!$F$146*BJ23</f>
        <v/>
      </c>
      <c r="BK27" s="19">
        <f>Inputs!$F$146*BK23</f>
        <v/>
      </c>
      <c r="BL27" s="19">
        <f>Inputs!$F$146*BL23</f>
        <v/>
      </c>
      <c r="BM27" s="19">
        <f>Inputs!$F$146*BM23</f>
        <v/>
      </c>
      <c r="BN27" s="19">
        <f>Inputs!$F$146*BN23</f>
        <v/>
      </c>
      <c r="BO27" s="19">
        <f>Inputs!$F$146*BO23</f>
        <v/>
      </c>
      <c r="BP27" s="19">
        <f>Inputs!$F$146*BP23</f>
        <v/>
      </c>
      <c r="BQ27" s="19">
        <f>Inputs!$F$146*BQ23</f>
        <v/>
      </c>
      <c r="BR27" s="19">
        <f>Inputs!$F$146*BR23</f>
        <v/>
      </c>
      <c r="BS27" s="19">
        <f>Inputs!$F$146*BS23</f>
        <v/>
      </c>
      <c r="BT27" s="19">
        <f>Inputs!$F$146*BT23</f>
        <v/>
      </c>
      <c r="BU27" s="19">
        <f>Inputs!$F$146*BU23</f>
        <v/>
      </c>
      <c r="BV27" s="19">
        <f>Inputs!$F$146*BV23</f>
        <v/>
      </c>
      <c r="BW27" s="19">
        <f>Inputs!$F$146*BW23</f>
        <v/>
      </c>
      <c r="BX27" s="19">
        <f>Inputs!$F$146*BX23</f>
        <v/>
      </c>
      <c r="BY27" s="19">
        <f>Inputs!$F$146*BY23</f>
        <v/>
      </c>
      <c r="BZ27" s="19">
        <f>Inputs!$F$146*BZ23</f>
        <v/>
      </c>
      <c r="CA27" s="19">
        <f>Inputs!$F$146*CA23</f>
        <v/>
      </c>
      <c r="CB27" s="19">
        <f>Inputs!$F$146*CB23</f>
        <v/>
      </c>
      <c r="CC27" s="19">
        <f>Inputs!$F$146*CC23</f>
        <v/>
      </c>
      <c r="CD27" s="19">
        <f>Inputs!$F$146*CD23</f>
        <v/>
      </c>
      <c r="CE27" s="19">
        <f>Inputs!$F$146*CE23</f>
        <v/>
      </c>
      <c r="CF27" s="19">
        <f>Inputs!$F$146*CF23</f>
        <v/>
      </c>
      <c r="CG27" s="19">
        <f>Inputs!$F$146*CG23</f>
        <v/>
      </c>
      <c r="CH27" s="19">
        <f>Inputs!$F$146*CH23</f>
        <v/>
      </c>
      <c r="CI27" s="19">
        <f>Inputs!$F$146*CI23</f>
        <v/>
      </c>
      <c r="CJ27" s="19">
        <f>Inputs!$F$146*CJ23</f>
        <v/>
      </c>
      <c r="CK27" s="19">
        <f>Inputs!$F$146*CK23</f>
        <v/>
      </c>
      <c r="CL27" s="19">
        <f>Inputs!$F$146*CL23</f>
        <v/>
      </c>
      <c r="CM27" s="19">
        <f>Inputs!$F$146*CM23</f>
        <v/>
      </c>
      <c r="CN27" s="19">
        <f>Inputs!$F$146*CN23</f>
        <v/>
      </c>
      <c r="CO27" s="19">
        <f>Inputs!$F$146*CO23</f>
        <v/>
      </c>
      <c r="CP27" s="19">
        <f>Inputs!$F$146*CP23</f>
        <v/>
      </c>
      <c r="CQ27" s="19">
        <f>Inputs!$F$146*CQ23</f>
        <v/>
      </c>
      <c r="CR27" s="19">
        <f>Inputs!$F$146*CR23</f>
        <v/>
      </c>
      <c r="CS27" s="19">
        <f>Inputs!$F$146*CS23</f>
        <v/>
      </c>
      <c r="CT27" s="19">
        <f>Inputs!$F$146*CT23</f>
        <v/>
      </c>
      <c r="CU27" s="19">
        <f>Inputs!$F$146*CU23</f>
        <v/>
      </c>
      <c r="CV27" s="19">
        <f>Inputs!$F$146*CV23</f>
        <v/>
      </c>
      <c r="CW27" s="19">
        <f>Inputs!$F$146*CW23</f>
        <v/>
      </c>
      <c r="CX27" s="19">
        <f>Inputs!$F$146*CX23</f>
        <v/>
      </c>
      <c r="CY27" s="19">
        <f>Inputs!$F$146*CY23</f>
        <v/>
      </c>
      <c r="CZ27" s="19">
        <f>Inputs!$F$146*CZ23</f>
        <v/>
      </c>
      <c r="DA27" s="19">
        <f>Inputs!$F$146*DA23</f>
        <v/>
      </c>
      <c r="DB27" s="19">
        <f>Inputs!$F$146*DB23</f>
        <v/>
      </c>
    </row>
    <row r="28">
      <c r="D28" t="inlineStr">
        <is>
          <t>Project company costs</t>
        </is>
      </c>
      <c r="E28" t="inlineStr">
        <is>
          <t>ARD m</t>
        </is>
      </c>
      <c r="G28" s="19">
        <f>SUM(J28:DB28)</f>
        <v/>
      </c>
      <c r="J28" s="19">
        <f>Inputs!$F$147*J23</f>
        <v/>
      </c>
      <c r="K28" s="19">
        <f>Inputs!$F$147*K23</f>
        <v/>
      </c>
      <c r="L28" s="19">
        <f>Inputs!$F$147*L23</f>
        <v/>
      </c>
      <c r="M28" s="19">
        <f>Inputs!$F$147*M23</f>
        <v/>
      </c>
      <c r="N28" s="19">
        <f>Inputs!$F$147*N23</f>
        <v/>
      </c>
      <c r="O28" s="19">
        <f>Inputs!$F$147*O23</f>
        <v/>
      </c>
      <c r="P28" s="19">
        <f>Inputs!$F$147*P23</f>
        <v/>
      </c>
      <c r="Q28" s="19">
        <f>Inputs!$F$147*Q23</f>
        <v/>
      </c>
      <c r="R28" s="19">
        <f>Inputs!$F$147*R23</f>
        <v/>
      </c>
      <c r="S28" s="19">
        <f>Inputs!$F$147*S23</f>
        <v/>
      </c>
      <c r="T28" s="19">
        <f>Inputs!$F$147*T23</f>
        <v/>
      </c>
      <c r="U28" s="19">
        <f>Inputs!$F$147*U23</f>
        <v/>
      </c>
      <c r="V28" s="19">
        <f>Inputs!$F$147*V23</f>
        <v/>
      </c>
      <c r="W28" s="19">
        <f>Inputs!$F$147*W23</f>
        <v/>
      </c>
      <c r="X28" s="19">
        <f>Inputs!$F$147*X23</f>
        <v/>
      </c>
      <c r="Y28" s="19">
        <f>Inputs!$F$147*Y23</f>
        <v/>
      </c>
      <c r="Z28" s="19">
        <f>Inputs!$F$147*Z23</f>
        <v/>
      </c>
      <c r="AA28" s="19">
        <f>Inputs!$F$147*AA23</f>
        <v/>
      </c>
      <c r="AB28" s="19">
        <f>Inputs!$F$147*AB23</f>
        <v/>
      </c>
      <c r="AC28" s="19">
        <f>Inputs!$F$147*AC23</f>
        <v/>
      </c>
      <c r="AD28" s="19">
        <f>Inputs!$F$147*AD23</f>
        <v/>
      </c>
      <c r="AE28" s="19">
        <f>Inputs!$F$147*AE23</f>
        <v/>
      </c>
      <c r="AF28" s="19">
        <f>Inputs!$F$147*AF23</f>
        <v/>
      </c>
      <c r="AG28" s="19">
        <f>Inputs!$F$147*AG23</f>
        <v/>
      </c>
      <c r="AH28" s="19">
        <f>Inputs!$F$147*AH23</f>
        <v/>
      </c>
      <c r="AI28" s="19">
        <f>Inputs!$F$147*AI23</f>
        <v/>
      </c>
      <c r="AJ28" s="19">
        <f>Inputs!$F$147*AJ23</f>
        <v/>
      </c>
      <c r="AK28" s="19">
        <f>Inputs!$F$147*AK23</f>
        <v/>
      </c>
      <c r="AL28" s="19">
        <f>Inputs!$F$147*AL23</f>
        <v/>
      </c>
      <c r="AM28" s="19">
        <f>Inputs!$F$147*AM23</f>
        <v/>
      </c>
      <c r="AN28" s="19">
        <f>Inputs!$F$147*AN23</f>
        <v/>
      </c>
      <c r="AO28" s="19">
        <f>Inputs!$F$147*AO23</f>
        <v/>
      </c>
      <c r="AP28" s="19">
        <f>Inputs!$F$147*AP23</f>
        <v/>
      </c>
      <c r="AQ28" s="19">
        <f>Inputs!$F$147*AQ23</f>
        <v/>
      </c>
      <c r="AR28" s="19">
        <f>Inputs!$F$147*AR23</f>
        <v/>
      </c>
      <c r="AS28" s="19">
        <f>Inputs!$F$147*AS23</f>
        <v/>
      </c>
      <c r="AT28" s="19">
        <f>Inputs!$F$147*AT23</f>
        <v/>
      </c>
      <c r="AU28" s="19">
        <f>Inputs!$F$147*AU23</f>
        <v/>
      </c>
      <c r="AV28" s="19">
        <f>Inputs!$F$147*AV23</f>
        <v/>
      </c>
      <c r="AW28" s="19">
        <f>Inputs!$F$147*AW23</f>
        <v/>
      </c>
      <c r="AX28" s="19">
        <f>Inputs!$F$147*AX23</f>
        <v/>
      </c>
      <c r="AY28" s="19">
        <f>Inputs!$F$147*AY23</f>
        <v/>
      </c>
      <c r="AZ28" s="19">
        <f>Inputs!$F$147*AZ23</f>
        <v/>
      </c>
      <c r="BA28" s="19">
        <f>Inputs!$F$147*BA23</f>
        <v/>
      </c>
      <c r="BB28" s="19">
        <f>Inputs!$F$147*BB23</f>
        <v/>
      </c>
      <c r="BC28" s="19">
        <f>Inputs!$F$147*BC23</f>
        <v/>
      </c>
      <c r="BD28" s="19">
        <f>Inputs!$F$147*BD23</f>
        <v/>
      </c>
      <c r="BE28" s="19">
        <f>Inputs!$F$147*BE23</f>
        <v/>
      </c>
      <c r="BF28" s="19">
        <f>Inputs!$F$147*BF23</f>
        <v/>
      </c>
      <c r="BG28" s="19">
        <f>Inputs!$F$147*BG23</f>
        <v/>
      </c>
      <c r="BH28" s="19">
        <f>Inputs!$F$147*BH23</f>
        <v/>
      </c>
      <c r="BI28" s="19">
        <f>Inputs!$F$147*BI23</f>
        <v/>
      </c>
      <c r="BJ28" s="19">
        <f>Inputs!$F$147*BJ23</f>
        <v/>
      </c>
      <c r="BK28" s="19">
        <f>Inputs!$F$147*BK23</f>
        <v/>
      </c>
      <c r="BL28" s="19">
        <f>Inputs!$F$147*BL23</f>
        <v/>
      </c>
      <c r="BM28" s="19">
        <f>Inputs!$F$147*BM23</f>
        <v/>
      </c>
      <c r="BN28" s="19">
        <f>Inputs!$F$147*BN23</f>
        <v/>
      </c>
      <c r="BO28" s="19">
        <f>Inputs!$F$147*BO23</f>
        <v/>
      </c>
      <c r="BP28" s="19">
        <f>Inputs!$F$147*BP23</f>
        <v/>
      </c>
      <c r="BQ28" s="19">
        <f>Inputs!$F$147*BQ23</f>
        <v/>
      </c>
      <c r="BR28" s="19">
        <f>Inputs!$F$147*BR23</f>
        <v/>
      </c>
      <c r="BS28" s="19">
        <f>Inputs!$F$147*BS23</f>
        <v/>
      </c>
      <c r="BT28" s="19">
        <f>Inputs!$F$147*BT23</f>
        <v/>
      </c>
      <c r="BU28" s="19">
        <f>Inputs!$F$147*BU23</f>
        <v/>
      </c>
      <c r="BV28" s="19">
        <f>Inputs!$F$147*BV23</f>
        <v/>
      </c>
      <c r="BW28" s="19">
        <f>Inputs!$F$147*BW23</f>
        <v/>
      </c>
      <c r="BX28" s="19">
        <f>Inputs!$F$147*BX23</f>
        <v/>
      </c>
      <c r="BY28" s="19">
        <f>Inputs!$F$147*BY23</f>
        <v/>
      </c>
      <c r="BZ28" s="19">
        <f>Inputs!$F$147*BZ23</f>
        <v/>
      </c>
      <c r="CA28" s="19">
        <f>Inputs!$F$147*CA23</f>
        <v/>
      </c>
      <c r="CB28" s="19">
        <f>Inputs!$F$147*CB23</f>
        <v/>
      </c>
      <c r="CC28" s="19">
        <f>Inputs!$F$147*CC23</f>
        <v/>
      </c>
      <c r="CD28" s="19">
        <f>Inputs!$F$147*CD23</f>
        <v/>
      </c>
      <c r="CE28" s="19">
        <f>Inputs!$F$147*CE23</f>
        <v/>
      </c>
      <c r="CF28" s="19">
        <f>Inputs!$F$147*CF23</f>
        <v/>
      </c>
      <c r="CG28" s="19">
        <f>Inputs!$F$147*CG23</f>
        <v/>
      </c>
      <c r="CH28" s="19">
        <f>Inputs!$F$147*CH23</f>
        <v/>
      </c>
      <c r="CI28" s="19">
        <f>Inputs!$F$147*CI23</f>
        <v/>
      </c>
      <c r="CJ28" s="19">
        <f>Inputs!$F$147*CJ23</f>
        <v/>
      </c>
      <c r="CK28" s="19">
        <f>Inputs!$F$147*CK23</f>
        <v/>
      </c>
      <c r="CL28" s="19">
        <f>Inputs!$F$147*CL23</f>
        <v/>
      </c>
      <c r="CM28" s="19">
        <f>Inputs!$F$147*CM23</f>
        <v/>
      </c>
      <c r="CN28" s="19">
        <f>Inputs!$F$147*CN23</f>
        <v/>
      </c>
      <c r="CO28" s="19">
        <f>Inputs!$F$147*CO23</f>
        <v/>
      </c>
      <c r="CP28" s="19">
        <f>Inputs!$F$147*CP23</f>
        <v/>
      </c>
      <c r="CQ28" s="19">
        <f>Inputs!$F$147*CQ23</f>
        <v/>
      </c>
      <c r="CR28" s="19">
        <f>Inputs!$F$147*CR23</f>
        <v/>
      </c>
      <c r="CS28" s="19">
        <f>Inputs!$F$147*CS23</f>
        <v/>
      </c>
      <c r="CT28" s="19">
        <f>Inputs!$F$147*CT23</f>
        <v/>
      </c>
      <c r="CU28" s="19">
        <f>Inputs!$F$147*CU23</f>
        <v/>
      </c>
      <c r="CV28" s="19">
        <f>Inputs!$F$147*CV23</f>
        <v/>
      </c>
      <c r="CW28" s="19">
        <f>Inputs!$F$147*CW23</f>
        <v/>
      </c>
      <c r="CX28" s="19">
        <f>Inputs!$F$147*CX23</f>
        <v/>
      </c>
      <c r="CY28" s="19">
        <f>Inputs!$F$147*CY23</f>
        <v/>
      </c>
      <c r="CZ28" s="19">
        <f>Inputs!$F$147*CZ23</f>
        <v/>
      </c>
      <c r="DA28" s="19">
        <f>Inputs!$F$147*DA23</f>
        <v/>
      </c>
      <c r="DB28" s="19">
        <f>Inputs!$F$147*DB23</f>
        <v/>
      </c>
    </row>
    <row r="29">
      <c r="D29" t="inlineStr">
        <is>
          <t>Total operating costs</t>
        </is>
      </c>
      <c r="E29" t="inlineStr">
        <is>
          <t>ARD m</t>
        </is>
      </c>
      <c r="G29" s="19">
        <f>SUM(J29:DB29)</f>
        <v/>
      </c>
      <c r="J29" s="19">
        <f>J24+J25+J26+J27+J28</f>
        <v/>
      </c>
      <c r="K29" s="19">
        <f>K24+K25+K26+K27+K28</f>
        <v/>
      </c>
      <c r="L29" s="19">
        <f>L24+L25+L26+L27+L28</f>
        <v/>
      </c>
      <c r="M29" s="19">
        <f>M24+M25+M26+M27+M28</f>
        <v/>
      </c>
      <c r="N29" s="19">
        <f>N24+N25+N26+N27+N28</f>
        <v/>
      </c>
      <c r="O29" s="19">
        <f>O24+O25+O26+O27+O28</f>
        <v/>
      </c>
      <c r="P29" s="19">
        <f>P24+P25+P26+P27+P28</f>
        <v/>
      </c>
      <c r="Q29" s="19">
        <f>Q24+Q25+Q26+Q27+Q28</f>
        <v/>
      </c>
      <c r="R29" s="19">
        <f>R24+R25+R26+R27+R28</f>
        <v/>
      </c>
      <c r="S29" s="19">
        <f>S24+S25+S26+S27+S28</f>
        <v/>
      </c>
      <c r="T29" s="19">
        <f>T24+T25+T26+T27+T28</f>
        <v/>
      </c>
      <c r="U29" s="19">
        <f>U24+U25+U26+U27+U28</f>
        <v/>
      </c>
      <c r="V29" s="19">
        <f>V24+V25+V26+V27+V28</f>
        <v/>
      </c>
      <c r="W29" s="19">
        <f>W24+W25+W26+W27+W28</f>
        <v/>
      </c>
      <c r="X29" s="19">
        <f>X24+X25+X26+X27+X28</f>
        <v/>
      </c>
      <c r="Y29" s="19">
        <f>Y24+Y25+Y26+Y27+Y28</f>
        <v/>
      </c>
      <c r="Z29" s="19">
        <f>Z24+Z25+Z26+Z27+Z28</f>
        <v/>
      </c>
      <c r="AA29" s="19">
        <f>AA24+AA25+AA26+AA27+AA28</f>
        <v/>
      </c>
      <c r="AB29" s="19">
        <f>AB24+AB25+AB26+AB27+AB28</f>
        <v/>
      </c>
      <c r="AC29" s="19">
        <f>AC24+AC25+AC26+AC27+AC28</f>
        <v/>
      </c>
      <c r="AD29" s="19">
        <f>AD24+AD25+AD26+AD27+AD28</f>
        <v/>
      </c>
      <c r="AE29" s="19">
        <f>AE24+AE25+AE26+AE27+AE28</f>
        <v/>
      </c>
      <c r="AF29" s="19">
        <f>AF24+AF25+AF26+AF27+AF28</f>
        <v/>
      </c>
      <c r="AG29" s="19">
        <f>AG24+AG25+AG26+AG27+AG28</f>
        <v/>
      </c>
      <c r="AH29" s="19">
        <f>AH24+AH25+AH26+AH27+AH28</f>
        <v/>
      </c>
      <c r="AI29" s="19">
        <f>AI24+AI25+AI26+AI27+AI28</f>
        <v/>
      </c>
      <c r="AJ29" s="19">
        <f>AJ24+AJ25+AJ26+AJ27+AJ28</f>
        <v/>
      </c>
      <c r="AK29" s="19">
        <f>AK24+AK25+AK26+AK27+AK28</f>
        <v/>
      </c>
      <c r="AL29" s="19">
        <f>AL24+AL25+AL26+AL27+AL28</f>
        <v/>
      </c>
      <c r="AM29" s="19">
        <f>AM24+AM25+AM26+AM27+AM28</f>
        <v/>
      </c>
      <c r="AN29" s="19">
        <f>AN24+AN25+AN26+AN27+AN28</f>
        <v/>
      </c>
      <c r="AO29" s="19">
        <f>AO24+AO25+AO26+AO27+AO28</f>
        <v/>
      </c>
      <c r="AP29" s="19">
        <f>AP24+AP25+AP26+AP27+AP28</f>
        <v/>
      </c>
      <c r="AQ29" s="19">
        <f>AQ24+AQ25+AQ26+AQ27+AQ28</f>
        <v/>
      </c>
      <c r="AR29" s="19">
        <f>AR24+AR25+AR26+AR27+AR28</f>
        <v/>
      </c>
      <c r="AS29" s="19">
        <f>AS24+AS25+AS26+AS27+AS28</f>
        <v/>
      </c>
      <c r="AT29" s="19">
        <f>AT24+AT25+AT26+AT27+AT28</f>
        <v/>
      </c>
      <c r="AU29" s="19">
        <f>AU24+AU25+AU26+AU27+AU28</f>
        <v/>
      </c>
      <c r="AV29" s="19">
        <f>AV24+AV25+AV26+AV27+AV28</f>
        <v/>
      </c>
      <c r="AW29" s="19">
        <f>AW24+AW25+AW26+AW27+AW28</f>
        <v/>
      </c>
      <c r="AX29" s="19">
        <f>AX24+AX25+AX26+AX27+AX28</f>
        <v/>
      </c>
      <c r="AY29" s="19">
        <f>AY24+AY25+AY26+AY27+AY28</f>
        <v/>
      </c>
      <c r="AZ29" s="19">
        <f>AZ24+AZ25+AZ26+AZ27+AZ28</f>
        <v/>
      </c>
      <c r="BA29" s="19">
        <f>BA24+BA25+BA26+BA27+BA28</f>
        <v/>
      </c>
      <c r="BB29" s="19">
        <f>BB24+BB25+BB26+BB27+BB28</f>
        <v/>
      </c>
      <c r="BC29" s="19">
        <f>BC24+BC25+BC26+BC27+BC28</f>
        <v/>
      </c>
      <c r="BD29" s="19">
        <f>BD24+BD25+BD26+BD27+BD28</f>
        <v/>
      </c>
      <c r="BE29" s="19">
        <f>BE24+BE25+BE26+BE27+BE28</f>
        <v/>
      </c>
      <c r="BF29" s="19">
        <f>BF24+BF25+BF26+BF27+BF28</f>
        <v/>
      </c>
      <c r="BG29" s="19">
        <f>BG24+BG25+BG26+BG27+BG28</f>
        <v/>
      </c>
      <c r="BH29" s="19">
        <f>BH24+BH25+BH26+BH27+BH28</f>
        <v/>
      </c>
      <c r="BI29" s="19">
        <f>BI24+BI25+BI26+BI27+BI28</f>
        <v/>
      </c>
      <c r="BJ29" s="19">
        <f>BJ24+BJ25+BJ26+BJ27+BJ28</f>
        <v/>
      </c>
      <c r="BK29" s="19">
        <f>BK24+BK25+BK26+BK27+BK28</f>
        <v/>
      </c>
      <c r="BL29" s="19">
        <f>BL24+BL25+BL26+BL27+BL28</f>
        <v/>
      </c>
      <c r="BM29" s="19">
        <f>BM24+BM25+BM26+BM27+BM28</f>
        <v/>
      </c>
      <c r="BN29" s="19">
        <f>BN24+BN25+BN26+BN27+BN28</f>
        <v/>
      </c>
      <c r="BO29" s="19">
        <f>BO24+BO25+BO26+BO27+BO28</f>
        <v/>
      </c>
      <c r="BP29" s="19">
        <f>BP24+BP25+BP26+BP27+BP28</f>
        <v/>
      </c>
      <c r="BQ29" s="19">
        <f>BQ24+BQ25+BQ26+BQ27+BQ28</f>
        <v/>
      </c>
      <c r="BR29" s="19">
        <f>BR24+BR25+BR26+BR27+BR28</f>
        <v/>
      </c>
      <c r="BS29" s="19">
        <f>BS24+BS25+BS26+BS27+BS28</f>
        <v/>
      </c>
      <c r="BT29" s="19">
        <f>BT24+BT25+BT26+BT27+BT28</f>
        <v/>
      </c>
      <c r="BU29" s="19">
        <f>BU24+BU25+BU26+BU27+BU28</f>
        <v/>
      </c>
      <c r="BV29" s="19">
        <f>BV24+BV25+BV26+BV27+BV28</f>
        <v/>
      </c>
      <c r="BW29" s="19">
        <f>BW24+BW25+BW26+BW27+BW28</f>
        <v/>
      </c>
      <c r="BX29" s="19">
        <f>BX24+BX25+BX26+BX27+BX28</f>
        <v/>
      </c>
      <c r="BY29" s="19">
        <f>BY24+BY25+BY26+BY27+BY28</f>
        <v/>
      </c>
      <c r="BZ29" s="19">
        <f>BZ24+BZ25+BZ26+BZ27+BZ28</f>
        <v/>
      </c>
      <c r="CA29" s="19">
        <f>CA24+CA25+CA26+CA27+CA28</f>
        <v/>
      </c>
      <c r="CB29" s="19">
        <f>CB24+CB25+CB26+CB27+CB28</f>
        <v/>
      </c>
      <c r="CC29" s="19">
        <f>CC24+CC25+CC26+CC27+CC28</f>
        <v/>
      </c>
      <c r="CD29" s="19">
        <f>CD24+CD25+CD26+CD27+CD28</f>
        <v/>
      </c>
      <c r="CE29" s="19">
        <f>CE24+CE25+CE26+CE27+CE28</f>
        <v/>
      </c>
      <c r="CF29" s="19">
        <f>CF24+CF25+CF26+CF27+CF28</f>
        <v/>
      </c>
      <c r="CG29" s="19">
        <f>CG24+CG25+CG26+CG27+CG28</f>
        <v/>
      </c>
      <c r="CH29" s="19">
        <f>CH24+CH25+CH26+CH27+CH28</f>
        <v/>
      </c>
      <c r="CI29" s="19">
        <f>CI24+CI25+CI26+CI27+CI28</f>
        <v/>
      </c>
      <c r="CJ29" s="19">
        <f>CJ24+CJ25+CJ26+CJ27+CJ28</f>
        <v/>
      </c>
      <c r="CK29" s="19">
        <f>CK24+CK25+CK26+CK27+CK28</f>
        <v/>
      </c>
      <c r="CL29" s="19">
        <f>CL24+CL25+CL26+CL27+CL28</f>
        <v/>
      </c>
      <c r="CM29" s="19">
        <f>CM24+CM25+CM26+CM27+CM28</f>
        <v/>
      </c>
      <c r="CN29" s="19">
        <f>CN24+CN25+CN26+CN27+CN28</f>
        <v/>
      </c>
      <c r="CO29" s="19">
        <f>CO24+CO25+CO26+CO27+CO28</f>
        <v/>
      </c>
      <c r="CP29" s="19">
        <f>CP24+CP25+CP26+CP27+CP28</f>
        <v/>
      </c>
      <c r="CQ29" s="19">
        <f>CQ24+CQ25+CQ26+CQ27+CQ28</f>
        <v/>
      </c>
      <c r="CR29" s="19">
        <f>CR24+CR25+CR26+CR27+CR28</f>
        <v/>
      </c>
      <c r="CS29" s="19">
        <f>CS24+CS25+CS26+CS27+CS28</f>
        <v/>
      </c>
      <c r="CT29" s="19">
        <f>CT24+CT25+CT26+CT27+CT28</f>
        <v/>
      </c>
      <c r="CU29" s="19">
        <f>CU24+CU25+CU26+CU27+CU28</f>
        <v/>
      </c>
      <c r="CV29" s="19">
        <f>CV24+CV25+CV26+CV27+CV28</f>
        <v/>
      </c>
      <c r="CW29" s="19">
        <f>CW24+CW25+CW26+CW27+CW28</f>
        <v/>
      </c>
      <c r="CX29" s="19">
        <f>CX24+CX25+CX26+CX27+CX28</f>
        <v/>
      </c>
      <c r="CY29" s="19">
        <f>CY24+CY25+CY26+CY27+CY28</f>
        <v/>
      </c>
      <c r="CZ29" s="19">
        <f>CZ24+CZ25+CZ26+CZ27+CZ28</f>
        <v/>
      </c>
      <c r="DA29" s="19">
        <f>DA24+DA25+DA26+DA27+DA28</f>
        <v/>
      </c>
      <c r="DB29" s="19">
        <f>DB24+DB25+DB26+DB27+DB28</f>
        <v/>
      </c>
    </row>
    <row r="30">
      <c r="D30" t="inlineStr">
        <is>
          <t>State revenue share</t>
        </is>
      </c>
      <c r="E30" t="inlineStr">
        <is>
          <t>ARD m</t>
        </is>
      </c>
      <c r="G30" s="19">
        <f>SUM(J30:DB30)</f>
        <v/>
      </c>
      <c r="J30" s="19">
        <f>IF(Time!J23=1,Inputs!$F$177*MAX(0,J20-Inputs!$F$178*Time!J56/Time!$F$57*Time!J25/Inputs!$F$46),0)</f>
        <v/>
      </c>
      <c r="K30" s="19">
        <f>IF(Time!K23=1,Inputs!$F$177*MAX(0,K20-Inputs!$F$178*Time!K56/Time!$F$57*Time!K25/Inputs!$F$46),0)</f>
        <v/>
      </c>
      <c r="L30" s="19">
        <f>IF(Time!L23=1,Inputs!$F$177*MAX(0,L20-Inputs!$F$178*Time!L56/Time!$F$57*Time!L25/Inputs!$F$46),0)</f>
        <v/>
      </c>
      <c r="M30" s="19">
        <f>IF(Time!M23=1,Inputs!$F$177*MAX(0,M20-Inputs!$F$178*Time!M56/Time!$F$57*Time!M25/Inputs!$F$46),0)</f>
        <v/>
      </c>
      <c r="N30" s="19">
        <f>IF(Time!N23=1,Inputs!$F$177*MAX(0,N20-Inputs!$F$178*Time!N56/Time!$F$57*Time!N25/Inputs!$F$46),0)</f>
        <v/>
      </c>
      <c r="O30" s="19">
        <f>IF(Time!O23=1,Inputs!$F$177*MAX(0,O20-Inputs!$F$178*Time!O56/Time!$F$57*Time!O25/Inputs!$F$46),0)</f>
        <v/>
      </c>
      <c r="P30" s="19">
        <f>IF(Time!P23=1,Inputs!$F$177*MAX(0,P20-Inputs!$F$178*Time!P56/Time!$F$57*Time!P25/Inputs!$F$46),0)</f>
        <v/>
      </c>
      <c r="Q30" s="19">
        <f>IF(Time!Q23=1,Inputs!$F$177*MAX(0,Q20-Inputs!$F$178*Time!Q56/Time!$F$57*Time!Q25/Inputs!$F$46),0)</f>
        <v/>
      </c>
      <c r="R30" s="19">
        <f>IF(Time!R23=1,Inputs!$F$177*MAX(0,R20-Inputs!$F$178*Time!R56/Time!$F$57*Time!R25/Inputs!$F$46),0)</f>
        <v/>
      </c>
      <c r="S30" s="19">
        <f>IF(Time!S23=1,Inputs!$F$177*MAX(0,S20-Inputs!$F$178*Time!S56/Time!$F$57*Time!S25/Inputs!$F$46),0)</f>
        <v/>
      </c>
      <c r="T30" s="19">
        <f>IF(Time!T23=1,Inputs!$F$177*MAX(0,T20-Inputs!$F$178*Time!T56/Time!$F$57*Time!T25/Inputs!$F$46),0)</f>
        <v/>
      </c>
      <c r="U30" s="19">
        <f>IF(Time!U23=1,Inputs!$F$177*MAX(0,U20-Inputs!$F$178*Time!U56/Time!$F$57*Time!U25/Inputs!$F$46),0)</f>
        <v/>
      </c>
      <c r="V30" s="19">
        <f>IF(Time!V23=1,Inputs!$F$177*MAX(0,V20-Inputs!$F$178*Time!V56/Time!$F$57*Time!V25/Inputs!$F$46),0)</f>
        <v/>
      </c>
      <c r="W30" s="19">
        <f>IF(Time!W23=1,Inputs!$F$177*MAX(0,W20-Inputs!$F$178*Time!W56/Time!$F$57*Time!W25/Inputs!$F$46),0)</f>
        <v/>
      </c>
      <c r="X30" s="19">
        <f>IF(Time!X23=1,Inputs!$F$177*MAX(0,X20-Inputs!$F$178*Time!X56/Time!$F$57*Time!X25/Inputs!$F$46),0)</f>
        <v/>
      </c>
      <c r="Y30" s="19">
        <f>IF(Time!Y23=1,Inputs!$F$177*MAX(0,Y20-Inputs!$F$178*Time!Y56/Time!$F$57*Time!Y25/Inputs!$F$46),0)</f>
        <v/>
      </c>
      <c r="Z30" s="19">
        <f>IF(Time!Z23=1,Inputs!$F$177*MAX(0,Z20-Inputs!$F$178*Time!Z56/Time!$F$57*Time!Z25/Inputs!$F$46),0)</f>
        <v/>
      </c>
      <c r="AA30" s="19">
        <f>IF(Time!AA23=1,Inputs!$F$177*MAX(0,AA20-Inputs!$F$178*Time!AA56/Time!$F$57*Time!AA25/Inputs!$F$46),0)</f>
        <v/>
      </c>
      <c r="AB30" s="19">
        <f>IF(Time!AB23=1,Inputs!$F$177*MAX(0,AB20-Inputs!$F$178*Time!AB56/Time!$F$57*Time!AB25/Inputs!$F$46),0)</f>
        <v/>
      </c>
      <c r="AC30" s="19">
        <f>IF(Time!AC23=1,Inputs!$F$177*MAX(0,AC20-Inputs!$F$178*Time!AC56/Time!$F$57*Time!AC25/Inputs!$F$46),0)</f>
        <v/>
      </c>
      <c r="AD30" s="19">
        <f>IF(Time!AD23=1,Inputs!$F$177*MAX(0,AD20-Inputs!$F$178*Time!AD56/Time!$F$57*Time!AD25/Inputs!$F$46),0)</f>
        <v/>
      </c>
      <c r="AE30" s="19">
        <f>IF(Time!AE23=1,Inputs!$F$177*MAX(0,AE20-Inputs!$F$178*Time!AE56/Time!$F$57*Time!AE25/Inputs!$F$46),0)</f>
        <v/>
      </c>
      <c r="AF30" s="19">
        <f>IF(Time!AF23=1,Inputs!$F$177*MAX(0,AF20-Inputs!$F$178*Time!AF56/Time!$F$57*Time!AF25/Inputs!$F$46),0)</f>
        <v/>
      </c>
      <c r="AG30" s="19">
        <f>IF(Time!AG23=1,Inputs!$F$177*MAX(0,AG20-Inputs!$F$178*Time!AG56/Time!$F$57*Time!AG25/Inputs!$F$46),0)</f>
        <v/>
      </c>
      <c r="AH30" s="19">
        <f>IF(Time!AH23=1,Inputs!$F$177*MAX(0,AH20-Inputs!$F$178*Time!AH56/Time!$F$57*Time!AH25/Inputs!$F$46),0)</f>
        <v/>
      </c>
      <c r="AI30" s="19">
        <f>IF(Time!AI23=1,Inputs!$F$177*MAX(0,AI20-Inputs!$F$178*Time!AI56/Time!$F$57*Time!AI25/Inputs!$F$46),0)</f>
        <v/>
      </c>
      <c r="AJ30" s="19">
        <f>IF(Time!AJ23=1,Inputs!$F$177*MAX(0,AJ20-Inputs!$F$178*Time!AJ56/Time!$F$57*Time!AJ25/Inputs!$F$46),0)</f>
        <v/>
      </c>
      <c r="AK30" s="19">
        <f>IF(Time!AK23=1,Inputs!$F$177*MAX(0,AK20-Inputs!$F$178*Time!AK56/Time!$F$57*Time!AK25/Inputs!$F$46),0)</f>
        <v/>
      </c>
      <c r="AL30" s="19">
        <f>IF(Time!AL23=1,Inputs!$F$177*MAX(0,AL20-Inputs!$F$178*Time!AL56/Time!$F$57*Time!AL25/Inputs!$F$46),0)</f>
        <v/>
      </c>
      <c r="AM30" s="19">
        <f>IF(Time!AM23=1,Inputs!$F$177*MAX(0,AM20-Inputs!$F$178*Time!AM56/Time!$F$57*Time!AM25/Inputs!$F$46),0)</f>
        <v/>
      </c>
      <c r="AN30" s="19">
        <f>IF(Time!AN23=1,Inputs!$F$177*MAX(0,AN20-Inputs!$F$178*Time!AN56/Time!$F$57*Time!AN25/Inputs!$F$46),0)</f>
        <v/>
      </c>
      <c r="AO30" s="19">
        <f>IF(Time!AO23=1,Inputs!$F$177*MAX(0,AO20-Inputs!$F$178*Time!AO56/Time!$F$57*Time!AO25/Inputs!$F$46),0)</f>
        <v/>
      </c>
      <c r="AP30" s="19">
        <f>IF(Time!AP23=1,Inputs!$F$177*MAX(0,AP20-Inputs!$F$178*Time!AP56/Time!$F$57*Time!AP25/Inputs!$F$46),0)</f>
        <v/>
      </c>
      <c r="AQ30" s="19">
        <f>IF(Time!AQ23=1,Inputs!$F$177*MAX(0,AQ20-Inputs!$F$178*Time!AQ56/Time!$F$57*Time!AQ25/Inputs!$F$46),0)</f>
        <v/>
      </c>
      <c r="AR30" s="19">
        <f>IF(Time!AR23=1,Inputs!$F$177*MAX(0,AR20-Inputs!$F$178*Time!AR56/Time!$F$57*Time!AR25/Inputs!$F$46),0)</f>
        <v/>
      </c>
      <c r="AS30" s="19">
        <f>IF(Time!AS23=1,Inputs!$F$177*MAX(0,AS20-Inputs!$F$178*Time!AS56/Time!$F$57*Time!AS25/Inputs!$F$46),0)</f>
        <v/>
      </c>
      <c r="AT30" s="19">
        <f>IF(Time!AT23=1,Inputs!$F$177*MAX(0,AT20-Inputs!$F$178*Time!AT56/Time!$F$57*Time!AT25/Inputs!$F$46),0)</f>
        <v/>
      </c>
      <c r="AU30" s="19">
        <f>IF(Time!AU23=1,Inputs!$F$177*MAX(0,AU20-Inputs!$F$178*Time!AU56/Time!$F$57*Time!AU25/Inputs!$F$46),0)</f>
        <v/>
      </c>
      <c r="AV30" s="19">
        <f>IF(Time!AV23=1,Inputs!$F$177*MAX(0,AV20-Inputs!$F$178*Time!AV56/Time!$F$57*Time!AV25/Inputs!$F$46),0)</f>
        <v/>
      </c>
      <c r="AW30" s="19">
        <f>IF(Time!AW23=1,Inputs!$F$177*MAX(0,AW20-Inputs!$F$178*Time!AW56/Time!$F$57*Time!AW25/Inputs!$F$46),0)</f>
        <v/>
      </c>
      <c r="AX30" s="19">
        <f>IF(Time!AX23=1,Inputs!$F$177*MAX(0,AX20-Inputs!$F$178*Time!AX56/Time!$F$57*Time!AX25/Inputs!$F$46),0)</f>
        <v/>
      </c>
      <c r="AY30" s="19">
        <f>IF(Time!AY23=1,Inputs!$F$177*MAX(0,AY20-Inputs!$F$178*Time!AY56/Time!$F$57*Time!AY25/Inputs!$F$46),0)</f>
        <v/>
      </c>
      <c r="AZ30" s="19">
        <f>IF(Time!AZ23=1,Inputs!$F$177*MAX(0,AZ20-Inputs!$F$178*Time!AZ56/Time!$F$57*Time!AZ25/Inputs!$F$46),0)</f>
        <v/>
      </c>
      <c r="BA30" s="19">
        <f>IF(Time!BA23=1,Inputs!$F$177*MAX(0,BA20-Inputs!$F$178*Time!BA56/Time!$F$57*Time!BA25/Inputs!$F$46),0)</f>
        <v/>
      </c>
      <c r="BB30" s="19">
        <f>IF(Time!BB23=1,Inputs!$F$177*MAX(0,BB20-Inputs!$F$178*Time!BB56/Time!$F$57*Time!BB25/Inputs!$F$46),0)</f>
        <v/>
      </c>
      <c r="BC30" s="19">
        <f>IF(Time!BC23=1,Inputs!$F$177*MAX(0,BC20-Inputs!$F$178*Time!BC56/Time!$F$57*Time!BC25/Inputs!$F$46),0)</f>
        <v/>
      </c>
      <c r="BD30" s="19">
        <f>IF(Time!BD23=1,Inputs!$F$177*MAX(0,BD20-Inputs!$F$178*Time!BD56/Time!$F$57*Time!BD25/Inputs!$F$46),0)</f>
        <v/>
      </c>
      <c r="BE30" s="19">
        <f>IF(Time!BE23=1,Inputs!$F$177*MAX(0,BE20-Inputs!$F$178*Time!BE56/Time!$F$57*Time!BE25/Inputs!$F$46),0)</f>
        <v/>
      </c>
      <c r="BF30" s="19">
        <f>IF(Time!BF23=1,Inputs!$F$177*MAX(0,BF20-Inputs!$F$178*Time!BF56/Time!$F$57*Time!BF25/Inputs!$F$46),0)</f>
        <v/>
      </c>
      <c r="BG30" s="19">
        <f>IF(Time!BG23=1,Inputs!$F$177*MAX(0,BG20-Inputs!$F$178*Time!BG56/Time!$F$57*Time!BG25/Inputs!$F$46),0)</f>
        <v/>
      </c>
      <c r="BH30" s="19">
        <f>IF(Time!BH23=1,Inputs!$F$177*MAX(0,BH20-Inputs!$F$178*Time!BH56/Time!$F$57*Time!BH25/Inputs!$F$46),0)</f>
        <v/>
      </c>
      <c r="BI30" s="19">
        <f>IF(Time!BI23=1,Inputs!$F$177*MAX(0,BI20-Inputs!$F$178*Time!BI56/Time!$F$57*Time!BI25/Inputs!$F$46),0)</f>
        <v/>
      </c>
      <c r="BJ30" s="19">
        <f>IF(Time!BJ23=1,Inputs!$F$177*MAX(0,BJ20-Inputs!$F$178*Time!BJ56/Time!$F$57*Time!BJ25/Inputs!$F$46),0)</f>
        <v/>
      </c>
      <c r="BK30" s="19">
        <f>IF(Time!BK23=1,Inputs!$F$177*MAX(0,BK20-Inputs!$F$178*Time!BK56/Time!$F$57*Time!BK25/Inputs!$F$46),0)</f>
        <v/>
      </c>
      <c r="BL30" s="19">
        <f>IF(Time!BL23=1,Inputs!$F$177*MAX(0,BL20-Inputs!$F$178*Time!BL56/Time!$F$57*Time!BL25/Inputs!$F$46),0)</f>
        <v/>
      </c>
      <c r="BM30" s="19">
        <f>IF(Time!BM23=1,Inputs!$F$177*MAX(0,BM20-Inputs!$F$178*Time!BM56/Time!$F$57*Time!BM25/Inputs!$F$46),0)</f>
        <v/>
      </c>
      <c r="BN30" s="19">
        <f>IF(Time!BN23=1,Inputs!$F$177*MAX(0,BN20-Inputs!$F$178*Time!BN56/Time!$F$57*Time!BN25/Inputs!$F$46),0)</f>
        <v/>
      </c>
      <c r="BO30" s="19">
        <f>IF(Time!BO23=1,Inputs!$F$177*MAX(0,BO20-Inputs!$F$178*Time!BO56/Time!$F$57*Time!BO25/Inputs!$F$46),0)</f>
        <v/>
      </c>
      <c r="BP30" s="19">
        <f>IF(Time!BP23=1,Inputs!$F$177*MAX(0,BP20-Inputs!$F$178*Time!BP56/Time!$F$57*Time!BP25/Inputs!$F$46),0)</f>
        <v/>
      </c>
      <c r="BQ30" s="19">
        <f>IF(Time!BQ23=1,Inputs!$F$177*MAX(0,BQ20-Inputs!$F$178*Time!BQ56/Time!$F$57*Time!BQ25/Inputs!$F$46),0)</f>
        <v/>
      </c>
      <c r="BR30" s="19">
        <f>IF(Time!BR23=1,Inputs!$F$177*MAX(0,BR20-Inputs!$F$178*Time!BR56/Time!$F$57*Time!BR25/Inputs!$F$46),0)</f>
        <v/>
      </c>
      <c r="BS30" s="19">
        <f>IF(Time!BS23=1,Inputs!$F$177*MAX(0,BS20-Inputs!$F$178*Time!BS56/Time!$F$57*Time!BS25/Inputs!$F$46),0)</f>
        <v/>
      </c>
      <c r="BT30" s="19">
        <f>IF(Time!BT23=1,Inputs!$F$177*MAX(0,BT20-Inputs!$F$178*Time!BT56/Time!$F$57*Time!BT25/Inputs!$F$46),0)</f>
        <v/>
      </c>
      <c r="BU30" s="19">
        <f>IF(Time!BU23=1,Inputs!$F$177*MAX(0,BU20-Inputs!$F$178*Time!BU56/Time!$F$57*Time!BU25/Inputs!$F$46),0)</f>
        <v/>
      </c>
      <c r="BV30" s="19">
        <f>IF(Time!BV23=1,Inputs!$F$177*MAX(0,BV20-Inputs!$F$178*Time!BV56/Time!$F$57*Time!BV25/Inputs!$F$46),0)</f>
        <v/>
      </c>
      <c r="BW30" s="19">
        <f>IF(Time!BW23=1,Inputs!$F$177*MAX(0,BW20-Inputs!$F$178*Time!BW56/Time!$F$57*Time!BW25/Inputs!$F$46),0)</f>
        <v/>
      </c>
      <c r="BX30" s="19">
        <f>IF(Time!BX23=1,Inputs!$F$177*MAX(0,BX20-Inputs!$F$178*Time!BX56/Time!$F$57*Time!BX25/Inputs!$F$46),0)</f>
        <v/>
      </c>
      <c r="BY30" s="19">
        <f>IF(Time!BY23=1,Inputs!$F$177*MAX(0,BY20-Inputs!$F$178*Time!BY56/Time!$F$57*Time!BY25/Inputs!$F$46),0)</f>
        <v/>
      </c>
      <c r="BZ30" s="19">
        <f>IF(Time!BZ23=1,Inputs!$F$177*MAX(0,BZ20-Inputs!$F$178*Time!BZ56/Time!$F$57*Time!BZ25/Inputs!$F$46),0)</f>
        <v/>
      </c>
      <c r="CA30" s="19">
        <f>IF(Time!CA23=1,Inputs!$F$177*MAX(0,CA20-Inputs!$F$178*Time!CA56/Time!$F$57*Time!CA25/Inputs!$F$46),0)</f>
        <v/>
      </c>
      <c r="CB30" s="19">
        <f>IF(Time!CB23=1,Inputs!$F$177*MAX(0,CB20-Inputs!$F$178*Time!CB56/Time!$F$57*Time!CB25/Inputs!$F$46),0)</f>
        <v/>
      </c>
      <c r="CC30" s="19">
        <f>IF(Time!CC23=1,Inputs!$F$177*MAX(0,CC20-Inputs!$F$178*Time!CC56/Time!$F$57*Time!CC25/Inputs!$F$46),0)</f>
        <v/>
      </c>
      <c r="CD30" s="19">
        <f>IF(Time!CD23=1,Inputs!$F$177*MAX(0,CD20-Inputs!$F$178*Time!CD56/Time!$F$57*Time!CD25/Inputs!$F$46),0)</f>
        <v/>
      </c>
      <c r="CE30" s="19">
        <f>IF(Time!CE23=1,Inputs!$F$177*MAX(0,CE20-Inputs!$F$178*Time!CE56/Time!$F$57*Time!CE25/Inputs!$F$46),0)</f>
        <v/>
      </c>
      <c r="CF30" s="19">
        <f>IF(Time!CF23=1,Inputs!$F$177*MAX(0,CF20-Inputs!$F$178*Time!CF56/Time!$F$57*Time!CF25/Inputs!$F$46),0)</f>
        <v/>
      </c>
      <c r="CG30" s="19">
        <f>IF(Time!CG23=1,Inputs!$F$177*MAX(0,CG20-Inputs!$F$178*Time!CG56/Time!$F$57*Time!CG25/Inputs!$F$46),0)</f>
        <v/>
      </c>
      <c r="CH30" s="19">
        <f>IF(Time!CH23=1,Inputs!$F$177*MAX(0,CH20-Inputs!$F$178*Time!CH56/Time!$F$57*Time!CH25/Inputs!$F$46),0)</f>
        <v/>
      </c>
      <c r="CI30" s="19">
        <f>IF(Time!CI23=1,Inputs!$F$177*MAX(0,CI20-Inputs!$F$178*Time!CI56/Time!$F$57*Time!CI25/Inputs!$F$46),0)</f>
        <v/>
      </c>
      <c r="CJ30" s="19">
        <f>IF(Time!CJ23=1,Inputs!$F$177*MAX(0,CJ20-Inputs!$F$178*Time!CJ56/Time!$F$57*Time!CJ25/Inputs!$F$46),0)</f>
        <v/>
      </c>
      <c r="CK30" s="19">
        <f>IF(Time!CK23=1,Inputs!$F$177*MAX(0,CK20-Inputs!$F$178*Time!CK56/Time!$F$57*Time!CK25/Inputs!$F$46),0)</f>
        <v/>
      </c>
      <c r="CL30" s="19">
        <f>IF(Time!CL23=1,Inputs!$F$177*MAX(0,CL20-Inputs!$F$178*Time!CL56/Time!$F$57*Time!CL25/Inputs!$F$46),0)</f>
        <v/>
      </c>
      <c r="CM30" s="19">
        <f>IF(Time!CM23=1,Inputs!$F$177*MAX(0,CM20-Inputs!$F$178*Time!CM56/Time!$F$57*Time!CM25/Inputs!$F$46),0)</f>
        <v/>
      </c>
      <c r="CN30" s="19">
        <f>IF(Time!CN23=1,Inputs!$F$177*MAX(0,CN20-Inputs!$F$178*Time!CN56/Time!$F$57*Time!CN25/Inputs!$F$46),0)</f>
        <v/>
      </c>
      <c r="CO30" s="19">
        <f>IF(Time!CO23=1,Inputs!$F$177*MAX(0,CO20-Inputs!$F$178*Time!CO56/Time!$F$57*Time!CO25/Inputs!$F$46),0)</f>
        <v/>
      </c>
      <c r="CP30" s="19">
        <f>IF(Time!CP23=1,Inputs!$F$177*MAX(0,CP20-Inputs!$F$178*Time!CP56/Time!$F$57*Time!CP25/Inputs!$F$46),0)</f>
        <v/>
      </c>
      <c r="CQ30" s="19">
        <f>IF(Time!CQ23=1,Inputs!$F$177*MAX(0,CQ20-Inputs!$F$178*Time!CQ56/Time!$F$57*Time!CQ25/Inputs!$F$46),0)</f>
        <v/>
      </c>
      <c r="CR30" s="19">
        <f>IF(Time!CR23=1,Inputs!$F$177*MAX(0,CR20-Inputs!$F$178*Time!CR56/Time!$F$57*Time!CR25/Inputs!$F$46),0)</f>
        <v/>
      </c>
      <c r="CS30" s="19">
        <f>IF(Time!CS23=1,Inputs!$F$177*MAX(0,CS20-Inputs!$F$178*Time!CS56/Time!$F$57*Time!CS25/Inputs!$F$46),0)</f>
        <v/>
      </c>
      <c r="CT30" s="19">
        <f>IF(Time!CT23=1,Inputs!$F$177*MAX(0,CT20-Inputs!$F$178*Time!CT56/Time!$F$57*Time!CT25/Inputs!$F$46),0)</f>
        <v/>
      </c>
      <c r="CU30" s="19">
        <f>IF(Time!CU23=1,Inputs!$F$177*MAX(0,CU20-Inputs!$F$178*Time!CU56/Time!$F$57*Time!CU25/Inputs!$F$46),0)</f>
        <v/>
      </c>
      <c r="CV30" s="19">
        <f>IF(Time!CV23=1,Inputs!$F$177*MAX(0,CV20-Inputs!$F$178*Time!CV56/Time!$F$57*Time!CV25/Inputs!$F$46),0)</f>
        <v/>
      </c>
      <c r="CW30" s="19">
        <f>IF(Time!CW23=1,Inputs!$F$177*MAX(0,CW20-Inputs!$F$178*Time!CW56/Time!$F$57*Time!CW25/Inputs!$F$46),0)</f>
        <v/>
      </c>
      <c r="CX30" s="19">
        <f>IF(Time!CX23=1,Inputs!$F$177*MAX(0,CX20-Inputs!$F$178*Time!CX56/Time!$F$57*Time!CX25/Inputs!$F$46),0)</f>
        <v/>
      </c>
      <c r="CY30" s="19">
        <f>IF(Time!CY23=1,Inputs!$F$177*MAX(0,CY20-Inputs!$F$178*Time!CY56/Time!$F$57*Time!CY25/Inputs!$F$46),0)</f>
        <v/>
      </c>
      <c r="CZ30" s="19">
        <f>IF(Time!CZ23=1,Inputs!$F$177*MAX(0,CZ20-Inputs!$F$178*Time!CZ56/Time!$F$57*Time!CZ25/Inputs!$F$46),0)</f>
        <v/>
      </c>
      <c r="DA30" s="19">
        <f>IF(Time!DA23=1,Inputs!$F$177*MAX(0,DA20-Inputs!$F$178*Time!DA56/Time!$F$57*Time!DA25/Inputs!$F$46),0)</f>
        <v/>
      </c>
      <c r="DB30" s="19">
        <f>IF(Time!DB23=1,Inputs!$F$177*MAX(0,DB20-Inputs!$F$178*Time!DB56/Time!$F$57*Time!DB25/Inputs!$F$46),0)</f>
        <v/>
      </c>
    </row>
    <row r="31">
      <c r="D31" t="inlineStr">
        <is>
          <t>Restructuring costs</t>
        </is>
      </c>
      <c r="E31" t="inlineStr">
        <is>
          <t>ARD m</t>
        </is>
      </c>
      <c r="G31" s="19">
        <f>SUM(J31:DB31)</f>
        <v/>
      </c>
      <c r="J31" s="19">
        <f>IF(AND(Time!J39=1,Time!J8&gt;=Inputs!$F$39,Time!J8&lt;=Inputs!$F$21),Inputs!$F$162/Inputs!$F$163,0)</f>
        <v/>
      </c>
      <c r="K31" s="19">
        <f>IF(AND(Time!K39=1,Time!K8&gt;=Inputs!$F$39,Time!K8&lt;=Inputs!$F$21),Inputs!$F$162/Inputs!$F$163,0)</f>
        <v/>
      </c>
      <c r="L31" s="19">
        <f>IF(AND(Time!L39=1,Time!L8&gt;=Inputs!$F$39,Time!L8&lt;=Inputs!$F$21),Inputs!$F$162/Inputs!$F$163,0)</f>
        <v/>
      </c>
      <c r="M31" s="19">
        <f>IF(AND(Time!M39=1,Time!M8&gt;=Inputs!$F$39,Time!M8&lt;=Inputs!$F$21),Inputs!$F$162/Inputs!$F$163,0)</f>
        <v/>
      </c>
      <c r="N31" s="19">
        <f>IF(AND(Time!N39=1,Time!N8&gt;=Inputs!$F$39,Time!N8&lt;=Inputs!$F$21),Inputs!$F$162/Inputs!$F$163,0)</f>
        <v/>
      </c>
      <c r="O31" s="19">
        <f>IF(AND(Time!O39=1,Time!O8&gt;=Inputs!$F$39,Time!O8&lt;=Inputs!$F$21),Inputs!$F$162/Inputs!$F$163,0)</f>
        <v/>
      </c>
      <c r="P31" s="19">
        <f>IF(AND(Time!P39=1,Time!P8&gt;=Inputs!$F$39,Time!P8&lt;=Inputs!$F$21),Inputs!$F$162/Inputs!$F$163,0)</f>
        <v/>
      </c>
      <c r="Q31" s="19">
        <f>IF(AND(Time!Q39=1,Time!Q8&gt;=Inputs!$F$39,Time!Q8&lt;=Inputs!$F$21),Inputs!$F$162/Inputs!$F$163,0)</f>
        <v/>
      </c>
      <c r="R31" s="19">
        <f>IF(AND(Time!R39=1,Time!R8&gt;=Inputs!$F$39,Time!R8&lt;=Inputs!$F$21),Inputs!$F$162/Inputs!$F$163,0)</f>
        <v/>
      </c>
      <c r="S31" s="19">
        <f>IF(AND(Time!S39=1,Time!S8&gt;=Inputs!$F$39,Time!S8&lt;=Inputs!$F$21),Inputs!$F$162/Inputs!$F$163,0)</f>
        <v/>
      </c>
      <c r="T31" s="19">
        <f>IF(AND(Time!T39=1,Time!T8&gt;=Inputs!$F$39,Time!T8&lt;=Inputs!$F$21),Inputs!$F$162/Inputs!$F$163,0)</f>
        <v/>
      </c>
      <c r="U31" s="19">
        <f>IF(AND(Time!U39=1,Time!U8&gt;=Inputs!$F$39,Time!U8&lt;=Inputs!$F$21),Inputs!$F$162/Inputs!$F$163,0)</f>
        <v/>
      </c>
      <c r="V31" s="19">
        <f>IF(AND(Time!V39=1,Time!V8&gt;=Inputs!$F$39,Time!V8&lt;=Inputs!$F$21),Inputs!$F$162/Inputs!$F$163,0)</f>
        <v/>
      </c>
      <c r="W31" s="19">
        <f>IF(AND(Time!W39=1,Time!W8&gt;=Inputs!$F$39,Time!W8&lt;=Inputs!$F$21),Inputs!$F$162/Inputs!$F$163,0)</f>
        <v/>
      </c>
      <c r="X31" s="19">
        <f>IF(AND(Time!X39=1,Time!X8&gt;=Inputs!$F$39,Time!X8&lt;=Inputs!$F$21),Inputs!$F$162/Inputs!$F$163,0)</f>
        <v/>
      </c>
      <c r="Y31" s="19">
        <f>IF(AND(Time!Y39=1,Time!Y8&gt;=Inputs!$F$39,Time!Y8&lt;=Inputs!$F$21),Inputs!$F$162/Inputs!$F$163,0)</f>
        <v/>
      </c>
      <c r="Z31" s="19">
        <f>IF(AND(Time!Z39=1,Time!Z8&gt;=Inputs!$F$39,Time!Z8&lt;=Inputs!$F$21),Inputs!$F$162/Inputs!$F$163,0)</f>
        <v/>
      </c>
      <c r="AA31" s="19">
        <f>IF(AND(Time!AA39=1,Time!AA8&gt;=Inputs!$F$39,Time!AA8&lt;=Inputs!$F$21),Inputs!$F$162/Inputs!$F$163,0)</f>
        <v/>
      </c>
      <c r="AB31" s="19">
        <f>IF(AND(Time!AB39=1,Time!AB8&gt;=Inputs!$F$39,Time!AB8&lt;=Inputs!$F$21),Inputs!$F$162/Inputs!$F$163,0)</f>
        <v/>
      </c>
      <c r="AC31" s="19">
        <f>IF(AND(Time!AC39=1,Time!AC8&gt;=Inputs!$F$39,Time!AC8&lt;=Inputs!$F$21),Inputs!$F$162/Inputs!$F$163,0)</f>
        <v/>
      </c>
      <c r="AD31" s="19">
        <f>IF(AND(Time!AD39=1,Time!AD8&gt;=Inputs!$F$39,Time!AD8&lt;=Inputs!$F$21),Inputs!$F$162/Inputs!$F$163,0)</f>
        <v/>
      </c>
      <c r="AE31" s="19">
        <f>IF(AND(Time!AE39=1,Time!AE8&gt;=Inputs!$F$39,Time!AE8&lt;=Inputs!$F$21),Inputs!$F$162/Inputs!$F$163,0)</f>
        <v/>
      </c>
      <c r="AF31" s="19">
        <f>IF(AND(Time!AF39=1,Time!AF8&gt;=Inputs!$F$39,Time!AF8&lt;=Inputs!$F$21),Inputs!$F$162/Inputs!$F$163,0)</f>
        <v/>
      </c>
      <c r="AG31" s="19">
        <f>IF(AND(Time!AG39=1,Time!AG8&gt;=Inputs!$F$39,Time!AG8&lt;=Inputs!$F$21),Inputs!$F$162/Inputs!$F$163,0)</f>
        <v/>
      </c>
      <c r="AH31" s="19">
        <f>IF(AND(Time!AH39=1,Time!AH8&gt;=Inputs!$F$39,Time!AH8&lt;=Inputs!$F$21),Inputs!$F$162/Inputs!$F$163,0)</f>
        <v/>
      </c>
      <c r="AI31" s="19">
        <f>IF(AND(Time!AI39=1,Time!AI8&gt;=Inputs!$F$39,Time!AI8&lt;=Inputs!$F$21),Inputs!$F$162/Inputs!$F$163,0)</f>
        <v/>
      </c>
      <c r="AJ31" s="19">
        <f>IF(AND(Time!AJ39=1,Time!AJ8&gt;=Inputs!$F$39,Time!AJ8&lt;=Inputs!$F$21),Inputs!$F$162/Inputs!$F$163,0)</f>
        <v/>
      </c>
      <c r="AK31" s="19">
        <f>IF(AND(Time!AK39=1,Time!AK8&gt;=Inputs!$F$39,Time!AK8&lt;=Inputs!$F$21),Inputs!$F$162/Inputs!$F$163,0)</f>
        <v/>
      </c>
      <c r="AL31" s="19">
        <f>IF(AND(Time!AL39=1,Time!AL8&gt;=Inputs!$F$39,Time!AL8&lt;=Inputs!$F$21),Inputs!$F$162/Inputs!$F$163,0)</f>
        <v/>
      </c>
      <c r="AM31" s="19">
        <f>IF(AND(Time!AM39=1,Time!AM8&gt;=Inputs!$F$39,Time!AM8&lt;=Inputs!$F$21),Inputs!$F$162/Inputs!$F$163,0)</f>
        <v/>
      </c>
      <c r="AN31" s="19">
        <f>IF(AND(Time!AN39=1,Time!AN8&gt;=Inputs!$F$39,Time!AN8&lt;=Inputs!$F$21),Inputs!$F$162/Inputs!$F$163,0)</f>
        <v/>
      </c>
      <c r="AO31" s="19">
        <f>IF(AND(Time!AO39=1,Time!AO8&gt;=Inputs!$F$39,Time!AO8&lt;=Inputs!$F$21),Inputs!$F$162/Inputs!$F$163,0)</f>
        <v/>
      </c>
      <c r="AP31" s="19">
        <f>IF(AND(Time!AP39=1,Time!AP8&gt;=Inputs!$F$39,Time!AP8&lt;=Inputs!$F$21),Inputs!$F$162/Inputs!$F$163,0)</f>
        <v/>
      </c>
      <c r="AQ31" s="19">
        <f>IF(AND(Time!AQ39=1,Time!AQ8&gt;=Inputs!$F$39,Time!AQ8&lt;=Inputs!$F$21),Inputs!$F$162/Inputs!$F$163,0)</f>
        <v/>
      </c>
      <c r="AR31" s="19">
        <f>IF(AND(Time!AR39=1,Time!AR8&gt;=Inputs!$F$39,Time!AR8&lt;=Inputs!$F$21),Inputs!$F$162/Inputs!$F$163,0)</f>
        <v/>
      </c>
      <c r="AS31" s="19">
        <f>IF(AND(Time!AS39=1,Time!AS8&gt;=Inputs!$F$39,Time!AS8&lt;=Inputs!$F$21),Inputs!$F$162/Inputs!$F$163,0)</f>
        <v/>
      </c>
      <c r="AT31" s="19">
        <f>IF(AND(Time!AT39=1,Time!AT8&gt;=Inputs!$F$39,Time!AT8&lt;=Inputs!$F$21),Inputs!$F$162/Inputs!$F$163,0)</f>
        <v/>
      </c>
      <c r="AU31" s="19">
        <f>IF(AND(Time!AU39=1,Time!AU8&gt;=Inputs!$F$39,Time!AU8&lt;=Inputs!$F$21),Inputs!$F$162/Inputs!$F$163,0)</f>
        <v/>
      </c>
      <c r="AV31" s="19">
        <f>IF(AND(Time!AV39=1,Time!AV8&gt;=Inputs!$F$39,Time!AV8&lt;=Inputs!$F$21),Inputs!$F$162/Inputs!$F$163,0)</f>
        <v/>
      </c>
      <c r="AW31" s="19">
        <f>IF(AND(Time!AW39=1,Time!AW8&gt;=Inputs!$F$39,Time!AW8&lt;=Inputs!$F$21),Inputs!$F$162/Inputs!$F$163,0)</f>
        <v/>
      </c>
      <c r="AX31" s="19">
        <f>IF(AND(Time!AX39=1,Time!AX8&gt;=Inputs!$F$39,Time!AX8&lt;=Inputs!$F$21),Inputs!$F$162/Inputs!$F$163,0)</f>
        <v/>
      </c>
      <c r="AY31" s="19">
        <f>IF(AND(Time!AY39=1,Time!AY8&gt;=Inputs!$F$39,Time!AY8&lt;=Inputs!$F$21),Inputs!$F$162/Inputs!$F$163,0)</f>
        <v/>
      </c>
      <c r="AZ31" s="19">
        <f>IF(AND(Time!AZ39=1,Time!AZ8&gt;=Inputs!$F$39,Time!AZ8&lt;=Inputs!$F$21),Inputs!$F$162/Inputs!$F$163,0)</f>
        <v/>
      </c>
      <c r="BA31" s="19">
        <f>IF(AND(Time!BA39=1,Time!BA8&gt;=Inputs!$F$39,Time!BA8&lt;=Inputs!$F$21),Inputs!$F$162/Inputs!$F$163,0)</f>
        <v/>
      </c>
      <c r="BB31" s="19">
        <f>IF(AND(Time!BB39=1,Time!BB8&gt;=Inputs!$F$39,Time!BB8&lt;=Inputs!$F$21),Inputs!$F$162/Inputs!$F$163,0)</f>
        <v/>
      </c>
      <c r="BC31" s="19">
        <f>IF(AND(Time!BC39=1,Time!BC8&gt;=Inputs!$F$39,Time!BC8&lt;=Inputs!$F$21),Inputs!$F$162/Inputs!$F$163,0)</f>
        <v/>
      </c>
      <c r="BD31" s="19">
        <f>IF(AND(Time!BD39=1,Time!BD8&gt;=Inputs!$F$39,Time!BD8&lt;=Inputs!$F$21),Inputs!$F$162/Inputs!$F$163,0)</f>
        <v/>
      </c>
      <c r="BE31" s="19">
        <f>IF(AND(Time!BE39=1,Time!BE8&gt;=Inputs!$F$39,Time!BE8&lt;=Inputs!$F$21),Inputs!$F$162/Inputs!$F$163,0)</f>
        <v/>
      </c>
      <c r="BF31" s="19">
        <f>IF(AND(Time!BF39=1,Time!BF8&gt;=Inputs!$F$39,Time!BF8&lt;=Inputs!$F$21),Inputs!$F$162/Inputs!$F$163,0)</f>
        <v/>
      </c>
      <c r="BG31" s="19">
        <f>IF(AND(Time!BG39=1,Time!BG8&gt;=Inputs!$F$39,Time!BG8&lt;=Inputs!$F$21),Inputs!$F$162/Inputs!$F$163,0)</f>
        <v/>
      </c>
      <c r="BH31" s="19">
        <f>IF(AND(Time!BH39=1,Time!BH8&gt;=Inputs!$F$39,Time!BH8&lt;=Inputs!$F$21),Inputs!$F$162/Inputs!$F$163,0)</f>
        <v/>
      </c>
      <c r="BI31" s="19">
        <f>IF(AND(Time!BI39=1,Time!BI8&gt;=Inputs!$F$39,Time!BI8&lt;=Inputs!$F$21),Inputs!$F$162/Inputs!$F$163,0)</f>
        <v/>
      </c>
      <c r="BJ31" s="19">
        <f>IF(AND(Time!BJ39=1,Time!BJ8&gt;=Inputs!$F$39,Time!BJ8&lt;=Inputs!$F$21),Inputs!$F$162/Inputs!$F$163,0)</f>
        <v/>
      </c>
      <c r="BK31" s="19">
        <f>IF(AND(Time!BK39=1,Time!BK8&gt;=Inputs!$F$39,Time!BK8&lt;=Inputs!$F$21),Inputs!$F$162/Inputs!$F$163,0)</f>
        <v/>
      </c>
      <c r="BL31" s="19">
        <f>IF(AND(Time!BL39=1,Time!BL8&gt;=Inputs!$F$39,Time!BL8&lt;=Inputs!$F$21),Inputs!$F$162/Inputs!$F$163,0)</f>
        <v/>
      </c>
      <c r="BM31" s="19">
        <f>IF(AND(Time!BM39=1,Time!BM8&gt;=Inputs!$F$39,Time!BM8&lt;=Inputs!$F$21),Inputs!$F$162/Inputs!$F$163,0)</f>
        <v/>
      </c>
      <c r="BN31" s="19">
        <f>IF(AND(Time!BN39=1,Time!BN8&gt;=Inputs!$F$39,Time!BN8&lt;=Inputs!$F$21),Inputs!$F$162/Inputs!$F$163,0)</f>
        <v/>
      </c>
      <c r="BO31" s="19">
        <f>IF(AND(Time!BO39=1,Time!BO8&gt;=Inputs!$F$39,Time!BO8&lt;=Inputs!$F$21),Inputs!$F$162/Inputs!$F$163,0)</f>
        <v/>
      </c>
      <c r="BP31" s="19">
        <f>IF(AND(Time!BP39=1,Time!BP8&gt;=Inputs!$F$39,Time!BP8&lt;=Inputs!$F$21),Inputs!$F$162/Inputs!$F$163,0)</f>
        <v/>
      </c>
      <c r="BQ31" s="19">
        <f>IF(AND(Time!BQ39=1,Time!BQ8&gt;=Inputs!$F$39,Time!BQ8&lt;=Inputs!$F$21),Inputs!$F$162/Inputs!$F$163,0)</f>
        <v/>
      </c>
      <c r="BR31" s="19">
        <f>IF(AND(Time!BR39=1,Time!BR8&gt;=Inputs!$F$39,Time!BR8&lt;=Inputs!$F$21),Inputs!$F$162/Inputs!$F$163,0)</f>
        <v/>
      </c>
      <c r="BS31" s="19">
        <f>IF(AND(Time!BS39=1,Time!BS8&gt;=Inputs!$F$39,Time!BS8&lt;=Inputs!$F$21),Inputs!$F$162/Inputs!$F$163,0)</f>
        <v/>
      </c>
      <c r="BT31" s="19">
        <f>IF(AND(Time!BT39=1,Time!BT8&gt;=Inputs!$F$39,Time!BT8&lt;=Inputs!$F$21),Inputs!$F$162/Inputs!$F$163,0)</f>
        <v/>
      </c>
      <c r="BU31" s="19">
        <f>IF(AND(Time!BU39=1,Time!BU8&gt;=Inputs!$F$39,Time!BU8&lt;=Inputs!$F$21),Inputs!$F$162/Inputs!$F$163,0)</f>
        <v/>
      </c>
      <c r="BV31" s="19">
        <f>IF(AND(Time!BV39=1,Time!BV8&gt;=Inputs!$F$39,Time!BV8&lt;=Inputs!$F$21),Inputs!$F$162/Inputs!$F$163,0)</f>
        <v/>
      </c>
      <c r="BW31" s="19">
        <f>IF(AND(Time!BW39=1,Time!BW8&gt;=Inputs!$F$39,Time!BW8&lt;=Inputs!$F$21),Inputs!$F$162/Inputs!$F$163,0)</f>
        <v/>
      </c>
      <c r="BX31" s="19">
        <f>IF(AND(Time!BX39=1,Time!BX8&gt;=Inputs!$F$39,Time!BX8&lt;=Inputs!$F$21),Inputs!$F$162/Inputs!$F$163,0)</f>
        <v/>
      </c>
      <c r="BY31" s="19">
        <f>IF(AND(Time!BY39=1,Time!BY8&gt;=Inputs!$F$39,Time!BY8&lt;=Inputs!$F$21),Inputs!$F$162/Inputs!$F$163,0)</f>
        <v/>
      </c>
      <c r="BZ31" s="19">
        <f>IF(AND(Time!BZ39=1,Time!BZ8&gt;=Inputs!$F$39,Time!BZ8&lt;=Inputs!$F$21),Inputs!$F$162/Inputs!$F$163,0)</f>
        <v/>
      </c>
      <c r="CA31" s="19">
        <f>IF(AND(Time!CA39=1,Time!CA8&gt;=Inputs!$F$39,Time!CA8&lt;=Inputs!$F$21),Inputs!$F$162/Inputs!$F$163,0)</f>
        <v/>
      </c>
      <c r="CB31" s="19">
        <f>IF(AND(Time!CB39=1,Time!CB8&gt;=Inputs!$F$39,Time!CB8&lt;=Inputs!$F$21),Inputs!$F$162/Inputs!$F$163,0)</f>
        <v/>
      </c>
      <c r="CC31" s="19">
        <f>IF(AND(Time!CC39=1,Time!CC8&gt;=Inputs!$F$39,Time!CC8&lt;=Inputs!$F$21),Inputs!$F$162/Inputs!$F$163,0)</f>
        <v/>
      </c>
      <c r="CD31" s="19">
        <f>IF(AND(Time!CD39=1,Time!CD8&gt;=Inputs!$F$39,Time!CD8&lt;=Inputs!$F$21),Inputs!$F$162/Inputs!$F$163,0)</f>
        <v/>
      </c>
      <c r="CE31" s="19">
        <f>IF(AND(Time!CE39=1,Time!CE8&gt;=Inputs!$F$39,Time!CE8&lt;=Inputs!$F$21),Inputs!$F$162/Inputs!$F$163,0)</f>
        <v/>
      </c>
      <c r="CF31" s="19">
        <f>IF(AND(Time!CF39=1,Time!CF8&gt;=Inputs!$F$39,Time!CF8&lt;=Inputs!$F$21),Inputs!$F$162/Inputs!$F$163,0)</f>
        <v/>
      </c>
      <c r="CG31" s="19">
        <f>IF(AND(Time!CG39=1,Time!CG8&gt;=Inputs!$F$39,Time!CG8&lt;=Inputs!$F$21),Inputs!$F$162/Inputs!$F$163,0)</f>
        <v/>
      </c>
      <c r="CH31" s="19">
        <f>IF(AND(Time!CH39=1,Time!CH8&gt;=Inputs!$F$39,Time!CH8&lt;=Inputs!$F$21),Inputs!$F$162/Inputs!$F$163,0)</f>
        <v/>
      </c>
      <c r="CI31" s="19">
        <f>IF(AND(Time!CI39=1,Time!CI8&gt;=Inputs!$F$39,Time!CI8&lt;=Inputs!$F$21),Inputs!$F$162/Inputs!$F$163,0)</f>
        <v/>
      </c>
      <c r="CJ31" s="19">
        <f>IF(AND(Time!CJ39=1,Time!CJ8&gt;=Inputs!$F$39,Time!CJ8&lt;=Inputs!$F$21),Inputs!$F$162/Inputs!$F$163,0)</f>
        <v/>
      </c>
      <c r="CK31" s="19">
        <f>IF(AND(Time!CK39=1,Time!CK8&gt;=Inputs!$F$39,Time!CK8&lt;=Inputs!$F$21),Inputs!$F$162/Inputs!$F$163,0)</f>
        <v/>
      </c>
      <c r="CL31" s="19">
        <f>IF(AND(Time!CL39=1,Time!CL8&gt;=Inputs!$F$39,Time!CL8&lt;=Inputs!$F$21),Inputs!$F$162/Inputs!$F$163,0)</f>
        <v/>
      </c>
      <c r="CM31" s="19">
        <f>IF(AND(Time!CM39=1,Time!CM8&gt;=Inputs!$F$39,Time!CM8&lt;=Inputs!$F$21),Inputs!$F$162/Inputs!$F$163,0)</f>
        <v/>
      </c>
      <c r="CN31" s="19">
        <f>IF(AND(Time!CN39=1,Time!CN8&gt;=Inputs!$F$39,Time!CN8&lt;=Inputs!$F$21),Inputs!$F$162/Inputs!$F$163,0)</f>
        <v/>
      </c>
      <c r="CO31" s="19">
        <f>IF(AND(Time!CO39=1,Time!CO8&gt;=Inputs!$F$39,Time!CO8&lt;=Inputs!$F$21),Inputs!$F$162/Inputs!$F$163,0)</f>
        <v/>
      </c>
      <c r="CP31" s="19">
        <f>IF(AND(Time!CP39=1,Time!CP8&gt;=Inputs!$F$39,Time!CP8&lt;=Inputs!$F$21),Inputs!$F$162/Inputs!$F$163,0)</f>
        <v/>
      </c>
      <c r="CQ31" s="19">
        <f>IF(AND(Time!CQ39=1,Time!CQ8&gt;=Inputs!$F$39,Time!CQ8&lt;=Inputs!$F$21),Inputs!$F$162/Inputs!$F$163,0)</f>
        <v/>
      </c>
      <c r="CR31" s="19">
        <f>IF(AND(Time!CR39=1,Time!CR8&gt;=Inputs!$F$39,Time!CR8&lt;=Inputs!$F$21),Inputs!$F$162/Inputs!$F$163,0)</f>
        <v/>
      </c>
      <c r="CS31" s="19">
        <f>IF(AND(Time!CS39=1,Time!CS8&gt;=Inputs!$F$39,Time!CS8&lt;=Inputs!$F$21),Inputs!$F$162/Inputs!$F$163,0)</f>
        <v/>
      </c>
      <c r="CT31" s="19">
        <f>IF(AND(Time!CT39=1,Time!CT8&gt;=Inputs!$F$39,Time!CT8&lt;=Inputs!$F$21),Inputs!$F$162/Inputs!$F$163,0)</f>
        <v/>
      </c>
      <c r="CU31" s="19">
        <f>IF(AND(Time!CU39=1,Time!CU8&gt;=Inputs!$F$39,Time!CU8&lt;=Inputs!$F$21),Inputs!$F$162/Inputs!$F$163,0)</f>
        <v/>
      </c>
      <c r="CV31" s="19">
        <f>IF(AND(Time!CV39=1,Time!CV8&gt;=Inputs!$F$39,Time!CV8&lt;=Inputs!$F$21),Inputs!$F$162/Inputs!$F$163,0)</f>
        <v/>
      </c>
      <c r="CW31" s="19">
        <f>IF(AND(Time!CW39=1,Time!CW8&gt;=Inputs!$F$39,Time!CW8&lt;=Inputs!$F$21),Inputs!$F$162/Inputs!$F$163,0)</f>
        <v/>
      </c>
      <c r="CX31" s="19">
        <f>IF(AND(Time!CX39=1,Time!CX8&gt;=Inputs!$F$39,Time!CX8&lt;=Inputs!$F$21),Inputs!$F$162/Inputs!$F$163,0)</f>
        <v/>
      </c>
      <c r="CY31" s="19">
        <f>IF(AND(Time!CY39=1,Time!CY8&gt;=Inputs!$F$39,Time!CY8&lt;=Inputs!$F$21),Inputs!$F$162/Inputs!$F$163,0)</f>
        <v/>
      </c>
      <c r="CZ31" s="19">
        <f>IF(AND(Time!CZ39=1,Time!CZ8&gt;=Inputs!$F$39,Time!CZ8&lt;=Inputs!$F$21),Inputs!$F$162/Inputs!$F$163,0)</f>
        <v/>
      </c>
      <c r="DA31" s="19">
        <f>IF(AND(Time!DA39=1,Time!DA8&gt;=Inputs!$F$39,Time!DA8&lt;=Inputs!$F$21),Inputs!$F$162/Inputs!$F$163,0)</f>
        <v/>
      </c>
      <c r="DB31" s="19">
        <f>IF(AND(Time!DB39=1,Time!DB8&gt;=Inputs!$F$39,Time!DB8&lt;=Inputs!$F$21),Inputs!$F$162/Inputs!$F$163,0)</f>
        <v/>
      </c>
    </row>
    <row r="32">
      <c r="D32" t="inlineStr">
        <is>
          <t>Performance payments to BRTA (actual history)</t>
        </is>
      </c>
      <c r="E32" t="inlineStr">
        <is>
          <t>ARD m</t>
        </is>
      </c>
      <c r="G32" s="19">
        <f>SUM(J32:DB32)</f>
        <v/>
      </c>
      <c r="J32" s="19">
        <f>Time!J39*IFERROR(INDEX(Inputs!$J$265:$W$265,MATCH(Time!J13,Inputs!$J$264:$W$264,0)),0)</f>
        <v/>
      </c>
      <c r="K32" s="19">
        <f>Time!K39*IFERROR(INDEX(Inputs!$J$265:$W$265,MATCH(Time!K13,Inputs!$J$264:$W$264,0)),0)</f>
        <v/>
      </c>
      <c r="L32" s="19">
        <f>Time!L39*IFERROR(INDEX(Inputs!$J$265:$W$265,MATCH(Time!L13,Inputs!$J$264:$W$264,0)),0)</f>
        <v/>
      </c>
      <c r="M32" s="19">
        <f>Time!M39*IFERROR(INDEX(Inputs!$J$265:$W$265,MATCH(Time!M13,Inputs!$J$264:$W$264,0)),0)</f>
        <v/>
      </c>
      <c r="N32" s="19">
        <f>Time!N39*IFERROR(INDEX(Inputs!$J$265:$W$265,MATCH(Time!N13,Inputs!$J$264:$W$264,0)),0)</f>
        <v/>
      </c>
      <c r="O32" s="19">
        <f>Time!O39*IFERROR(INDEX(Inputs!$J$265:$W$265,MATCH(Time!O13,Inputs!$J$264:$W$264,0)),0)</f>
        <v/>
      </c>
      <c r="P32" s="19">
        <f>Time!P39*IFERROR(INDEX(Inputs!$J$265:$W$265,MATCH(Time!P13,Inputs!$J$264:$W$264,0)),0)</f>
        <v/>
      </c>
      <c r="Q32" s="19">
        <f>Time!Q39*IFERROR(INDEX(Inputs!$J$265:$W$265,MATCH(Time!Q13,Inputs!$J$264:$W$264,0)),0)</f>
        <v/>
      </c>
      <c r="R32" s="19">
        <f>Time!R39*IFERROR(INDEX(Inputs!$J$265:$W$265,MATCH(Time!R13,Inputs!$J$264:$W$264,0)),0)</f>
        <v/>
      </c>
      <c r="S32" s="19">
        <f>Time!S39*IFERROR(INDEX(Inputs!$J$265:$W$265,MATCH(Time!S13,Inputs!$J$264:$W$264,0)),0)</f>
        <v/>
      </c>
      <c r="T32" s="19">
        <f>Time!T39*IFERROR(INDEX(Inputs!$J$265:$W$265,MATCH(Time!T13,Inputs!$J$264:$W$264,0)),0)</f>
        <v/>
      </c>
      <c r="U32" s="19">
        <f>Time!U39*IFERROR(INDEX(Inputs!$J$265:$W$265,MATCH(Time!U13,Inputs!$J$264:$W$264,0)),0)</f>
        <v/>
      </c>
      <c r="V32" s="19">
        <f>Time!V39*IFERROR(INDEX(Inputs!$J$265:$W$265,MATCH(Time!V13,Inputs!$J$264:$W$264,0)),0)</f>
        <v/>
      </c>
      <c r="W32" s="19">
        <f>Time!W39*IFERROR(INDEX(Inputs!$J$265:$W$265,MATCH(Time!W13,Inputs!$J$264:$W$264,0)),0)</f>
        <v/>
      </c>
      <c r="X32" s="19">
        <f>Time!X39*IFERROR(INDEX(Inputs!$J$265:$W$265,MATCH(Time!X13,Inputs!$J$264:$W$264,0)),0)</f>
        <v/>
      </c>
      <c r="Y32" s="19">
        <f>Time!Y39*IFERROR(INDEX(Inputs!$J$265:$W$265,MATCH(Time!Y13,Inputs!$J$264:$W$264,0)),0)</f>
        <v/>
      </c>
      <c r="Z32" s="19">
        <f>Time!Z39*IFERROR(INDEX(Inputs!$J$265:$W$265,MATCH(Time!Z13,Inputs!$J$264:$W$264,0)),0)</f>
        <v/>
      </c>
      <c r="AA32" s="19">
        <f>Time!AA39*IFERROR(INDEX(Inputs!$J$265:$W$265,MATCH(Time!AA13,Inputs!$J$264:$W$264,0)),0)</f>
        <v/>
      </c>
      <c r="AB32" s="19">
        <f>Time!AB39*IFERROR(INDEX(Inputs!$J$265:$W$265,MATCH(Time!AB13,Inputs!$J$264:$W$264,0)),0)</f>
        <v/>
      </c>
      <c r="AC32" s="19">
        <f>Time!AC39*IFERROR(INDEX(Inputs!$J$265:$W$265,MATCH(Time!AC13,Inputs!$J$264:$W$264,0)),0)</f>
        <v/>
      </c>
      <c r="AD32" s="19">
        <f>Time!AD39*IFERROR(INDEX(Inputs!$J$265:$W$265,MATCH(Time!AD13,Inputs!$J$264:$W$264,0)),0)</f>
        <v/>
      </c>
      <c r="AE32" s="19">
        <f>Time!AE39*IFERROR(INDEX(Inputs!$J$265:$W$265,MATCH(Time!AE13,Inputs!$J$264:$W$264,0)),0)</f>
        <v/>
      </c>
      <c r="AF32" s="19">
        <f>Time!AF39*IFERROR(INDEX(Inputs!$J$265:$W$265,MATCH(Time!AF13,Inputs!$J$264:$W$264,0)),0)</f>
        <v/>
      </c>
      <c r="AG32" s="19">
        <f>Time!AG39*IFERROR(INDEX(Inputs!$J$265:$W$265,MATCH(Time!AG13,Inputs!$J$264:$W$264,0)),0)</f>
        <v/>
      </c>
      <c r="AH32" s="19">
        <f>Time!AH39*IFERROR(INDEX(Inputs!$J$265:$W$265,MATCH(Time!AH13,Inputs!$J$264:$W$264,0)),0)</f>
        <v/>
      </c>
      <c r="AI32" s="19">
        <f>Time!AI39*IFERROR(INDEX(Inputs!$J$265:$W$265,MATCH(Time!AI13,Inputs!$J$264:$W$264,0)),0)</f>
        <v/>
      </c>
      <c r="AJ32" s="19">
        <f>Time!AJ39*IFERROR(INDEX(Inputs!$J$265:$W$265,MATCH(Time!AJ13,Inputs!$J$264:$W$264,0)),0)</f>
        <v/>
      </c>
      <c r="AK32" s="19">
        <f>Time!AK39*IFERROR(INDEX(Inputs!$J$265:$W$265,MATCH(Time!AK13,Inputs!$J$264:$W$264,0)),0)</f>
        <v/>
      </c>
      <c r="AL32" s="19">
        <f>Time!AL39*IFERROR(INDEX(Inputs!$J$265:$W$265,MATCH(Time!AL13,Inputs!$J$264:$W$264,0)),0)</f>
        <v/>
      </c>
      <c r="AM32" s="19">
        <f>Time!AM39*IFERROR(INDEX(Inputs!$J$265:$W$265,MATCH(Time!AM13,Inputs!$J$264:$W$264,0)),0)</f>
        <v/>
      </c>
      <c r="AN32" s="19">
        <f>Time!AN39*IFERROR(INDEX(Inputs!$J$265:$W$265,MATCH(Time!AN13,Inputs!$J$264:$W$264,0)),0)</f>
        <v/>
      </c>
      <c r="AO32" s="19">
        <f>Time!AO39*IFERROR(INDEX(Inputs!$J$265:$W$265,MATCH(Time!AO13,Inputs!$J$264:$W$264,0)),0)</f>
        <v/>
      </c>
      <c r="AP32" s="19">
        <f>Time!AP39*IFERROR(INDEX(Inputs!$J$265:$W$265,MATCH(Time!AP13,Inputs!$J$264:$W$264,0)),0)</f>
        <v/>
      </c>
      <c r="AQ32" s="19">
        <f>Time!AQ39*IFERROR(INDEX(Inputs!$J$265:$W$265,MATCH(Time!AQ13,Inputs!$J$264:$W$264,0)),0)</f>
        <v/>
      </c>
      <c r="AR32" s="19">
        <f>Time!AR39*IFERROR(INDEX(Inputs!$J$265:$W$265,MATCH(Time!AR13,Inputs!$J$264:$W$264,0)),0)</f>
        <v/>
      </c>
      <c r="AS32" s="19">
        <f>Time!AS39*IFERROR(INDEX(Inputs!$J$265:$W$265,MATCH(Time!AS13,Inputs!$J$264:$W$264,0)),0)</f>
        <v/>
      </c>
      <c r="AT32" s="19">
        <f>Time!AT39*IFERROR(INDEX(Inputs!$J$265:$W$265,MATCH(Time!AT13,Inputs!$J$264:$W$264,0)),0)</f>
        <v/>
      </c>
      <c r="AU32" s="19">
        <f>Time!AU39*IFERROR(INDEX(Inputs!$J$265:$W$265,MATCH(Time!AU13,Inputs!$J$264:$W$264,0)),0)</f>
        <v/>
      </c>
      <c r="AV32" s="19">
        <f>Time!AV39*IFERROR(INDEX(Inputs!$J$265:$W$265,MATCH(Time!AV13,Inputs!$J$264:$W$264,0)),0)</f>
        <v/>
      </c>
      <c r="AW32" s="19">
        <f>Time!AW39*IFERROR(INDEX(Inputs!$J$265:$W$265,MATCH(Time!AW13,Inputs!$J$264:$W$264,0)),0)</f>
        <v/>
      </c>
      <c r="AX32" s="19">
        <f>Time!AX39*IFERROR(INDEX(Inputs!$J$265:$W$265,MATCH(Time!AX13,Inputs!$J$264:$W$264,0)),0)</f>
        <v/>
      </c>
      <c r="AY32" s="19">
        <f>Time!AY39*IFERROR(INDEX(Inputs!$J$265:$W$265,MATCH(Time!AY13,Inputs!$J$264:$W$264,0)),0)</f>
        <v/>
      </c>
      <c r="AZ32" s="19">
        <f>Time!AZ39*IFERROR(INDEX(Inputs!$J$265:$W$265,MATCH(Time!AZ13,Inputs!$J$264:$W$264,0)),0)</f>
        <v/>
      </c>
      <c r="BA32" s="19">
        <f>Time!BA39*IFERROR(INDEX(Inputs!$J$265:$W$265,MATCH(Time!BA13,Inputs!$J$264:$W$264,0)),0)</f>
        <v/>
      </c>
      <c r="BB32" s="19">
        <f>Time!BB39*IFERROR(INDEX(Inputs!$J$265:$W$265,MATCH(Time!BB13,Inputs!$J$264:$W$264,0)),0)</f>
        <v/>
      </c>
      <c r="BC32" s="19">
        <f>Time!BC39*IFERROR(INDEX(Inputs!$J$265:$W$265,MATCH(Time!BC13,Inputs!$J$264:$W$264,0)),0)</f>
        <v/>
      </c>
      <c r="BD32" s="19">
        <f>Time!BD39*IFERROR(INDEX(Inputs!$J$265:$W$265,MATCH(Time!BD13,Inputs!$J$264:$W$264,0)),0)</f>
        <v/>
      </c>
      <c r="BE32" s="19">
        <f>Time!BE39*IFERROR(INDEX(Inputs!$J$265:$W$265,MATCH(Time!BE13,Inputs!$J$264:$W$264,0)),0)</f>
        <v/>
      </c>
      <c r="BF32" s="19">
        <f>Time!BF39*IFERROR(INDEX(Inputs!$J$265:$W$265,MATCH(Time!BF13,Inputs!$J$264:$W$264,0)),0)</f>
        <v/>
      </c>
      <c r="BG32" s="19">
        <f>Time!BG39*IFERROR(INDEX(Inputs!$J$265:$W$265,MATCH(Time!BG13,Inputs!$J$264:$W$264,0)),0)</f>
        <v/>
      </c>
      <c r="BH32" s="19">
        <f>Time!BH39*IFERROR(INDEX(Inputs!$J$265:$W$265,MATCH(Time!BH13,Inputs!$J$264:$W$264,0)),0)</f>
        <v/>
      </c>
      <c r="BI32" s="19">
        <f>Time!BI39*IFERROR(INDEX(Inputs!$J$265:$W$265,MATCH(Time!BI13,Inputs!$J$264:$W$264,0)),0)</f>
        <v/>
      </c>
      <c r="BJ32" s="19">
        <f>Time!BJ39*IFERROR(INDEX(Inputs!$J$265:$W$265,MATCH(Time!BJ13,Inputs!$J$264:$W$264,0)),0)</f>
        <v/>
      </c>
      <c r="BK32" s="19">
        <f>Time!BK39*IFERROR(INDEX(Inputs!$J$265:$W$265,MATCH(Time!BK13,Inputs!$J$264:$W$264,0)),0)</f>
        <v/>
      </c>
      <c r="BL32" s="19">
        <f>Time!BL39*IFERROR(INDEX(Inputs!$J$265:$W$265,MATCH(Time!BL13,Inputs!$J$264:$W$264,0)),0)</f>
        <v/>
      </c>
      <c r="BM32" s="19">
        <f>Time!BM39*IFERROR(INDEX(Inputs!$J$265:$W$265,MATCH(Time!BM13,Inputs!$J$264:$W$264,0)),0)</f>
        <v/>
      </c>
      <c r="BN32" s="19">
        <f>Time!BN39*IFERROR(INDEX(Inputs!$J$265:$W$265,MATCH(Time!BN13,Inputs!$J$264:$W$264,0)),0)</f>
        <v/>
      </c>
      <c r="BO32" s="19">
        <f>Time!BO39*IFERROR(INDEX(Inputs!$J$265:$W$265,MATCH(Time!BO13,Inputs!$J$264:$W$264,0)),0)</f>
        <v/>
      </c>
      <c r="BP32" s="19">
        <f>Time!BP39*IFERROR(INDEX(Inputs!$J$265:$W$265,MATCH(Time!BP13,Inputs!$J$264:$W$264,0)),0)</f>
        <v/>
      </c>
      <c r="BQ32" s="19">
        <f>Time!BQ39*IFERROR(INDEX(Inputs!$J$265:$W$265,MATCH(Time!BQ13,Inputs!$J$264:$W$264,0)),0)</f>
        <v/>
      </c>
      <c r="BR32" s="19">
        <f>Time!BR39*IFERROR(INDEX(Inputs!$J$265:$W$265,MATCH(Time!BR13,Inputs!$J$264:$W$264,0)),0)</f>
        <v/>
      </c>
      <c r="BS32" s="19">
        <f>Time!BS39*IFERROR(INDEX(Inputs!$J$265:$W$265,MATCH(Time!BS13,Inputs!$J$264:$W$264,0)),0)</f>
        <v/>
      </c>
      <c r="BT32" s="19">
        <f>Time!BT39*IFERROR(INDEX(Inputs!$J$265:$W$265,MATCH(Time!BT13,Inputs!$J$264:$W$264,0)),0)</f>
        <v/>
      </c>
      <c r="BU32" s="19">
        <f>Time!BU39*IFERROR(INDEX(Inputs!$J$265:$W$265,MATCH(Time!BU13,Inputs!$J$264:$W$264,0)),0)</f>
        <v/>
      </c>
      <c r="BV32" s="19">
        <f>Time!BV39*IFERROR(INDEX(Inputs!$J$265:$W$265,MATCH(Time!BV13,Inputs!$J$264:$W$264,0)),0)</f>
        <v/>
      </c>
      <c r="BW32" s="19">
        <f>Time!BW39*IFERROR(INDEX(Inputs!$J$265:$W$265,MATCH(Time!BW13,Inputs!$J$264:$W$264,0)),0)</f>
        <v/>
      </c>
      <c r="BX32" s="19">
        <f>Time!BX39*IFERROR(INDEX(Inputs!$J$265:$W$265,MATCH(Time!BX13,Inputs!$J$264:$W$264,0)),0)</f>
        <v/>
      </c>
      <c r="BY32" s="19">
        <f>Time!BY39*IFERROR(INDEX(Inputs!$J$265:$W$265,MATCH(Time!BY13,Inputs!$J$264:$W$264,0)),0)</f>
        <v/>
      </c>
      <c r="BZ32" s="19">
        <f>Time!BZ39*IFERROR(INDEX(Inputs!$J$265:$W$265,MATCH(Time!BZ13,Inputs!$J$264:$W$264,0)),0)</f>
        <v/>
      </c>
      <c r="CA32" s="19">
        <f>Time!CA39*IFERROR(INDEX(Inputs!$J$265:$W$265,MATCH(Time!CA13,Inputs!$J$264:$W$264,0)),0)</f>
        <v/>
      </c>
      <c r="CB32" s="19">
        <f>Time!CB39*IFERROR(INDEX(Inputs!$J$265:$W$265,MATCH(Time!CB13,Inputs!$J$264:$W$264,0)),0)</f>
        <v/>
      </c>
      <c r="CC32" s="19">
        <f>Time!CC39*IFERROR(INDEX(Inputs!$J$265:$W$265,MATCH(Time!CC13,Inputs!$J$264:$W$264,0)),0)</f>
        <v/>
      </c>
      <c r="CD32" s="19">
        <f>Time!CD39*IFERROR(INDEX(Inputs!$J$265:$W$265,MATCH(Time!CD13,Inputs!$J$264:$W$264,0)),0)</f>
        <v/>
      </c>
      <c r="CE32" s="19">
        <f>Time!CE39*IFERROR(INDEX(Inputs!$J$265:$W$265,MATCH(Time!CE13,Inputs!$J$264:$W$264,0)),0)</f>
        <v/>
      </c>
      <c r="CF32" s="19">
        <f>Time!CF39*IFERROR(INDEX(Inputs!$J$265:$W$265,MATCH(Time!CF13,Inputs!$J$264:$W$264,0)),0)</f>
        <v/>
      </c>
      <c r="CG32" s="19">
        <f>Time!CG39*IFERROR(INDEX(Inputs!$J$265:$W$265,MATCH(Time!CG13,Inputs!$J$264:$W$264,0)),0)</f>
        <v/>
      </c>
      <c r="CH32" s="19">
        <f>Time!CH39*IFERROR(INDEX(Inputs!$J$265:$W$265,MATCH(Time!CH13,Inputs!$J$264:$W$264,0)),0)</f>
        <v/>
      </c>
      <c r="CI32" s="19">
        <f>Time!CI39*IFERROR(INDEX(Inputs!$J$265:$W$265,MATCH(Time!CI13,Inputs!$J$264:$W$264,0)),0)</f>
        <v/>
      </c>
      <c r="CJ32" s="19">
        <f>Time!CJ39*IFERROR(INDEX(Inputs!$J$265:$W$265,MATCH(Time!CJ13,Inputs!$J$264:$W$264,0)),0)</f>
        <v/>
      </c>
      <c r="CK32" s="19">
        <f>Time!CK39*IFERROR(INDEX(Inputs!$J$265:$W$265,MATCH(Time!CK13,Inputs!$J$264:$W$264,0)),0)</f>
        <v/>
      </c>
      <c r="CL32" s="19">
        <f>Time!CL39*IFERROR(INDEX(Inputs!$J$265:$W$265,MATCH(Time!CL13,Inputs!$J$264:$W$264,0)),0)</f>
        <v/>
      </c>
      <c r="CM32" s="19">
        <f>Time!CM39*IFERROR(INDEX(Inputs!$J$265:$W$265,MATCH(Time!CM13,Inputs!$J$264:$W$264,0)),0)</f>
        <v/>
      </c>
      <c r="CN32" s="19">
        <f>Time!CN39*IFERROR(INDEX(Inputs!$J$265:$W$265,MATCH(Time!CN13,Inputs!$J$264:$W$264,0)),0)</f>
        <v/>
      </c>
      <c r="CO32" s="19">
        <f>Time!CO39*IFERROR(INDEX(Inputs!$J$265:$W$265,MATCH(Time!CO13,Inputs!$J$264:$W$264,0)),0)</f>
        <v/>
      </c>
      <c r="CP32" s="19">
        <f>Time!CP39*IFERROR(INDEX(Inputs!$J$265:$W$265,MATCH(Time!CP13,Inputs!$J$264:$W$264,0)),0)</f>
        <v/>
      </c>
      <c r="CQ32" s="19">
        <f>Time!CQ39*IFERROR(INDEX(Inputs!$J$265:$W$265,MATCH(Time!CQ13,Inputs!$J$264:$W$264,0)),0)</f>
        <v/>
      </c>
      <c r="CR32" s="19">
        <f>Time!CR39*IFERROR(INDEX(Inputs!$J$265:$W$265,MATCH(Time!CR13,Inputs!$J$264:$W$264,0)),0)</f>
        <v/>
      </c>
      <c r="CS32" s="19">
        <f>Time!CS39*IFERROR(INDEX(Inputs!$J$265:$W$265,MATCH(Time!CS13,Inputs!$J$264:$W$264,0)),0)</f>
        <v/>
      </c>
      <c r="CT32" s="19">
        <f>Time!CT39*IFERROR(INDEX(Inputs!$J$265:$W$265,MATCH(Time!CT13,Inputs!$J$264:$W$264,0)),0)</f>
        <v/>
      </c>
      <c r="CU32" s="19">
        <f>Time!CU39*IFERROR(INDEX(Inputs!$J$265:$W$265,MATCH(Time!CU13,Inputs!$J$264:$W$264,0)),0)</f>
        <v/>
      </c>
      <c r="CV32" s="19">
        <f>Time!CV39*IFERROR(INDEX(Inputs!$J$265:$W$265,MATCH(Time!CV13,Inputs!$J$264:$W$264,0)),0)</f>
        <v/>
      </c>
      <c r="CW32" s="19">
        <f>Time!CW39*IFERROR(INDEX(Inputs!$J$265:$W$265,MATCH(Time!CW13,Inputs!$J$264:$W$264,0)),0)</f>
        <v/>
      </c>
      <c r="CX32" s="19">
        <f>Time!CX39*IFERROR(INDEX(Inputs!$J$265:$W$265,MATCH(Time!CX13,Inputs!$J$264:$W$264,0)),0)</f>
        <v/>
      </c>
      <c r="CY32" s="19">
        <f>Time!CY39*IFERROR(INDEX(Inputs!$J$265:$W$265,MATCH(Time!CY13,Inputs!$J$264:$W$264,0)),0)</f>
        <v/>
      </c>
      <c r="CZ32" s="19">
        <f>Time!CZ39*IFERROR(INDEX(Inputs!$J$265:$W$265,MATCH(Time!CZ13,Inputs!$J$264:$W$264,0)),0)</f>
        <v/>
      </c>
      <c r="DA32" s="19">
        <f>Time!DA39*IFERROR(INDEX(Inputs!$J$265:$W$265,MATCH(Time!DA13,Inputs!$J$264:$W$264,0)),0)</f>
        <v/>
      </c>
      <c r="DB32" s="19">
        <f>Time!DB39*IFERROR(INDEX(Inputs!$J$265:$W$265,MATCH(Time!DB13,Inputs!$J$264:$W$264,0)),0)</f>
        <v/>
      </c>
    </row>
    <row r="33">
      <c r="D33" t="inlineStr">
        <is>
          <t>EBITDA</t>
        </is>
      </c>
      <c r="E33" t="inlineStr">
        <is>
          <t>ARD m</t>
        </is>
      </c>
      <c r="G33" s="19">
        <f>SUM(J33:DB33)</f>
        <v/>
      </c>
      <c r="J33" s="19">
        <f>J20+J21-J29-J30-J31-J32</f>
        <v/>
      </c>
      <c r="K33" s="19">
        <f>K20+K21-K29-K30-K31-K32</f>
        <v/>
      </c>
      <c r="L33" s="19">
        <f>L20+L21-L29-L30-L31-L32</f>
        <v/>
      </c>
      <c r="M33" s="19">
        <f>M20+M21-M29-M30-M31-M32</f>
        <v/>
      </c>
      <c r="N33" s="19">
        <f>N20+N21-N29-N30-N31-N32</f>
        <v/>
      </c>
      <c r="O33" s="19">
        <f>O20+O21-O29-O30-O31-O32</f>
        <v/>
      </c>
      <c r="P33" s="19">
        <f>P20+P21-P29-P30-P31-P32</f>
        <v/>
      </c>
      <c r="Q33" s="19">
        <f>Q20+Q21-Q29-Q30-Q31-Q32</f>
        <v/>
      </c>
      <c r="R33" s="19">
        <f>R20+R21-R29-R30-R31-R32</f>
        <v/>
      </c>
      <c r="S33" s="19">
        <f>S20+S21-S29-S30-S31-S32</f>
        <v/>
      </c>
      <c r="T33" s="19">
        <f>T20+T21-T29-T30-T31-T32</f>
        <v/>
      </c>
      <c r="U33" s="19">
        <f>U20+U21-U29-U30-U31-U32</f>
        <v/>
      </c>
      <c r="V33" s="19">
        <f>V20+V21-V29-V30-V31-V32</f>
        <v/>
      </c>
      <c r="W33" s="19">
        <f>W20+W21-W29-W30-W31-W32</f>
        <v/>
      </c>
      <c r="X33" s="19">
        <f>X20+X21-X29-X30-X31-X32</f>
        <v/>
      </c>
      <c r="Y33" s="19">
        <f>Y20+Y21-Y29-Y30-Y31-Y32</f>
        <v/>
      </c>
      <c r="Z33" s="19">
        <f>Z20+Z21-Z29-Z30-Z31-Z32</f>
        <v/>
      </c>
      <c r="AA33" s="19">
        <f>AA20+AA21-AA29-AA30-AA31-AA32</f>
        <v/>
      </c>
      <c r="AB33" s="19">
        <f>AB20+AB21-AB29-AB30-AB31-AB32</f>
        <v/>
      </c>
      <c r="AC33" s="19">
        <f>AC20+AC21-AC29-AC30-AC31-AC32</f>
        <v/>
      </c>
      <c r="AD33" s="19">
        <f>AD20+AD21-AD29-AD30-AD31-AD32</f>
        <v/>
      </c>
      <c r="AE33" s="19">
        <f>AE20+AE21-AE29-AE30-AE31-AE32</f>
        <v/>
      </c>
      <c r="AF33" s="19">
        <f>AF20+AF21-AF29-AF30-AF31-AF32</f>
        <v/>
      </c>
      <c r="AG33" s="19">
        <f>AG20+AG21-AG29-AG30-AG31-AG32</f>
        <v/>
      </c>
      <c r="AH33" s="19">
        <f>AH20+AH21-AH29-AH30-AH31-AH32</f>
        <v/>
      </c>
      <c r="AI33" s="19">
        <f>AI20+AI21-AI29-AI30-AI31-AI32</f>
        <v/>
      </c>
      <c r="AJ33" s="19">
        <f>AJ20+AJ21-AJ29-AJ30-AJ31-AJ32</f>
        <v/>
      </c>
      <c r="AK33" s="19">
        <f>AK20+AK21-AK29-AK30-AK31-AK32</f>
        <v/>
      </c>
      <c r="AL33" s="19">
        <f>AL20+AL21-AL29-AL30-AL31-AL32</f>
        <v/>
      </c>
      <c r="AM33" s="19">
        <f>AM20+AM21-AM29-AM30-AM31-AM32</f>
        <v/>
      </c>
      <c r="AN33" s="19">
        <f>AN20+AN21-AN29-AN30-AN31-AN32</f>
        <v/>
      </c>
      <c r="AO33" s="19">
        <f>AO20+AO21-AO29-AO30-AO31-AO32</f>
        <v/>
      </c>
      <c r="AP33" s="19">
        <f>AP20+AP21-AP29-AP30-AP31-AP32</f>
        <v/>
      </c>
      <c r="AQ33" s="19">
        <f>AQ20+AQ21-AQ29-AQ30-AQ31-AQ32</f>
        <v/>
      </c>
      <c r="AR33" s="19">
        <f>AR20+AR21-AR29-AR30-AR31-AR32</f>
        <v/>
      </c>
      <c r="AS33" s="19">
        <f>AS20+AS21-AS29-AS30-AS31-AS32</f>
        <v/>
      </c>
      <c r="AT33" s="19">
        <f>AT20+AT21-AT29-AT30-AT31-AT32</f>
        <v/>
      </c>
      <c r="AU33" s="19">
        <f>AU20+AU21-AU29-AU30-AU31-AU32</f>
        <v/>
      </c>
      <c r="AV33" s="19">
        <f>AV20+AV21-AV29-AV30-AV31-AV32</f>
        <v/>
      </c>
      <c r="AW33" s="19">
        <f>AW20+AW21-AW29-AW30-AW31-AW32</f>
        <v/>
      </c>
      <c r="AX33" s="19">
        <f>AX20+AX21-AX29-AX30-AX31-AX32</f>
        <v/>
      </c>
      <c r="AY33" s="19">
        <f>AY20+AY21-AY29-AY30-AY31-AY32</f>
        <v/>
      </c>
      <c r="AZ33" s="19">
        <f>AZ20+AZ21-AZ29-AZ30-AZ31-AZ32</f>
        <v/>
      </c>
      <c r="BA33" s="19">
        <f>BA20+BA21-BA29-BA30-BA31-BA32</f>
        <v/>
      </c>
      <c r="BB33" s="19">
        <f>BB20+BB21-BB29-BB30-BB31-BB32</f>
        <v/>
      </c>
      <c r="BC33" s="19">
        <f>BC20+BC21-BC29-BC30-BC31-BC32</f>
        <v/>
      </c>
      <c r="BD33" s="19">
        <f>BD20+BD21-BD29-BD30-BD31-BD32</f>
        <v/>
      </c>
      <c r="BE33" s="19">
        <f>BE20+BE21-BE29-BE30-BE31-BE32</f>
        <v/>
      </c>
      <c r="BF33" s="19">
        <f>BF20+BF21-BF29-BF30-BF31-BF32</f>
        <v/>
      </c>
      <c r="BG33" s="19">
        <f>BG20+BG21-BG29-BG30-BG31-BG32</f>
        <v/>
      </c>
      <c r="BH33" s="19">
        <f>BH20+BH21-BH29-BH30-BH31-BH32</f>
        <v/>
      </c>
      <c r="BI33" s="19">
        <f>BI20+BI21-BI29-BI30-BI31-BI32</f>
        <v/>
      </c>
      <c r="BJ33" s="19">
        <f>BJ20+BJ21-BJ29-BJ30-BJ31-BJ32</f>
        <v/>
      </c>
      <c r="BK33" s="19">
        <f>BK20+BK21-BK29-BK30-BK31-BK32</f>
        <v/>
      </c>
      <c r="BL33" s="19">
        <f>BL20+BL21-BL29-BL30-BL31-BL32</f>
        <v/>
      </c>
      <c r="BM33" s="19">
        <f>BM20+BM21-BM29-BM30-BM31-BM32</f>
        <v/>
      </c>
      <c r="BN33" s="19">
        <f>BN20+BN21-BN29-BN30-BN31-BN32</f>
        <v/>
      </c>
      <c r="BO33" s="19">
        <f>BO20+BO21-BO29-BO30-BO31-BO32</f>
        <v/>
      </c>
      <c r="BP33" s="19">
        <f>BP20+BP21-BP29-BP30-BP31-BP32</f>
        <v/>
      </c>
      <c r="BQ33" s="19">
        <f>BQ20+BQ21-BQ29-BQ30-BQ31-BQ32</f>
        <v/>
      </c>
      <c r="BR33" s="19">
        <f>BR20+BR21-BR29-BR30-BR31-BR32</f>
        <v/>
      </c>
      <c r="BS33" s="19">
        <f>BS20+BS21-BS29-BS30-BS31-BS32</f>
        <v/>
      </c>
      <c r="BT33" s="19">
        <f>BT20+BT21-BT29-BT30-BT31-BT32</f>
        <v/>
      </c>
      <c r="BU33" s="19">
        <f>BU20+BU21-BU29-BU30-BU31-BU32</f>
        <v/>
      </c>
      <c r="BV33" s="19">
        <f>BV20+BV21-BV29-BV30-BV31-BV32</f>
        <v/>
      </c>
      <c r="BW33" s="19">
        <f>BW20+BW21-BW29-BW30-BW31-BW32</f>
        <v/>
      </c>
      <c r="BX33" s="19">
        <f>BX20+BX21-BX29-BX30-BX31-BX32</f>
        <v/>
      </c>
      <c r="BY33" s="19">
        <f>BY20+BY21-BY29-BY30-BY31-BY32</f>
        <v/>
      </c>
      <c r="BZ33" s="19">
        <f>BZ20+BZ21-BZ29-BZ30-BZ31-BZ32</f>
        <v/>
      </c>
      <c r="CA33" s="19">
        <f>CA20+CA21-CA29-CA30-CA31-CA32</f>
        <v/>
      </c>
      <c r="CB33" s="19">
        <f>CB20+CB21-CB29-CB30-CB31-CB32</f>
        <v/>
      </c>
      <c r="CC33" s="19">
        <f>CC20+CC21-CC29-CC30-CC31-CC32</f>
        <v/>
      </c>
      <c r="CD33" s="19">
        <f>CD20+CD21-CD29-CD30-CD31-CD32</f>
        <v/>
      </c>
      <c r="CE33" s="19">
        <f>CE20+CE21-CE29-CE30-CE31-CE32</f>
        <v/>
      </c>
      <c r="CF33" s="19">
        <f>CF20+CF21-CF29-CF30-CF31-CF32</f>
        <v/>
      </c>
      <c r="CG33" s="19">
        <f>CG20+CG21-CG29-CG30-CG31-CG32</f>
        <v/>
      </c>
      <c r="CH33" s="19">
        <f>CH20+CH21-CH29-CH30-CH31-CH32</f>
        <v/>
      </c>
      <c r="CI33" s="19">
        <f>CI20+CI21-CI29-CI30-CI31-CI32</f>
        <v/>
      </c>
      <c r="CJ33" s="19">
        <f>CJ20+CJ21-CJ29-CJ30-CJ31-CJ32</f>
        <v/>
      </c>
      <c r="CK33" s="19">
        <f>CK20+CK21-CK29-CK30-CK31-CK32</f>
        <v/>
      </c>
      <c r="CL33" s="19">
        <f>CL20+CL21-CL29-CL30-CL31-CL32</f>
        <v/>
      </c>
      <c r="CM33" s="19">
        <f>CM20+CM21-CM29-CM30-CM31-CM32</f>
        <v/>
      </c>
      <c r="CN33" s="19">
        <f>CN20+CN21-CN29-CN30-CN31-CN32</f>
        <v/>
      </c>
      <c r="CO33" s="19">
        <f>CO20+CO21-CO29-CO30-CO31-CO32</f>
        <v/>
      </c>
      <c r="CP33" s="19">
        <f>CP20+CP21-CP29-CP30-CP31-CP32</f>
        <v/>
      </c>
      <c r="CQ33" s="19">
        <f>CQ20+CQ21-CQ29-CQ30-CQ31-CQ32</f>
        <v/>
      </c>
      <c r="CR33" s="19">
        <f>CR20+CR21-CR29-CR30-CR31-CR32</f>
        <v/>
      </c>
      <c r="CS33" s="19">
        <f>CS20+CS21-CS29-CS30-CS31-CS32</f>
        <v/>
      </c>
      <c r="CT33" s="19">
        <f>CT20+CT21-CT29-CT30-CT31-CT32</f>
        <v/>
      </c>
      <c r="CU33" s="19">
        <f>CU20+CU21-CU29-CU30-CU31-CU32</f>
        <v/>
      </c>
      <c r="CV33" s="19">
        <f>CV20+CV21-CV29-CV30-CV31-CV32</f>
        <v/>
      </c>
      <c r="CW33" s="19">
        <f>CW20+CW21-CW29-CW30-CW31-CW32</f>
        <v/>
      </c>
      <c r="CX33" s="19">
        <f>CX20+CX21-CX29-CX30-CX31-CX32</f>
        <v/>
      </c>
      <c r="CY33" s="19">
        <f>CY20+CY21-CY29-CY30-CY31-CY32</f>
        <v/>
      </c>
      <c r="CZ33" s="19">
        <f>CZ20+CZ21-CZ29-CZ30-CZ31-CZ32</f>
        <v/>
      </c>
      <c r="DA33" s="19">
        <f>DA20+DA21-DA29-DA30-DA31-DA32</f>
        <v/>
      </c>
      <c r="DB33" s="19">
        <f>DB20+DB21-DB29-DB30-DB31-DB32</f>
        <v/>
      </c>
    </row>
    <row r="34">
      <c r="D34" s="3" t="inlineStr">
        <is>
          <t>Lifecycle and handback</t>
        </is>
      </c>
    </row>
    <row r="35">
      <c r="D35" t="inlineStr">
        <is>
          <t>Operating year (H2 periods)</t>
        </is>
      </c>
      <c r="E35" t="inlineStr">
        <is>
          <t>#</t>
        </is>
      </c>
      <c r="J35" s="14">
        <f>IF(AND(Time!J12=2,Time!J26=1,Time!J8&lt;=Time!$F$17),Time!J11-Inputs!$F$61,0)</f>
        <v/>
      </c>
      <c r="K35" s="14">
        <f>IF(AND(Time!K12=2,Time!K26=1,Time!K8&lt;=Time!$F$17),Time!K11-Inputs!$F$61,0)</f>
        <v/>
      </c>
      <c r="L35" s="14">
        <f>IF(AND(Time!L12=2,Time!L26=1,Time!L8&lt;=Time!$F$17),Time!L11-Inputs!$F$61,0)</f>
        <v/>
      </c>
      <c r="M35" s="14">
        <f>IF(AND(Time!M12=2,Time!M26=1,Time!M8&lt;=Time!$F$17),Time!M11-Inputs!$F$61,0)</f>
        <v/>
      </c>
      <c r="N35" s="14">
        <f>IF(AND(Time!N12=2,Time!N26=1,Time!N8&lt;=Time!$F$17),Time!N11-Inputs!$F$61,0)</f>
        <v/>
      </c>
      <c r="O35" s="14">
        <f>IF(AND(Time!O12=2,Time!O26=1,Time!O8&lt;=Time!$F$17),Time!O11-Inputs!$F$61,0)</f>
        <v/>
      </c>
      <c r="P35" s="14">
        <f>IF(AND(Time!P12=2,Time!P26=1,Time!P8&lt;=Time!$F$17),Time!P11-Inputs!$F$61,0)</f>
        <v/>
      </c>
      <c r="Q35" s="14">
        <f>IF(AND(Time!Q12=2,Time!Q26=1,Time!Q8&lt;=Time!$F$17),Time!Q11-Inputs!$F$61,0)</f>
        <v/>
      </c>
      <c r="R35" s="14">
        <f>IF(AND(Time!R12=2,Time!R26=1,Time!R8&lt;=Time!$F$17),Time!R11-Inputs!$F$61,0)</f>
        <v/>
      </c>
      <c r="S35" s="14">
        <f>IF(AND(Time!S12=2,Time!S26=1,Time!S8&lt;=Time!$F$17),Time!S11-Inputs!$F$61,0)</f>
        <v/>
      </c>
      <c r="T35" s="14">
        <f>IF(AND(Time!T12=2,Time!T26=1,Time!T8&lt;=Time!$F$17),Time!T11-Inputs!$F$61,0)</f>
        <v/>
      </c>
      <c r="U35" s="14">
        <f>IF(AND(Time!U12=2,Time!U26=1,Time!U8&lt;=Time!$F$17),Time!U11-Inputs!$F$61,0)</f>
        <v/>
      </c>
      <c r="V35" s="14">
        <f>IF(AND(Time!V12=2,Time!V26=1,Time!V8&lt;=Time!$F$17),Time!V11-Inputs!$F$61,0)</f>
        <v/>
      </c>
      <c r="W35" s="14">
        <f>IF(AND(Time!W12=2,Time!W26=1,Time!W8&lt;=Time!$F$17),Time!W11-Inputs!$F$61,0)</f>
        <v/>
      </c>
      <c r="X35" s="14">
        <f>IF(AND(Time!X12=2,Time!X26=1,Time!X8&lt;=Time!$F$17),Time!X11-Inputs!$F$61,0)</f>
        <v/>
      </c>
      <c r="Y35" s="14">
        <f>IF(AND(Time!Y12=2,Time!Y26=1,Time!Y8&lt;=Time!$F$17),Time!Y11-Inputs!$F$61,0)</f>
        <v/>
      </c>
      <c r="Z35" s="14">
        <f>IF(AND(Time!Z12=2,Time!Z26=1,Time!Z8&lt;=Time!$F$17),Time!Z11-Inputs!$F$61,0)</f>
        <v/>
      </c>
      <c r="AA35" s="14">
        <f>IF(AND(Time!AA12=2,Time!AA26=1,Time!AA8&lt;=Time!$F$17),Time!AA11-Inputs!$F$61,0)</f>
        <v/>
      </c>
      <c r="AB35" s="14">
        <f>IF(AND(Time!AB12=2,Time!AB26=1,Time!AB8&lt;=Time!$F$17),Time!AB11-Inputs!$F$61,0)</f>
        <v/>
      </c>
      <c r="AC35" s="14">
        <f>IF(AND(Time!AC12=2,Time!AC26=1,Time!AC8&lt;=Time!$F$17),Time!AC11-Inputs!$F$61,0)</f>
        <v/>
      </c>
      <c r="AD35" s="14">
        <f>IF(AND(Time!AD12=2,Time!AD26=1,Time!AD8&lt;=Time!$F$17),Time!AD11-Inputs!$F$61,0)</f>
        <v/>
      </c>
      <c r="AE35" s="14">
        <f>IF(AND(Time!AE12=2,Time!AE26=1,Time!AE8&lt;=Time!$F$17),Time!AE11-Inputs!$F$61,0)</f>
        <v/>
      </c>
      <c r="AF35" s="14">
        <f>IF(AND(Time!AF12=2,Time!AF26=1,Time!AF8&lt;=Time!$F$17),Time!AF11-Inputs!$F$61,0)</f>
        <v/>
      </c>
      <c r="AG35" s="14">
        <f>IF(AND(Time!AG12=2,Time!AG26=1,Time!AG8&lt;=Time!$F$17),Time!AG11-Inputs!$F$61,0)</f>
        <v/>
      </c>
      <c r="AH35" s="14">
        <f>IF(AND(Time!AH12=2,Time!AH26=1,Time!AH8&lt;=Time!$F$17),Time!AH11-Inputs!$F$61,0)</f>
        <v/>
      </c>
      <c r="AI35" s="14">
        <f>IF(AND(Time!AI12=2,Time!AI26=1,Time!AI8&lt;=Time!$F$17),Time!AI11-Inputs!$F$61,0)</f>
        <v/>
      </c>
      <c r="AJ35" s="14">
        <f>IF(AND(Time!AJ12=2,Time!AJ26=1,Time!AJ8&lt;=Time!$F$17),Time!AJ11-Inputs!$F$61,0)</f>
        <v/>
      </c>
      <c r="AK35" s="14">
        <f>IF(AND(Time!AK12=2,Time!AK26=1,Time!AK8&lt;=Time!$F$17),Time!AK11-Inputs!$F$61,0)</f>
        <v/>
      </c>
      <c r="AL35" s="14">
        <f>IF(AND(Time!AL12=2,Time!AL26=1,Time!AL8&lt;=Time!$F$17),Time!AL11-Inputs!$F$61,0)</f>
        <v/>
      </c>
      <c r="AM35" s="14">
        <f>IF(AND(Time!AM12=2,Time!AM26=1,Time!AM8&lt;=Time!$F$17),Time!AM11-Inputs!$F$61,0)</f>
        <v/>
      </c>
      <c r="AN35" s="14">
        <f>IF(AND(Time!AN12=2,Time!AN26=1,Time!AN8&lt;=Time!$F$17),Time!AN11-Inputs!$F$61,0)</f>
        <v/>
      </c>
      <c r="AO35" s="14">
        <f>IF(AND(Time!AO12=2,Time!AO26=1,Time!AO8&lt;=Time!$F$17),Time!AO11-Inputs!$F$61,0)</f>
        <v/>
      </c>
      <c r="AP35" s="14">
        <f>IF(AND(Time!AP12=2,Time!AP26=1,Time!AP8&lt;=Time!$F$17),Time!AP11-Inputs!$F$61,0)</f>
        <v/>
      </c>
      <c r="AQ35" s="14">
        <f>IF(AND(Time!AQ12=2,Time!AQ26=1,Time!AQ8&lt;=Time!$F$17),Time!AQ11-Inputs!$F$61,0)</f>
        <v/>
      </c>
      <c r="AR35" s="14">
        <f>IF(AND(Time!AR12=2,Time!AR26=1,Time!AR8&lt;=Time!$F$17),Time!AR11-Inputs!$F$61,0)</f>
        <v/>
      </c>
      <c r="AS35" s="14">
        <f>IF(AND(Time!AS12=2,Time!AS26=1,Time!AS8&lt;=Time!$F$17),Time!AS11-Inputs!$F$61,0)</f>
        <v/>
      </c>
      <c r="AT35" s="14">
        <f>IF(AND(Time!AT12=2,Time!AT26=1,Time!AT8&lt;=Time!$F$17),Time!AT11-Inputs!$F$61,0)</f>
        <v/>
      </c>
      <c r="AU35" s="14">
        <f>IF(AND(Time!AU12=2,Time!AU26=1,Time!AU8&lt;=Time!$F$17),Time!AU11-Inputs!$F$61,0)</f>
        <v/>
      </c>
      <c r="AV35" s="14">
        <f>IF(AND(Time!AV12=2,Time!AV26=1,Time!AV8&lt;=Time!$F$17),Time!AV11-Inputs!$F$61,0)</f>
        <v/>
      </c>
      <c r="AW35" s="14">
        <f>IF(AND(Time!AW12=2,Time!AW26=1,Time!AW8&lt;=Time!$F$17),Time!AW11-Inputs!$F$61,0)</f>
        <v/>
      </c>
      <c r="AX35" s="14">
        <f>IF(AND(Time!AX12=2,Time!AX26=1,Time!AX8&lt;=Time!$F$17),Time!AX11-Inputs!$F$61,0)</f>
        <v/>
      </c>
      <c r="AY35" s="14">
        <f>IF(AND(Time!AY12=2,Time!AY26=1,Time!AY8&lt;=Time!$F$17),Time!AY11-Inputs!$F$61,0)</f>
        <v/>
      </c>
      <c r="AZ35" s="14">
        <f>IF(AND(Time!AZ12=2,Time!AZ26=1,Time!AZ8&lt;=Time!$F$17),Time!AZ11-Inputs!$F$61,0)</f>
        <v/>
      </c>
      <c r="BA35" s="14">
        <f>IF(AND(Time!BA12=2,Time!BA26=1,Time!BA8&lt;=Time!$F$17),Time!BA11-Inputs!$F$61,0)</f>
        <v/>
      </c>
      <c r="BB35" s="14">
        <f>IF(AND(Time!BB12=2,Time!BB26=1,Time!BB8&lt;=Time!$F$17),Time!BB11-Inputs!$F$61,0)</f>
        <v/>
      </c>
      <c r="BC35" s="14">
        <f>IF(AND(Time!BC12=2,Time!BC26=1,Time!BC8&lt;=Time!$F$17),Time!BC11-Inputs!$F$61,0)</f>
        <v/>
      </c>
      <c r="BD35" s="14">
        <f>IF(AND(Time!BD12=2,Time!BD26=1,Time!BD8&lt;=Time!$F$17),Time!BD11-Inputs!$F$61,0)</f>
        <v/>
      </c>
      <c r="BE35" s="14">
        <f>IF(AND(Time!BE12=2,Time!BE26=1,Time!BE8&lt;=Time!$F$17),Time!BE11-Inputs!$F$61,0)</f>
        <v/>
      </c>
      <c r="BF35" s="14">
        <f>IF(AND(Time!BF12=2,Time!BF26=1,Time!BF8&lt;=Time!$F$17),Time!BF11-Inputs!$F$61,0)</f>
        <v/>
      </c>
      <c r="BG35" s="14">
        <f>IF(AND(Time!BG12=2,Time!BG26=1,Time!BG8&lt;=Time!$F$17),Time!BG11-Inputs!$F$61,0)</f>
        <v/>
      </c>
      <c r="BH35" s="14">
        <f>IF(AND(Time!BH12=2,Time!BH26=1,Time!BH8&lt;=Time!$F$17),Time!BH11-Inputs!$F$61,0)</f>
        <v/>
      </c>
      <c r="BI35" s="14">
        <f>IF(AND(Time!BI12=2,Time!BI26=1,Time!BI8&lt;=Time!$F$17),Time!BI11-Inputs!$F$61,0)</f>
        <v/>
      </c>
      <c r="BJ35" s="14">
        <f>IF(AND(Time!BJ12=2,Time!BJ26=1,Time!BJ8&lt;=Time!$F$17),Time!BJ11-Inputs!$F$61,0)</f>
        <v/>
      </c>
      <c r="BK35" s="14">
        <f>IF(AND(Time!BK12=2,Time!BK26=1,Time!BK8&lt;=Time!$F$17),Time!BK11-Inputs!$F$61,0)</f>
        <v/>
      </c>
      <c r="BL35" s="14">
        <f>IF(AND(Time!BL12=2,Time!BL26=1,Time!BL8&lt;=Time!$F$17),Time!BL11-Inputs!$F$61,0)</f>
        <v/>
      </c>
      <c r="BM35" s="14">
        <f>IF(AND(Time!BM12=2,Time!BM26=1,Time!BM8&lt;=Time!$F$17),Time!BM11-Inputs!$F$61,0)</f>
        <v/>
      </c>
      <c r="BN35" s="14">
        <f>IF(AND(Time!BN12=2,Time!BN26=1,Time!BN8&lt;=Time!$F$17),Time!BN11-Inputs!$F$61,0)</f>
        <v/>
      </c>
      <c r="BO35" s="14">
        <f>IF(AND(Time!BO12=2,Time!BO26=1,Time!BO8&lt;=Time!$F$17),Time!BO11-Inputs!$F$61,0)</f>
        <v/>
      </c>
      <c r="BP35" s="14">
        <f>IF(AND(Time!BP12=2,Time!BP26=1,Time!BP8&lt;=Time!$F$17),Time!BP11-Inputs!$F$61,0)</f>
        <v/>
      </c>
      <c r="BQ35" s="14">
        <f>IF(AND(Time!BQ12=2,Time!BQ26=1,Time!BQ8&lt;=Time!$F$17),Time!BQ11-Inputs!$F$61,0)</f>
        <v/>
      </c>
      <c r="BR35" s="14">
        <f>IF(AND(Time!BR12=2,Time!BR26=1,Time!BR8&lt;=Time!$F$17),Time!BR11-Inputs!$F$61,0)</f>
        <v/>
      </c>
      <c r="BS35" s="14">
        <f>IF(AND(Time!BS12=2,Time!BS26=1,Time!BS8&lt;=Time!$F$17),Time!BS11-Inputs!$F$61,0)</f>
        <v/>
      </c>
      <c r="BT35" s="14">
        <f>IF(AND(Time!BT12=2,Time!BT26=1,Time!BT8&lt;=Time!$F$17),Time!BT11-Inputs!$F$61,0)</f>
        <v/>
      </c>
      <c r="BU35" s="14">
        <f>IF(AND(Time!BU12=2,Time!BU26=1,Time!BU8&lt;=Time!$F$17),Time!BU11-Inputs!$F$61,0)</f>
        <v/>
      </c>
      <c r="BV35" s="14">
        <f>IF(AND(Time!BV12=2,Time!BV26=1,Time!BV8&lt;=Time!$F$17),Time!BV11-Inputs!$F$61,0)</f>
        <v/>
      </c>
      <c r="BW35" s="14">
        <f>IF(AND(Time!BW12=2,Time!BW26=1,Time!BW8&lt;=Time!$F$17),Time!BW11-Inputs!$F$61,0)</f>
        <v/>
      </c>
      <c r="BX35" s="14">
        <f>IF(AND(Time!BX12=2,Time!BX26=1,Time!BX8&lt;=Time!$F$17),Time!BX11-Inputs!$F$61,0)</f>
        <v/>
      </c>
      <c r="BY35" s="14">
        <f>IF(AND(Time!BY12=2,Time!BY26=1,Time!BY8&lt;=Time!$F$17),Time!BY11-Inputs!$F$61,0)</f>
        <v/>
      </c>
      <c r="BZ35" s="14">
        <f>IF(AND(Time!BZ12=2,Time!BZ26=1,Time!BZ8&lt;=Time!$F$17),Time!BZ11-Inputs!$F$61,0)</f>
        <v/>
      </c>
      <c r="CA35" s="14">
        <f>IF(AND(Time!CA12=2,Time!CA26=1,Time!CA8&lt;=Time!$F$17),Time!CA11-Inputs!$F$61,0)</f>
        <v/>
      </c>
      <c r="CB35" s="14">
        <f>IF(AND(Time!CB12=2,Time!CB26=1,Time!CB8&lt;=Time!$F$17),Time!CB11-Inputs!$F$61,0)</f>
        <v/>
      </c>
      <c r="CC35" s="14">
        <f>IF(AND(Time!CC12=2,Time!CC26=1,Time!CC8&lt;=Time!$F$17),Time!CC11-Inputs!$F$61,0)</f>
        <v/>
      </c>
      <c r="CD35" s="14">
        <f>IF(AND(Time!CD12=2,Time!CD26=1,Time!CD8&lt;=Time!$F$17),Time!CD11-Inputs!$F$61,0)</f>
        <v/>
      </c>
      <c r="CE35" s="14">
        <f>IF(AND(Time!CE12=2,Time!CE26=1,Time!CE8&lt;=Time!$F$17),Time!CE11-Inputs!$F$61,0)</f>
        <v/>
      </c>
      <c r="CF35" s="14">
        <f>IF(AND(Time!CF12=2,Time!CF26=1,Time!CF8&lt;=Time!$F$17),Time!CF11-Inputs!$F$61,0)</f>
        <v/>
      </c>
      <c r="CG35" s="14">
        <f>IF(AND(Time!CG12=2,Time!CG26=1,Time!CG8&lt;=Time!$F$17),Time!CG11-Inputs!$F$61,0)</f>
        <v/>
      </c>
      <c r="CH35" s="14">
        <f>IF(AND(Time!CH12=2,Time!CH26=1,Time!CH8&lt;=Time!$F$17),Time!CH11-Inputs!$F$61,0)</f>
        <v/>
      </c>
      <c r="CI35" s="14">
        <f>IF(AND(Time!CI12=2,Time!CI26=1,Time!CI8&lt;=Time!$F$17),Time!CI11-Inputs!$F$61,0)</f>
        <v/>
      </c>
      <c r="CJ35" s="14">
        <f>IF(AND(Time!CJ12=2,Time!CJ26=1,Time!CJ8&lt;=Time!$F$17),Time!CJ11-Inputs!$F$61,0)</f>
        <v/>
      </c>
      <c r="CK35" s="14">
        <f>IF(AND(Time!CK12=2,Time!CK26=1,Time!CK8&lt;=Time!$F$17),Time!CK11-Inputs!$F$61,0)</f>
        <v/>
      </c>
      <c r="CL35" s="14">
        <f>IF(AND(Time!CL12=2,Time!CL26=1,Time!CL8&lt;=Time!$F$17),Time!CL11-Inputs!$F$61,0)</f>
        <v/>
      </c>
      <c r="CM35" s="14">
        <f>IF(AND(Time!CM12=2,Time!CM26=1,Time!CM8&lt;=Time!$F$17),Time!CM11-Inputs!$F$61,0)</f>
        <v/>
      </c>
      <c r="CN35" s="14">
        <f>IF(AND(Time!CN12=2,Time!CN26=1,Time!CN8&lt;=Time!$F$17),Time!CN11-Inputs!$F$61,0)</f>
        <v/>
      </c>
      <c r="CO35" s="14">
        <f>IF(AND(Time!CO12=2,Time!CO26=1,Time!CO8&lt;=Time!$F$17),Time!CO11-Inputs!$F$61,0)</f>
        <v/>
      </c>
      <c r="CP35" s="14">
        <f>IF(AND(Time!CP12=2,Time!CP26=1,Time!CP8&lt;=Time!$F$17),Time!CP11-Inputs!$F$61,0)</f>
        <v/>
      </c>
      <c r="CQ35" s="14">
        <f>IF(AND(Time!CQ12=2,Time!CQ26=1,Time!CQ8&lt;=Time!$F$17),Time!CQ11-Inputs!$F$61,0)</f>
        <v/>
      </c>
      <c r="CR35" s="14">
        <f>IF(AND(Time!CR12=2,Time!CR26=1,Time!CR8&lt;=Time!$F$17),Time!CR11-Inputs!$F$61,0)</f>
        <v/>
      </c>
      <c r="CS35" s="14">
        <f>IF(AND(Time!CS12=2,Time!CS26=1,Time!CS8&lt;=Time!$F$17),Time!CS11-Inputs!$F$61,0)</f>
        <v/>
      </c>
      <c r="CT35" s="14">
        <f>IF(AND(Time!CT12=2,Time!CT26=1,Time!CT8&lt;=Time!$F$17),Time!CT11-Inputs!$F$61,0)</f>
        <v/>
      </c>
      <c r="CU35" s="14">
        <f>IF(AND(Time!CU12=2,Time!CU26=1,Time!CU8&lt;=Time!$F$17),Time!CU11-Inputs!$F$61,0)</f>
        <v/>
      </c>
      <c r="CV35" s="14">
        <f>IF(AND(Time!CV12=2,Time!CV26=1,Time!CV8&lt;=Time!$F$17),Time!CV11-Inputs!$F$61,0)</f>
        <v/>
      </c>
      <c r="CW35" s="14">
        <f>IF(AND(Time!CW12=2,Time!CW26=1,Time!CW8&lt;=Time!$F$17),Time!CW11-Inputs!$F$61,0)</f>
        <v/>
      </c>
      <c r="CX35" s="14">
        <f>IF(AND(Time!CX12=2,Time!CX26=1,Time!CX8&lt;=Time!$F$17),Time!CX11-Inputs!$F$61,0)</f>
        <v/>
      </c>
      <c r="CY35" s="14">
        <f>IF(AND(Time!CY12=2,Time!CY26=1,Time!CY8&lt;=Time!$F$17),Time!CY11-Inputs!$F$61,0)</f>
        <v/>
      </c>
      <c r="CZ35" s="14">
        <f>IF(AND(Time!CZ12=2,Time!CZ26=1,Time!CZ8&lt;=Time!$F$17),Time!CZ11-Inputs!$F$61,0)</f>
        <v/>
      </c>
      <c r="DA35" s="14">
        <f>IF(AND(Time!DA12=2,Time!DA26=1,Time!DA8&lt;=Time!$F$17),Time!DA11-Inputs!$F$61,0)</f>
        <v/>
      </c>
      <c r="DB35" s="14">
        <f>IF(AND(Time!DB12=2,Time!DB26=1,Time!DB8&lt;=Time!$F$17),Time!DB11-Inputs!$F$61,0)</f>
        <v/>
      </c>
    </row>
    <row r="36">
      <c r="D36" t="inlineStr">
        <is>
          <t>Lifecycle works (2015 prices)</t>
        </is>
      </c>
      <c r="E36" t="inlineStr">
        <is>
          <t>ARD m</t>
        </is>
      </c>
      <c r="G36" s="19">
        <f>SUM(J36:DB36)</f>
        <v/>
      </c>
      <c r="J36" s="19">
        <f>IF(J35&gt;0,Inputs!$F$148*IF(MOD(J35,Inputs!$F$149)=0,1,0)+Inputs!$F$150*IF(MOD(J35,Inputs!$F$151)=0,1,0)+Inputs!$F$152*IF(MOD(J35,Inputs!$F$153)=0,1,0),0)</f>
        <v/>
      </c>
      <c r="K36" s="19">
        <f>IF(K35&gt;0,Inputs!$F$148*IF(MOD(K35,Inputs!$F$149)=0,1,0)+Inputs!$F$150*IF(MOD(K35,Inputs!$F$151)=0,1,0)+Inputs!$F$152*IF(MOD(K35,Inputs!$F$153)=0,1,0),0)</f>
        <v/>
      </c>
      <c r="L36" s="19">
        <f>IF(L35&gt;0,Inputs!$F$148*IF(MOD(L35,Inputs!$F$149)=0,1,0)+Inputs!$F$150*IF(MOD(L35,Inputs!$F$151)=0,1,0)+Inputs!$F$152*IF(MOD(L35,Inputs!$F$153)=0,1,0),0)</f>
        <v/>
      </c>
      <c r="M36" s="19">
        <f>IF(M35&gt;0,Inputs!$F$148*IF(MOD(M35,Inputs!$F$149)=0,1,0)+Inputs!$F$150*IF(MOD(M35,Inputs!$F$151)=0,1,0)+Inputs!$F$152*IF(MOD(M35,Inputs!$F$153)=0,1,0),0)</f>
        <v/>
      </c>
      <c r="N36" s="19">
        <f>IF(N35&gt;0,Inputs!$F$148*IF(MOD(N35,Inputs!$F$149)=0,1,0)+Inputs!$F$150*IF(MOD(N35,Inputs!$F$151)=0,1,0)+Inputs!$F$152*IF(MOD(N35,Inputs!$F$153)=0,1,0),0)</f>
        <v/>
      </c>
      <c r="O36" s="19">
        <f>IF(O35&gt;0,Inputs!$F$148*IF(MOD(O35,Inputs!$F$149)=0,1,0)+Inputs!$F$150*IF(MOD(O35,Inputs!$F$151)=0,1,0)+Inputs!$F$152*IF(MOD(O35,Inputs!$F$153)=0,1,0),0)</f>
        <v/>
      </c>
      <c r="P36" s="19">
        <f>IF(P35&gt;0,Inputs!$F$148*IF(MOD(P35,Inputs!$F$149)=0,1,0)+Inputs!$F$150*IF(MOD(P35,Inputs!$F$151)=0,1,0)+Inputs!$F$152*IF(MOD(P35,Inputs!$F$153)=0,1,0),0)</f>
        <v/>
      </c>
      <c r="Q36" s="19">
        <f>IF(Q35&gt;0,Inputs!$F$148*IF(MOD(Q35,Inputs!$F$149)=0,1,0)+Inputs!$F$150*IF(MOD(Q35,Inputs!$F$151)=0,1,0)+Inputs!$F$152*IF(MOD(Q35,Inputs!$F$153)=0,1,0),0)</f>
        <v/>
      </c>
      <c r="R36" s="19">
        <f>IF(R35&gt;0,Inputs!$F$148*IF(MOD(R35,Inputs!$F$149)=0,1,0)+Inputs!$F$150*IF(MOD(R35,Inputs!$F$151)=0,1,0)+Inputs!$F$152*IF(MOD(R35,Inputs!$F$153)=0,1,0),0)</f>
        <v/>
      </c>
      <c r="S36" s="19">
        <f>IF(S35&gt;0,Inputs!$F$148*IF(MOD(S35,Inputs!$F$149)=0,1,0)+Inputs!$F$150*IF(MOD(S35,Inputs!$F$151)=0,1,0)+Inputs!$F$152*IF(MOD(S35,Inputs!$F$153)=0,1,0),0)</f>
        <v/>
      </c>
      <c r="T36" s="19">
        <f>IF(T35&gt;0,Inputs!$F$148*IF(MOD(T35,Inputs!$F$149)=0,1,0)+Inputs!$F$150*IF(MOD(T35,Inputs!$F$151)=0,1,0)+Inputs!$F$152*IF(MOD(T35,Inputs!$F$153)=0,1,0),0)</f>
        <v/>
      </c>
      <c r="U36" s="19">
        <f>IF(U35&gt;0,Inputs!$F$148*IF(MOD(U35,Inputs!$F$149)=0,1,0)+Inputs!$F$150*IF(MOD(U35,Inputs!$F$151)=0,1,0)+Inputs!$F$152*IF(MOD(U35,Inputs!$F$153)=0,1,0),0)</f>
        <v/>
      </c>
      <c r="V36" s="19">
        <f>IF(V35&gt;0,Inputs!$F$148*IF(MOD(V35,Inputs!$F$149)=0,1,0)+Inputs!$F$150*IF(MOD(V35,Inputs!$F$151)=0,1,0)+Inputs!$F$152*IF(MOD(V35,Inputs!$F$153)=0,1,0),0)</f>
        <v/>
      </c>
      <c r="W36" s="19">
        <f>IF(W35&gt;0,Inputs!$F$148*IF(MOD(W35,Inputs!$F$149)=0,1,0)+Inputs!$F$150*IF(MOD(W35,Inputs!$F$151)=0,1,0)+Inputs!$F$152*IF(MOD(W35,Inputs!$F$153)=0,1,0),0)</f>
        <v/>
      </c>
      <c r="X36" s="19">
        <f>IF(X35&gt;0,Inputs!$F$148*IF(MOD(X35,Inputs!$F$149)=0,1,0)+Inputs!$F$150*IF(MOD(X35,Inputs!$F$151)=0,1,0)+Inputs!$F$152*IF(MOD(X35,Inputs!$F$153)=0,1,0),0)</f>
        <v/>
      </c>
      <c r="Y36" s="19">
        <f>IF(Y35&gt;0,Inputs!$F$148*IF(MOD(Y35,Inputs!$F$149)=0,1,0)+Inputs!$F$150*IF(MOD(Y35,Inputs!$F$151)=0,1,0)+Inputs!$F$152*IF(MOD(Y35,Inputs!$F$153)=0,1,0),0)</f>
        <v/>
      </c>
      <c r="Z36" s="19">
        <f>IF(Z35&gt;0,Inputs!$F$148*IF(MOD(Z35,Inputs!$F$149)=0,1,0)+Inputs!$F$150*IF(MOD(Z35,Inputs!$F$151)=0,1,0)+Inputs!$F$152*IF(MOD(Z35,Inputs!$F$153)=0,1,0),0)</f>
        <v/>
      </c>
      <c r="AA36" s="19">
        <f>IF(AA35&gt;0,Inputs!$F$148*IF(MOD(AA35,Inputs!$F$149)=0,1,0)+Inputs!$F$150*IF(MOD(AA35,Inputs!$F$151)=0,1,0)+Inputs!$F$152*IF(MOD(AA35,Inputs!$F$153)=0,1,0),0)</f>
        <v/>
      </c>
      <c r="AB36" s="19">
        <f>IF(AB35&gt;0,Inputs!$F$148*IF(MOD(AB35,Inputs!$F$149)=0,1,0)+Inputs!$F$150*IF(MOD(AB35,Inputs!$F$151)=0,1,0)+Inputs!$F$152*IF(MOD(AB35,Inputs!$F$153)=0,1,0),0)</f>
        <v/>
      </c>
      <c r="AC36" s="19">
        <f>IF(AC35&gt;0,Inputs!$F$148*IF(MOD(AC35,Inputs!$F$149)=0,1,0)+Inputs!$F$150*IF(MOD(AC35,Inputs!$F$151)=0,1,0)+Inputs!$F$152*IF(MOD(AC35,Inputs!$F$153)=0,1,0),0)</f>
        <v/>
      </c>
      <c r="AD36" s="19">
        <f>IF(AD35&gt;0,Inputs!$F$148*IF(MOD(AD35,Inputs!$F$149)=0,1,0)+Inputs!$F$150*IF(MOD(AD35,Inputs!$F$151)=0,1,0)+Inputs!$F$152*IF(MOD(AD35,Inputs!$F$153)=0,1,0),0)</f>
        <v/>
      </c>
      <c r="AE36" s="19">
        <f>IF(AE35&gt;0,Inputs!$F$148*IF(MOD(AE35,Inputs!$F$149)=0,1,0)+Inputs!$F$150*IF(MOD(AE35,Inputs!$F$151)=0,1,0)+Inputs!$F$152*IF(MOD(AE35,Inputs!$F$153)=0,1,0),0)</f>
        <v/>
      </c>
      <c r="AF36" s="19">
        <f>IF(AF35&gt;0,Inputs!$F$148*IF(MOD(AF35,Inputs!$F$149)=0,1,0)+Inputs!$F$150*IF(MOD(AF35,Inputs!$F$151)=0,1,0)+Inputs!$F$152*IF(MOD(AF35,Inputs!$F$153)=0,1,0),0)</f>
        <v/>
      </c>
      <c r="AG36" s="19">
        <f>IF(AG35&gt;0,Inputs!$F$148*IF(MOD(AG35,Inputs!$F$149)=0,1,0)+Inputs!$F$150*IF(MOD(AG35,Inputs!$F$151)=0,1,0)+Inputs!$F$152*IF(MOD(AG35,Inputs!$F$153)=0,1,0),0)</f>
        <v/>
      </c>
      <c r="AH36" s="19">
        <f>IF(AH35&gt;0,Inputs!$F$148*IF(MOD(AH35,Inputs!$F$149)=0,1,0)+Inputs!$F$150*IF(MOD(AH35,Inputs!$F$151)=0,1,0)+Inputs!$F$152*IF(MOD(AH35,Inputs!$F$153)=0,1,0),0)</f>
        <v/>
      </c>
      <c r="AI36" s="19">
        <f>IF(AI35&gt;0,Inputs!$F$148*IF(MOD(AI35,Inputs!$F$149)=0,1,0)+Inputs!$F$150*IF(MOD(AI35,Inputs!$F$151)=0,1,0)+Inputs!$F$152*IF(MOD(AI35,Inputs!$F$153)=0,1,0),0)</f>
        <v/>
      </c>
      <c r="AJ36" s="19">
        <f>IF(AJ35&gt;0,Inputs!$F$148*IF(MOD(AJ35,Inputs!$F$149)=0,1,0)+Inputs!$F$150*IF(MOD(AJ35,Inputs!$F$151)=0,1,0)+Inputs!$F$152*IF(MOD(AJ35,Inputs!$F$153)=0,1,0),0)</f>
        <v/>
      </c>
      <c r="AK36" s="19">
        <f>IF(AK35&gt;0,Inputs!$F$148*IF(MOD(AK35,Inputs!$F$149)=0,1,0)+Inputs!$F$150*IF(MOD(AK35,Inputs!$F$151)=0,1,0)+Inputs!$F$152*IF(MOD(AK35,Inputs!$F$153)=0,1,0),0)</f>
        <v/>
      </c>
      <c r="AL36" s="19">
        <f>IF(AL35&gt;0,Inputs!$F$148*IF(MOD(AL35,Inputs!$F$149)=0,1,0)+Inputs!$F$150*IF(MOD(AL35,Inputs!$F$151)=0,1,0)+Inputs!$F$152*IF(MOD(AL35,Inputs!$F$153)=0,1,0),0)</f>
        <v/>
      </c>
      <c r="AM36" s="19">
        <f>IF(AM35&gt;0,Inputs!$F$148*IF(MOD(AM35,Inputs!$F$149)=0,1,0)+Inputs!$F$150*IF(MOD(AM35,Inputs!$F$151)=0,1,0)+Inputs!$F$152*IF(MOD(AM35,Inputs!$F$153)=0,1,0),0)</f>
        <v/>
      </c>
      <c r="AN36" s="19">
        <f>IF(AN35&gt;0,Inputs!$F$148*IF(MOD(AN35,Inputs!$F$149)=0,1,0)+Inputs!$F$150*IF(MOD(AN35,Inputs!$F$151)=0,1,0)+Inputs!$F$152*IF(MOD(AN35,Inputs!$F$153)=0,1,0),0)</f>
        <v/>
      </c>
      <c r="AO36" s="19">
        <f>IF(AO35&gt;0,Inputs!$F$148*IF(MOD(AO35,Inputs!$F$149)=0,1,0)+Inputs!$F$150*IF(MOD(AO35,Inputs!$F$151)=0,1,0)+Inputs!$F$152*IF(MOD(AO35,Inputs!$F$153)=0,1,0),0)</f>
        <v/>
      </c>
      <c r="AP36" s="19">
        <f>IF(AP35&gt;0,Inputs!$F$148*IF(MOD(AP35,Inputs!$F$149)=0,1,0)+Inputs!$F$150*IF(MOD(AP35,Inputs!$F$151)=0,1,0)+Inputs!$F$152*IF(MOD(AP35,Inputs!$F$153)=0,1,0),0)</f>
        <v/>
      </c>
      <c r="AQ36" s="19">
        <f>IF(AQ35&gt;0,Inputs!$F$148*IF(MOD(AQ35,Inputs!$F$149)=0,1,0)+Inputs!$F$150*IF(MOD(AQ35,Inputs!$F$151)=0,1,0)+Inputs!$F$152*IF(MOD(AQ35,Inputs!$F$153)=0,1,0),0)</f>
        <v/>
      </c>
      <c r="AR36" s="19">
        <f>IF(AR35&gt;0,Inputs!$F$148*IF(MOD(AR35,Inputs!$F$149)=0,1,0)+Inputs!$F$150*IF(MOD(AR35,Inputs!$F$151)=0,1,0)+Inputs!$F$152*IF(MOD(AR35,Inputs!$F$153)=0,1,0),0)</f>
        <v/>
      </c>
      <c r="AS36" s="19">
        <f>IF(AS35&gt;0,Inputs!$F$148*IF(MOD(AS35,Inputs!$F$149)=0,1,0)+Inputs!$F$150*IF(MOD(AS35,Inputs!$F$151)=0,1,0)+Inputs!$F$152*IF(MOD(AS35,Inputs!$F$153)=0,1,0),0)</f>
        <v/>
      </c>
      <c r="AT36" s="19">
        <f>IF(AT35&gt;0,Inputs!$F$148*IF(MOD(AT35,Inputs!$F$149)=0,1,0)+Inputs!$F$150*IF(MOD(AT35,Inputs!$F$151)=0,1,0)+Inputs!$F$152*IF(MOD(AT35,Inputs!$F$153)=0,1,0),0)</f>
        <v/>
      </c>
      <c r="AU36" s="19">
        <f>IF(AU35&gt;0,Inputs!$F$148*IF(MOD(AU35,Inputs!$F$149)=0,1,0)+Inputs!$F$150*IF(MOD(AU35,Inputs!$F$151)=0,1,0)+Inputs!$F$152*IF(MOD(AU35,Inputs!$F$153)=0,1,0),0)</f>
        <v/>
      </c>
      <c r="AV36" s="19">
        <f>IF(AV35&gt;0,Inputs!$F$148*IF(MOD(AV35,Inputs!$F$149)=0,1,0)+Inputs!$F$150*IF(MOD(AV35,Inputs!$F$151)=0,1,0)+Inputs!$F$152*IF(MOD(AV35,Inputs!$F$153)=0,1,0),0)</f>
        <v/>
      </c>
      <c r="AW36" s="19">
        <f>IF(AW35&gt;0,Inputs!$F$148*IF(MOD(AW35,Inputs!$F$149)=0,1,0)+Inputs!$F$150*IF(MOD(AW35,Inputs!$F$151)=0,1,0)+Inputs!$F$152*IF(MOD(AW35,Inputs!$F$153)=0,1,0),0)</f>
        <v/>
      </c>
      <c r="AX36" s="19">
        <f>IF(AX35&gt;0,Inputs!$F$148*IF(MOD(AX35,Inputs!$F$149)=0,1,0)+Inputs!$F$150*IF(MOD(AX35,Inputs!$F$151)=0,1,0)+Inputs!$F$152*IF(MOD(AX35,Inputs!$F$153)=0,1,0),0)</f>
        <v/>
      </c>
      <c r="AY36" s="19">
        <f>IF(AY35&gt;0,Inputs!$F$148*IF(MOD(AY35,Inputs!$F$149)=0,1,0)+Inputs!$F$150*IF(MOD(AY35,Inputs!$F$151)=0,1,0)+Inputs!$F$152*IF(MOD(AY35,Inputs!$F$153)=0,1,0),0)</f>
        <v/>
      </c>
      <c r="AZ36" s="19">
        <f>IF(AZ35&gt;0,Inputs!$F$148*IF(MOD(AZ35,Inputs!$F$149)=0,1,0)+Inputs!$F$150*IF(MOD(AZ35,Inputs!$F$151)=0,1,0)+Inputs!$F$152*IF(MOD(AZ35,Inputs!$F$153)=0,1,0),0)</f>
        <v/>
      </c>
      <c r="BA36" s="19">
        <f>IF(BA35&gt;0,Inputs!$F$148*IF(MOD(BA35,Inputs!$F$149)=0,1,0)+Inputs!$F$150*IF(MOD(BA35,Inputs!$F$151)=0,1,0)+Inputs!$F$152*IF(MOD(BA35,Inputs!$F$153)=0,1,0),0)</f>
        <v/>
      </c>
      <c r="BB36" s="19">
        <f>IF(BB35&gt;0,Inputs!$F$148*IF(MOD(BB35,Inputs!$F$149)=0,1,0)+Inputs!$F$150*IF(MOD(BB35,Inputs!$F$151)=0,1,0)+Inputs!$F$152*IF(MOD(BB35,Inputs!$F$153)=0,1,0),0)</f>
        <v/>
      </c>
      <c r="BC36" s="19">
        <f>IF(BC35&gt;0,Inputs!$F$148*IF(MOD(BC35,Inputs!$F$149)=0,1,0)+Inputs!$F$150*IF(MOD(BC35,Inputs!$F$151)=0,1,0)+Inputs!$F$152*IF(MOD(BC35,Inputs!$F$153)=0,1,0),0)</f>
        <v/>
      </c>
      <c r="BD36" s="19">
        <f>IF(BD35&gt;0,Inputs!$F$148*IF(MOD(BD35,Inputs!$F$149)=0,1,0)+Inputs!$F$150*IF(MOD(BD35,Inputs!$F$151)=0,1,0)+Inputs!$F$152*IF(MOD(BD35,Inputs!$F$153)=0,1,0),0)</f>
        <v/>
      </c>
      <c r="BE36" s="19">
        <f>IF(BE35&gt;0,Inputs!$F$148*IF(MOD(BE35,Inputs!$F$149)=0,1,0)+Inputs!$F$150*IF(MOD(BE35,Inputs!$F$151)=0,1,0)+Inputs!$F$152*IF(MOD(BE35,Inputs!$F$153)=0,1,0),0)</f>
        <v/>
      </c>
      <c r="BF36" s="19">
        <f>IF(BF35&gt;0,Inputs!$F$148*IF(MOD(BF35,Inputs!$F$149)=0,1,0)+Inputs!$F$150*IF(MOD(BF35,Inputs!$F$151)=0,1,0)+Inputs!$F$152*IF(MOD(BF35,Inputs!$F$153)=0,1,0),0)</f>
        <v/>
      </c>
      <c r="BG36" s="19">
        <f>IF(BG35&gt;0,Inputs!$F$148*IF(MOD(BG35,Inputs!$F$149)=0,1,0)+Inputs!$F$150*IF(MOD(BG35,Inputs!$F$151)=0,1,0)+Inputs!$F$152*IF(MOD(BG35,Inputs!$F$153)=0,1,0),0)</f>
        <v/>
      </c>
      <c r="BH36" s="19">
        <f>IF(BH35&gt;0,Inputs!$F$148*IF(MOD(BH35,Inputs!$F$149)=0,1,0)+Inputs!$F$150*IF(MOD(BH35,Inputs!$F$151)=0,1,0)+Inputs!$F$152*IF(MOD(BH35,Inputs!$F$153)=0,1,0),0)</f>
        <v/>
      </c>
      <c r="BI36" s="19">
        <f>IF(BI35&gt;0,Inputs!$F$148*IF(MOD(BI35,Inputs!$F$149)=0,1,0)+Inputs!$F$150*IF(MOD(BI35,Inputs!$F$151)=0,1,0)+Inputs!$F$152*IF(MOD(BI35,Inputs!$F$153)=0,1,0),0)</f>
        <v/>
      </c>
      <c r="BJ36" s="19">
        <f>IF(BJ35&gt;0,Inputs!$F$148*IF(MOD(BJ35,Inputs!$F$149)=0,1,0)+Inputs!$F$150*IF(MOD(BJ35,Inputs!$F$151)=0,1,0)+Inputs!$F$152*IF(MOD(BJ35,Inputs!$F$153)=0,1,0),0)</f>
        <v/>
      </c>
      <c r="BK36" s="19">
        <f>IF(BK35&gt;0,Inputs!$F$148*IF(MOD(BK35,Inputs!$F$149)=0,1,0)+Inputs!$F$150*IF(MOD(BK35,Inputs!$F$151)=0,1,0)+Inputs!$F$152*IF(MOD(BK35,Inputs!$F$153)=0,1,0),0)</f>
        <v/>
      </c>
      <c r="BL36" s="19">
        <f>IF(BL35&gt;0,Inputs!$F$148*IF(MOD(BL35,Inputs!$F$149)=0,1,0)+Inputs!$F$150*IF(MOD(BL35,Inputs!$F$151)=0,1,0)+Inputs!$F$152*IF(MOD(BL35,Inputs!$F$153)=0,1,0),0)</f>
        <v/>
      </c>
      <c r="BM36" s="19">
        <f>IF(BM35&gt;0,Inputs!$F$148*IF(MOD(BM35,Inputs!$F$149)=0,1,0)+Inputs!$F$150*IF(MOD(BM35,Inputs!$F$151)=0,1,0)+Inputs!$F$152*IF(MOD(BM35,Inputs!$F$153)=0,1,0),0)</f>
        <v/>
      </c>
      <c r="BN36" s="19">
        <f>IF(BN35&gt;0,Inputs!$F$148*IF(MOD(BN35,Inputs!$F$149)=0,1,0)+Inputs!$F$150*IF(MOD(BN35,Inputs!$F$151)=0,1,0)+Inputs!$F$152*IF(MOD(BN35,Inputs!$F$153)=0,1,0),0)</f>
        <v/>
      </c>
      <c r="BO36" s="19">
        <f>IF(BO35&gt;0,Inputs!$F$148*IF(MOD(BO35,Inputs!$F$149)=0,1,0)+Inputs!$F$150*IF(MOD(BO35,Inputs!$F$151)=0,1,0)+Inputs!$F$152*IF(MOD(BO35,Inputs!$F$153)=0,1,0),0)</f>
        <v/>
      </c>
      <c r="BP36" s="19">
        <f>IF(BP35&gt;0,Inputs!$F$148*IF(MOD(BP35,Inputs!$F$149)=0,1,0)+Inputs!$F$150*IF(MOD(BP35,Inputs!$F$151)=0,1,0)+Inputs!$F$152*IF(MOD(BP35,Inputs!$F$153)=0,1,0),0)</f>
        <v/>
      </c>
      <c r="BQ36" s="19">
        <f>IF(BQ35&gt;0,Inputs!$F$148*IF(MOD(BQ35,Inputs!$F$149)=0,1,0)+Inputs!$F$150*IF(MOD(BQ35,Inputs!$F$151)=0,1,0)+Inputs!$F$152*IF(MOD(BQ35,Inputs!$F$153)=0,1,0),0)</f>
        <v/>
      </c>
      <c r="BR36" s="19">
        <f>IF(BR35&gt;0,Inputs!$F$148*IF(MOD(BR35,Inputs!$F$149)=0,1,0)+Inputs!$F$150*IF(MOD(BR35,Inputs!$F$151)=0,1,0)+Inputs!$F$152*IF(MOD(BR35,Inputs!$F$153)=0,1,0),0)</f>
        <v/>
      </c>
      <c r="BS36" s="19">
        <f>IF(BS35&gt;0,Inputs!$F$148*IF(MOD(BS35,Inputs!$F$149)=0,1,0)+Inputs!$F$150*IF(MOD(BS35,Inputs!$F$151)=0,1,0)+Inputs!$F$152*IF(MOD(BS35,Inputs!$F$153)=0,1,0),0)</f>
        <v/>
      </c>
      <c r="BT36" s="19">
        <f>IF(BT35&gt;0,Inputs!$F$148*IF(MOD(BT35,Inputs!$F$149)=0,1,0)+Inputs!$F$150*IF(MOD(BT35,Inputs!$F$151)=0,1,0)+Inputs!$F$152*IF(MOD(BT35,Inputs!$F$153)=0,1,0),0)</f>
        <v/>
      </c>
      <c r="BU36" s="19">
        <f>IF(BU35&gt;0,Inputs!$F$148*IF(MOD(BU35,Inputs!$F$149)=0,1,0)+Inputs!$F$150*IF(MOD(BU35,Inputs!$F$151)=0,1,0)+Inputs!$F$152*IF(MOD(BU35,Inputs!$F$153)=0,1,0),0)</f>
        <v/>
      </c>
      <c r="BV36" s="19">
        <f>IF(BV35&gt;0,Inputs!$F$148*IF(MOD(BV35,Inputs!$F$149)=0,1,0)+Inputs!$F$150*IF(MOD(BV35,Inputs!$F$151)=0,1,0)+Inputs!$F$152*IF(MOD(BV35,Inputs!$F$153)=0,1,0),0)</f>
        <v/>
      </c>
      <c r="BW36" s="19">
        <f>IF(BW35&gt;0,Inputs!$F$148*IF(MOD(BW35,Inputs!$F$149)=0,1,0)+Inputs!$F$150*IF(MOD(BW35,Inputs!$F$151)=0,1,0)+Inputs!$F$152*IF(MOD(BW35,Inputs!$F$153)=0,1,0),0)</f>
        <v/>
      </c>
      <c r="BX36" s="19">
        <f>IF(BX35&gt;0,Inputs!$F$148*IF(MOD(BX35,Inputs!$F$149)=0,1,0)+Inputs!$F$150*IF(MOD(BX35,Inputs!$F$151)=0,1,0)+Inputs!$F$152*IF(MOD(BX35,Inputs!$F$153)=0,1,0),0)</f>
        <v/>
      </c>
      <c r="BY36" s="19">
        <f>IF(BY35&gt;0,Inputs!$F$148*IF(MOD(BY35,Inputs!$F$149)=0,1,0)+Inputs!$F$150*IF(MOD(BY35,Inputs!$F$151)=0,1,0)+Inputs!$F$152*IF(MOD(BY35,Inputs!$F$153)=0,1,0),0)</f>
        <v/>
      </c>
      <c r="BZ36" s="19">
        <f>IF(BZ35&gt;0,Inputs!$F$148*IF(MOD(BZ35,Inputs!$F$149)=0,1,0)+Inputs!$F$150*IF(MOD(BZ35,Inputs!$F$151)=0,1,0)+Inputs!$F$152*IF(MOD(BZ35,Inputs!$F$153)=0,1,0),0)</f>
        <v/>
      </c>
      <c r="CA36" s="19">
        <f>IF(CA35&gt;0,Inputs!$F$148*IF(MOD(CA35,Inputs!$F$149)=0,1,0)+Inputs!$F$150*IF(MOD(CA35,Inputs!$F$151)=0,1,0)+Inputs!$F$152*IF(MOD(CA35,Inputs!$F$153)=0,1,0),0)</f>
        <v/>
      </c>
      <c r="CB36" s="19">
        <f>IF(CB35&gt;0,Inputs!$F$148*IF(MOD(CB35,Inputs!$F$149)=0,1,0)+Inputs!$F$150*IF(MOD(CB35,Inputs!$F$151)=0,1,0)+Inputs!$F$152*IF(MOD(CB35,Inputs!$F$153)=0,1,0),0)</f>
        <v/>
      </c>
      <c r="CC36" s="19">
        <f>IF(CC35&gt;0,Inputs!$F$148*IF(MOD(CC35,Inputs!$F$149)=0,1,0)+Inputs!$F$150*IF(MOD(CC35,Inputs!$F$151)=0,1,0)+Inputs!$F$152*IF(MOD(CC35,Inputs!$F$153)=0,1,0),0)</f>
        <v/>
      </c>
      <c r="CD36" s="19">
        <f>IF(CD35&gt;0,Inputs!$F$148*IF(MOD(CD35,Inputs!$F$149)=0,1,0)+Inputs!$F$150*IF(MOD(CD35,Inputs!$F$151)=0,1,0)+Inputs!$F$152*IF(MOD(CD35,Inputs!$F$153)=0,1,0),0)</f>
        <v/>
      </c>
      <c r="CE36" s="19">
        <f>IF(CE35&gt;0,Inputs!$F$148*IF(MOD(CE35,Inputs!$F$149)=0,1,0)+Inputs!$F$150*IF(MOD(CE35,Inputs!$F$151)=0,1,0)+Inputs!$F$152*IF(MOD(CE35,Inputs!$F$153)=0,1,0),0)</f>
        <v/>
      </c>
      <c r="CF36" s="19">
        <f>IF(CF35&gt;0,Inputs!$F$148*IF(MOD(CF35,Inputs!$F$149)=0,1,0)+Inputs!$F$150*IF(MOD(CF35,Inputs!$F$151)=0,1,0)+Inputs!$F$152*IF(MOD(CF35,Inputs!$F$153)=0,1,0),0)</f>
        <v/>
      </c>
      <c r="CG36" s="19">
        <f>IF(CG35&gt;0,Inputs!$F$148*IF(MOD(CG35,Inputs!$F$149)=0,1,0)+Inputs!$F$150*IF(MOD(CG35,Inputs!$F$151)=0,1,0)+Inputs!$F$152*IF(MOD(CG35,Inputs!$F$153)=0,1,0),0)</f>
        <v/>
      </c>
      <c r="CH36" s="19">
        <f>IF(CH35&gt;0,Inputs!$F$148*IF(MOD(CH35,Inputs!$F$149)=0,1,0)+Inputs!$F$150*IF(MOD(CH35,Inputs!$F$151)=0,1,0)+Inputs!$F$152*IF(MOD(CH35,Inputs!$F$153)=0,1,0),0)</f>
        <v/>
      </c>
      <c r="CI36" s="19">
        <f>IF(CI35&gt;0,Inputs!$F$148*IF(MOD(CI35,Inputs!$F$149)=0,1,0)+Inputs!$F$150*IF(MOD(CI35,Inputs!$F$151)=0,1,0)+Inputs!$F$152*IF(MOD(CI35,Inputs!$F$153)=0,1,0),0)</f>
        <v/>
      </c>
      <c r="CJ36" s="19">
        <f>IF(CJ35&gt;0,Inputs!$F$148*IF(MOD(CJ35,Inputs!$F$149)=0,1,0)+Inputs!$F$150*IF(MOD(CJ35,Inputs!$F$151)=0,1,0)+Inputs!$F$152*IF(MOD(CJ35,Inputs!$F$153)=0,1,0),0)</f>
        <v/>
      </c>
      <c r="CK36" s="19">
        <f>IF(CK35&gt;0,Inputs!$F$148*IF(MOD(CK35,Inputs!$F$149)=0,1,0)+Inputs!$F$150*IF(MOD(CK35,Inputs!$F$151)=0,1,0)+Inputs!$F$152*IF(MOD(CK35,Inputs!$F$153)=0,1,0),0)</f>
        <v/>
      </c>
      <c r="CL36" s="19">
        <f>IF(CL35&gt;0,Inputs!$F$148*IF(MOD(CL35,Inputs!$F$149)=0,1,0)+Inputs!$F$150*IF(MOD(CL35,Inputs!$F$151)=0,1,0)+Inputs!$F$152*IF(MOD(CL35,Inputs!$F$153)=0,1,0),0)</f>
        <v/>
      </c>
      <c r="CM36" s="19">
        <f>IF(CM35&gt;0,Inputs!$F$148*IF(MOD(CM35,Inputs!$F$149)=0,1,0)+Inputs!$F$150*IF(MOD(CM35,Inputs!$F$151)=0,1,0)+Inputs!$F$152*IF(MOD(CM35,Inputs!$F$153)=0,1,0),0)</f>
        <v/>
      </c>
      <c r="CN36" s="19">
        <f>IF(CN35&gt;0,Inputs!$F$148*IF(MOD(CN35,Inputs!$F$149)=0,1,0)+Inputs!$F$150*IF(MOD(CN35,Inputs!$F$151)=0,1,0)+Inputs!$F$152*IF(MOD(CN35,Inputs!$F$153)=0,1,0),0)</f>
        <v/>
      </c>
      <c r="CO36" s="19">
        <f>IF(CO35&gt;0,Inputs!$F$148*IF(MOD(CO35,Inputs!$F$149)=0,1,0)+Inputs!$F$150*IF(MOD(CO35,Inputs!$F$151)=0,1,0)+Inputs!$F$152*IF(MOD(CO35,Inputs!$F$153)=0,1,0),0)</f>
        <v/>
      </c>
      <c r="CP36" s="19">
        <f>IF(CP35&gt;0,Inputs!$F$148*IF(MOD(CP35,Inputs!$F$149)=0,1,0)+Inputs!$F$150*IF(MOD(CP35,Inputs!$F$151)=0,1,0)+Inputs!$F$152*IF(MOD(CP35,Inputs!$F$153)=0,1,0),0)</f>
        <v/>
      </c>
      <c r="CQ36" s="19">
        <f>IF(CQ35&gt;0,Inputs!$F$148*IF(MOD(CQ35,Inputs!$F$149)=0,1,0)+Inputs!$F$150*IF(MOD(CQ35,Inputs!$F$151)=0,1,0)+Inputs!$F$152*IF(MOD(CQ35,Inputs!$F$153)=0,1,0),0)</f>
        <v/>
      </c>
      <c r="CR36" s="19">
        <f>IF(CR35&gt;0,Inputs!$F$148*IF(MOD(CR35,Inputs!$F$149)=0,1,0)+Inputs!$F$150*IF(MOD(CR35,Inputs!$F$151)=0,1,0)+Inputs!$F$152*IF(MOD(CR35,Inputs!$F$153)=0,1,0),0)</f>
        <v/>
      </c>
      <c r="CS36" s="19">
        <f>IF(CS35&gt;0,Inputs!$F$148*IF(MOD(CS35,Inputs!$F$149)=0,1,0)+Inputs!$F$150*IF(MOD(CS35,Inputs!$F$151)=0,1,0)+Inputs!$F$152*IF(MOD(CS35,Inputs!$F$153)=0,1,0),0)</f>
        <v/>
      </c>
      <c r="CT36" s="19">
        <f>IF(CT35&gt;0,Inputs!$F$148*IF(MOD(CT35,Inputs!$F$149)=0,1,0)+Inputs!$F$150*IF(MOD(CT35,Inputs!$F$151)=0,1,0)+Inputs!$F$152*IF(MOD(CT35,Inputs!$F$153)=0,1,0),0)</f>
        <v/>
      </c>
      <c r="CU36" s="19">
        <f>IF(CU35&gt;0,Inputs!$F$148*IF(MOD(CU35,Inputs!$F$149)=0,1,0)+Inputs!$F$150*IF(MOD(CU35,Inputs!$F$151)=0,1,0)+Inputs!$F$152*IF(MOD(CU35,Inputs!$F$153)=0,1,0),0)</f>
        <v/>
      </c>
      <c r="CV36" s="19">
        <f>IF(CV35&gt;0,Inputs!$F$148*IF(MOD(CV35,Inputs!$F$149)=0,1,0)+Inputs!$F$150*IF(MOD(CV35,Inputs!$F$151)=0,1,0)+Inputs!$F$152*IF(MOD(CV35,Inputs!$F$153)=0,1,0),0)</f>
        <v/>
      </c>
      <c r="CW36" s="19">
        <f>IF(CW35&gt;0,Inputs!$F$148*IF(MOD(CW35,Inputs!$F$149)=0,1,0)+Inputs!$F$150*IF(MOD(CW35,Inputs!$F$151)=0,1,0)+Inputs!$F$152*IF(MOD(CW35,Inputs!$F$153)=0,1,0),0)</f>
        <v/>
      </c>
      <c r="CX36" s="19">
        <f>IF(CX35&gt;0,Inputs!$F$148*IF(MOD(CX35,Inputs!$F$149)=0,1,0)+Inputs!$F$150*IF(MOD(CX35,Inputs!$F$151)=0,1,0)+Inputs!$F$152*IF(MOD(CX35,Inputs!$F$153)=0,1,0),0)</f>
        <v/>
      </c>
      <c r="CY36" s="19">
        <f>IF(CY35&gt;0,Inputs!$F$148*IF(MOD(CY35,Inputs!$F$149)=0,1,0)+Inputs!$F$150*IF(MOD(CY35,Inputs!$F$151)=0,1,0)+Inputs!$F$152*IF(MOD(CY35,Inputs!$F$153)=0,1,0),0)</f>
        <v/>
      </c>
      <c r="CZ36" s="19">
        <f>IF(CZ35&gt;0,Inputs!$F$148*IF(MOD(CZ35,Inputs!$F$149)=0,1,0)+Inputs!$F$150*IF(MOD(CZ35,Inputs!$F$151)=0,1,0)+Inputs!$F$152*IF(MOD(CZ35,Inputs!$F$153)=0,1,0),0)</f>
        <v/>
      </c>
      <c r="DA36" s="19">
        <f>IF(DA35&gt;0,Inputs!$F$148*IF(MOD(DA35,Inputs!$F$149)=0,1,0)+Inputs!$F$150*IF(MOD(DA35,Inputs!$F$151)=0,1,0)+Inputs!$F$152*IF(MOD(DA35,Inputs!$F$153)=0,1,0),0)</f>
        <v/>
      </c>
      <c r="DB36" s="19">
        <f>IF(DB35&gt;0,Inputs!$F$148*IF(MOD(DB35,Inputs!$F$149)=0,1,0)+Inputs!$F$150*IF(MOD(DB35,Inputs!$F$151)=0,1,0)+Inputs!$F$152*IF(MOD(DB35,Inputs!$F$153)=0,1,0),0)</f>
        <v/>
      </c>
    </row>
    <row r="37">
      <c r="D37" t="inlineStr">
        <is>
          <t>Lifecycle works (nominal), paid from the MMRA</t>
        </is>
      </c>
      <c r="E37" t="inlineStr">
        <is>
          <t>ARD m</t>
        </is>
      </c>
      <c r="G37" s="19">
        <f>SUM(J37:DB37)</f>
        <v/>
      </c>
      <c r="J37" s="19">
        <f>J36*Time!J56*Inputs!$F$223</f>
        <v/>
      </c>
      <c r="K37" s="19">
        <f>K36*Time!K56*Inputs!$F$223</f>
        <v/>
      </c>
      <c r="L37" s="19">
        <f>L36*Time!L56*Inputs!$F$223</f>
        <v/>
      </c>
      <c r="M37" s="19">
        <f>M36*Time!M56*Inputs!$F$223</f>
        <v/>
      </c>
      <c r="N37" s="19">
        <f>N36*Time!N56*Inputs!$F$223</f>
        <v/>
      </c>
      <c r="O37" s="19">
        <f>O36*Time!O56*Inputs!$F$223</f>
        <v/>
      </c>
      <c r="P37" s="19">
        <f>P36*Time!P56*Inputs!$F$223</f>
        <v/>
      </c>
      <c r="Q37" s="19">
        <f>Q36*Time!Q56*Inputs!$F$223</f>
        <v/>
      </c>
      <c r="R37" s="19">
        <f>R36*Time!R56*Inputs!$F$223</f>
        <v/>
      </c>
      <c r="S37" s="19">
        <f>S36*Time!S56*Inputs!$F$223</f>
        <v/>
      </c>
      <c r="T37" s="19">
        <f>T36*Time!T56*Inputs!$F$223</f>
        <v/>
      </c>
      <c r="U37" s="19">
        <f>U36*Time!U56*Inputs!$F$223</f>
        <v/>
      </c>
      <c r="V37" s="19">
        <f>V36*Time!V56*Inputs!$F$223</f>
        <v/>
      </c>
      <c r="W37" s="19">
        <f>W36*Time!W56*Inputs!$F$223</f>
        <v/>
      </c>
      <c r="X37" s="19">
        <f>X36*Time!X56*Inputs!$F$223</f>
        <v/>
      </c>
      <c r="Y37" s="19">
        <f>Y36*Time!Y56*Inputs!$F$223</f>
        <v/>
      </c>
      <c r="Z37" s="19">
        <f>Z36*Time!Z56*Inputs!$F$223</f>
        <v/>
      </c>
      <c r="AA37" s="19">
        <f>AA36*Time!AA56*Inputs!$F$223</f>
        <v/>
      </c>
      <c r="AB37" s="19">
        <f>AB36*Time!AB56*Inputs!$F$223</f>
        <v/>
      </c>
      <c r="AC37" s="19">
        <f>AC36*Time!AC56*Inputs!$F$223</f>
        <v/>
      </c>
      <c r="AD37" s="19">
        <f>AD36*Time!AD56*Inputs!$F$223</f>
        <v/>
      </c>
      <c r="AE37" s="19">
        <f>AE36*Time!AE56*Inputs!$F$223</f>
        <v/>
      </c>
      <c r="AF37" s="19">
        <f>AF36*Time!AF56*Inputs!$F$223</f>
        <v/>
      </c>
      <c r="AG37" s="19">
        <f>AG36*Time!AG56*Inputs!$F$223</f>
        <v/>
      </c>
      <c r="AH37" s="19">
        <f>AH36*Time!AH56*Inputs!$F$223</f>
        <v/>
      </c>
      <c r="AI37" s="19">
        <f>AI36*Time!AI56*Inputs!$F$223</f>
        <v/>
      </c>
      <c r="AJ37" s="19">
        <f>AJ36*Time!AJ56*Inputs!$F$223</f>
        <v/>
      </c>
      <c r="AK37" s="19">
        <f>AK36*Time!AK56*Inputs!$F$223</f>
        <v/>
      </c>
      <c r="AL37" s="19">
        <f>AL36*Time!AL56*Inputs!$F$223</f>
        <v/>
      </c>
      <c r="AM37" s="19">
        <f>AM36*Time!AM56*Inputs!$F$223</f>
        <v/>
      </c>
      <c r="AN37" s="19">
        <f>AN36*Time!AN56*Inputs!$F$223</f>
        <v/>
      </c>
      <c r="AO37" s="19">
        <f>AO36*Time!AO56*Inputs!$F$223</f>
        <v/>
      </c>
      <c r="AP37" s="19">
        <f>AP36*Time!AP56*Inputs!$F$223</f>
        <v/>
      </c>
      <c r="AQ37" s="19">
        <f>AQ36*Time!AQ56*Inputs!$F$223</f>
        <v/>
      </c>
      <c r="AR37" s="19">
        <f>AR36*Time!AR56*Inputs!$F$223</f>
        <v/>
      </c>
      <c r="AS37" s="19">
        <f>AS36*Time!AS56*Inputs!$F$223</f>
        <v/>
      </c>
      <c r="AT37" s="19">
        <f>AT36*Time!AT56*Inputs!$F$223</f>
        <v/>
      </c>
      <c r="AU37" s="19">
        <f>AU36*Time!AU56*Inputs!$F$223</f>
        <v/>
      </c>
      <c r="AV37" s="19">
        <f>AV36*Time!AV56*Inputs!$F$223</f>
        <v/>
      </c>
      <c r="AW37" s="19">
        <f>AW36*Time!AW56*Inputs!$F$223</f>
        <v/>
      </c>
      <c r="AX37" s="19">
        <f>AX36*Time!AX56*Inputs!$F$223</f>
        <v/>
      </c>
      <c r="AY37" s="19">
        <f>AY36*Time!AY56*Inputs!$F$223</f>
        <v/>
      </c>
      <c r="AZ37" s="19">
        <f>AZ36*Time!AZ56*Inputs!$F$223</f>
        <v/>
      </c>
      <c r="BA37" s="19">
        <f>BA36*Time!BA56*Inputs!$F$223</f>
        <v/>
      </c>
      <c r="BB37" s="19">
        <f>BB36*Time!BB56*Inputs!$F$223</f>
        <v/>
      </c>
      <c r="BC37" s="19">
        <f>BC36*Time!BC56*Inputs!$F$223</f>
        <v/>
      </c>
      <c r="BD37" s="19">
        <f>BD36*Time!BD56*Inputs!$F$223</f>
        <v/>
      </c>
      <c r="BE37" s="19">
        <f>BE36*Time!BE56*Inputs!$F$223</f>
        <v/>
      </c>
      <c r="BF37" s="19">
        <f>BF36*Time!BF56*Inputs!$F$223</f>
        <v/>
      </c>
      <c r="BG37" s="19">
        <f>BG36*Time!BG56*Inputs!$F$223</f>
        <v/>
      </c>
      <c r="BH37" s="19">
        <f>BH36*Time!BH56*Inputs!$F$223</f>
        <v/>
      </c>
      <c r="BI37" s="19">
        <f>BI36*Time!BI56*Inputs!$F$223</f>
        <v/>
      </c>
      <c r="BJ37" s="19">
        <f>BJ36*Time!BJ56*Inputs!$F$223</f>
        <v/>
      </c>
      <c r="BK37" s="19">
        <f>BK36*Time!BK56*Inputs!$F$223</f>
        <v/>
      </c>
      <c r="BL37" s="19">
        <f>BL36*Time!BL56*Inputs!$F$223</f>
        <v/>
      </c>
      <c r="BM37" s="19">
        <f>BM36*Time!BM56*Inputs!$F$223</f>
        <v/>
      </c>
      <c r="BN37" s="19">
        <f>BN36*Time!BN56*Inputs!$F$223</f>
        <v/>
      </c>
      <c r="BO37" s="19">
        <f>BO36*Time!BO56*Inputs!$F$223</f>
        <v/>
      </c>
      <c r="BP37" s="19">
        <f>BP36*Time!BP56*Inputs!$F$223</f>
        <v/>
      </c>
      <c r="BQ37" s="19">
        <f>BQ36*Time!BQ56*Inputs!$F$223</f>
        <v/>
      </c>
      <c r="BR37" s="19">
        <f>BR36*Time!BR56*Inputs!$F$223</f>
        <v/>
      </c>
      <c r="BS37" s="19">
        <f>BS36*Time!BS56*Inputs!$F$223</f>
        <v/>
      </c>
      <c r="BT37" s="19">
        <f>BT36*Time!BT56*Inputs!$F$223</f>
        <v/>
      </c>
      <c r="BU37" s="19">
        <f>BU36*Time!BU56*Inputs!$F$223</f>
        <v/>
      </c>
      <c r="BV37" s="19">
        <f>BV36*Time!BV56*Inputs!$F$223</f>
        <v/>
      </c>
      <c r="BW37" s="19">
        <f>BW36*Time!BW56*Inputs!$F$223</f>
        <v/>
      </c>
      <c r="BX37" s="19">
        <f>BX36*Time!BX56*Inputs!$F$223</f>
        <v/>
      </c>
      <c r="BY37" s="19">
        <f>BY36*Time!BY56*Inputs!$F$223</f>
        <v/>
      </c>
      <c r="BZ37" s="19">
        <f>BZ36*Time!BZ56*Inputs!$F$223</f>
        <v/>
      </c>
      <c r="CA37" s="19">
        <f>CA36*Time!CA56*Inputs!$F$223</f>
        <v/>
      </c>
      <c r="CB37" s="19">
        <f>CB36*Time!CB56*Inputs!$F$223</f>
        <v/>
      </c>
      <c r="CC37" s="19">
        <f>CC36*Time!CC56*Inputs!$F$223</f>
        <v/>
      </c>
      <c r="CD37" s="19">
        <f>CD36*Time!CD56*Inputs!$F$223</f>
        <v/>
      </c>
      <c r="CE37" s="19">
        <f>CE36*Time!CE56*Inputs!$F$223</f>
        <v/>
      </c>
      <c r="CF37" s="19">
        <f>CF36*Time!CF56*Inputs!$F$223</f>
        <v/>
      </c>
      <c r="CG37" s="19">
        <f>CG36*Time!CG56*Inputs!$F$223</f>
        <v/>
      </c>
      <c r="CH37" s="19">
        <f>CH36*Time!CH56*Inputs!$F$223</f>
        <v/>
      </c>
      <c r="CI37" s="19">
        <f>CI36*Time!CI56*Inputs!$F$223</f>
        <v/>
      </c>
      <c r="CJ37" s="19">
        <f>CJ36*Time!CJ56*Inputs!$F$223</f>
        <v/>
      </c>
      <c r="CK37" s="19">
        <f>CK36*Time!CK56*Inputs!$F$223</f>
        <v/>
      </c>
      <c r="CL37" s="19">
        <f>CL36*Time!CL56*Inputs!$F$223</f>
        <v/>
      </c>
      <c r="CM37" s="19">
        <f>CM36*Time!CM56*Inputs!$F$223</f>
        <v/>
      </c>
      <c r="CN37" s="19">
        <f>CN36*Time!CN56*Inputs!$F$223</f>
        <v/>
      </c>
      <c r="CO37" s="19">
        <f>CO36*Time!CO56*Inputs!$F$223</f>
        <v/>
      </c>
      <c r="CP37" s="19">
        <f>CP36*Time!CP56*Inputs!$F$223</f>
        <v/>
      </c>
      <c r="CQ37" s="19">
        <f>CQ36*Time!CQ56*Inputs!$F$223</f>
        <v/>
      </c>
      <c r="CR37" s="19">
        <f>CR36*Time!CR56*Inputs!$F$223</f>
        <v/>
      </c>
      <c r="CS37" s="19">
        <f>CS36*Time!CS56*Inputs!$F$223</f>
        <v/>
      </c>
      <c r="CT37" s="19">
        <f>CT36*Time!CT56*Inputs!$F$223</f>
        <v/>
      </c>
      <c r="CU37" s="19">
        <f>CU36*Time!CU56*Inputs!$F$223</f>
        <v/>
      </c>
      <c r="CV37" s="19">
        <f>CV36*Time!CV56*Inputs!$F$223</f>
        <v/>
      </c>
      <c r="CW37" s="19">
        <f>CW36*Time!CW56*Inputs!$F$223</f>
        <v/>
      </c>
      <c r="CX37" s="19">
        <f>CX36*Time!CX56*Inputs!$F$223</f>
        <v/>
      </c>
      <c r="CY37" s="19">
        <f>CY36*Time!CY56*Inputs!$F$223</f>
        <v/>
      </c>
      <c r="CZ37" s="19">
        <f>CZ36*Time!CZ56*Inputs!$F$223</f>
        <v/>
      </c>
      <c r="DA37" s="19">
        <f>DA36*Time!DA56*Inputs!$F$223</f>
        <v/>
      </c>
      <c r="DB37" s="19">
        <f>DB36*Time!DB56*Inputs!$F$223</f>
        <v/>
      </c>
    </row>
    <row r="38">
      <c r="D38" t="inlineStr">
        <is>
          <t>Lifecycle reserve contribution (next six periods / 6)</t>
        </is>
      </c>
      <c r="E38" t="inlineStr">
        <is>
          <t>ARD m</t>
        </is>
      </c>
      <c r="G38" s="19">
        <f>SUM(J38:DB38)</f>
        <v/>
      </c>
      <c r="J38" s="19">
        <f>SUM(K37:P37)/Inputs!$F$154</f>
        <v/>
      </c>
      <c r="K38" s="19">
        <f>SUM(L37:Q37)/Inputs!$F$154</f>
        <v/>
      </c>
      <c r="L38" s="19">
        <f>SUM(M37:R37)/Inputs!$F$154</f>
        <v/>
      </c>
      <c r="M38" s="19">
        <f>SUM(N37:S37)/Inputs!$F$154</f>
        <v/>
      </c>
      <c r="N38" s="19">
        <f>SUM(O37:T37)/Inputs!$F$154</f>
        <v/>
      </c>
      <c r="O38" s="19">
        <f>SUM(P37:U37)/Inputs!$F$154</f>
        <v/>
      </c>
      <c r="P38" s="19">
        <f>SUM(Q37:V37)/Inputs!$F$154</f>
        <v/>
      </c>
      <c r="Q38" s="19">
        <f>SUM(R37:W37)/Inputs!$F$154</f>
        <v/>
      </c>
      <c r="R38" s="19">
        <f>SUM(S37:X37)/Inputs!$F$154</f>
        <v/>
      </c>
      <c r="S38" s="19">
        <f>SUM(T37:Y37)/Inputs!$F$154</f>
        <v/>
      </c>
      <c r="T38" s="19">
        <f>SUM(U37:Z37)/Inputs!$F$154</f>
        <v/>
      </c>
      <c r="U38" s="19">
        <f>SUM(V37:AA37)/Inputs!$F$154</f>
        <v/>
      </c>
      <c r="V38" s="19">
        <f>SUM(W37:AB37)/Inputs!$F$154</f>
        <v/>
      </c>
      <c r="W38" s="19">
        <f>SUM(X37:AC37)/Inputs!$F$154</f>
        <v/>
      </c>
      <c r="X38" s="19">
        <f>SUM(Y37:AD37)/Inputs!$F$154</f>
        <v/>
      </c>
      <c r="Y38" s="19">
        <f>SUM(Z37:AE37)/Inputs!$F$154</f>
        <v/>
      </c>
      <c r="Z38" s="19">
        <f>SUM(AA37:AF37)/Inputs!$F$154</f>
        <v/>
      </c>
      <c r="AA38" s="19">
        <f>SUM(AB37:AG37)/Inputs!$F$154</f>
        <v/>
      </c>
      <c r="AB38" s="19">
        <f>SUM(AC37:AH37)/Inputs!$F$154</f>
        <v/>
      </c>
      <c r="AC38" s="19">
        <f>SUM(AD37:AI37)/Inputs!$F$154</f>
        <v/>
      </c>
      <c r="AD38" s="19">
        <f>SUM(AE37:AJ37)/Inputs!$F$154</f>
        <v/>
      </c>
      <c r="AE38" s="19">
        <f>SUM(AF37:AK37)/Inputs!$F$154</f>
        <v/>
      </c>
      <c r="AF38" s="19">
        <f>SUM(AG37:AL37)/Inputs!$F$154</f>
        <v/>
      </c>
      <c r="AG38" s="19">
        <f>SUM(AH37:AM37)/Inputs!$F$154</f>
        <v/>
      </c>
      <c r="AH38" s="19">
        <f>SUM(AI37:AN37)/Inputs!$F$154</f>
        <v/>
      </c>
      <c r="AI38" s="19">
        <f>SUM(AJ37:AO37)/Inputs!$F$154</f>
        <v/>
      </c>
      <c r="AJ38" s="19">
        <f>SUM(AK37:AP37)/Inputs!$F$154</f>
        <v/>
      </c>
      <c r="AK38" s="19">
        <f>SUM(AL37:AQ37)/Inputs!$F$154</f>
        <v/>
      </c>
      <c r="AL38" s="19">
        <f>SUM(AM37:AR37)/Inputs!$F$154</f>
        <v/>
      </c>
      <c r="AM38" s="19">
        <f>SUM(AN37:AS37)/Inputs!$F$154</f>
        <v/>
      </c>
      <c r="AN38" s="19">
        <f>SUM(AO37:AT37)/Inputs!$F$154</f>
        <v/>
      </c>
      <c r="AO38" s="19">
        <f>SUM(AP37:AU37)/Inputs!$F$154</f>
        <v/>
      </c>
      <c r="AP38" s="19">
        <f>SUM(AQ37:AV37)/Inputs!$F$154</f>
        <v/>
      </c>
      <c r="AQ38" s="19">
        <f>SUM(AR37:AW37)/Inputs!$F$154</f>
        <v/>
      </c>
      <c r="AR38" s="19">
        <f>SUM(AS37:AX37)/Inputs!$F$154</f>
        <v/>
      </c>
      <c r="AS38" s="19">
        <f>SUM(AT37:AY37)/Inputs!$F$154</f>
        <v/>
      </c>
      <c r="AT38" s="19">
        <f>SUM(AU37:AZ37)/Inputs!$F$154</f>
        <v/>
      </c>
      <c r="AU38" s="19">
        <f>SUM(AV37:BA37)/Inputs!$F$154</f>
        <v/>
      </c>
      <c r="AV38" s="19">
        <f>SUM(AW37:BB37)/Inputs!$F$154</f>
        <v/>
      </c>
      <c r="AW38" s="19">
        <f>SUM(AX37:BC37)/Inputs!$F$154</f>
        <v/>
      </c>
      <c r="AX38" s="19">
        <f>SUM(AY37:BD37)/Inputs!$F$154</f>
        <v/>
      </c>
      <c r="AY38" s="19">
        <f>SUM(AZ37:BE37)/Inputs!$F$154</f>
        <v/>
      </c>
      <c r="AZ38" s="19">
        <f>SUM(BA37:BF37)/Inputs!$F$154</f>
        <v/>
      </c>
      <c r="BA38" s="19">
        <f>SUM(BB37:BG37)/Inputs!$F$154</f>
        <v/>
      </c>
      <c r="BB38" s="19">
        <f>SUM(BC37:BH37)/Inputs!$F$154</f>
        <v/>
      </c>
      <c r="BC38" s="19">
        <f>SUM(BD37:BI37)/Inputs!$F$154</f>
        <v/>
      </c>
      <c r="BD38" s="19">
        <f>SUM(BE37:BJ37)/Inputs!$F$154</f>
        <v/>
      </c>
      <c r="BE38" s="19">
        <f>SUM(BF37:BK37)/Inputs!$F$154</f>
        <v/>
      </c>
      <c r="BF38" s="19">
        <f>SUM(BG37:BL37)/Inputs!$F$154</f>
        <v/>
      </c>
      <c r="BG38" s="19">
        <f>SUM(BH37:BM37)/Inputs!$F$154</f>
        <v/>
      </c>
      <c r="BH38" s="19">
        <f>SUM(BI37:BN37)/Inputs!$F$154</f>
        <v/>
      </c>
      <c r="BI38" s="19">
        <f>SUM(BJ37:BO37)/Inputs!$F$154</f>
        <v/>
      </c>
      <c r="BJ38" s="19">
        <f>SUM(BK37:BP37)/Inputs!$F$154</f>
        <v/>
      </c>
      <c r="BK38" s="19">
        <f>SUM(BL37:BQ37)/Inputs!$F$154</f>
        <v/>
      </c>
      <c r="BL38" s="19">
        <f>SUM(BM37:BR37)/Inputs!$F$154</f>
        <v/>
      </c>
      <c r="BM38" s="19">
        <f>SUM(BN37:BS37)/Inputs!$F$154</f>
        <v/>
      </c>
      <c r="BN38" s="19">
        <f>SUM(BO37:BT37)/Inputs!$F$154</f>
        <v/>
      </c>
      <c r="BO38" s="19">
        <f>SUM(BP37:BU37)/Inputs!$F$154</f>
        <v/>
      </c>
      <c r="BP38" s="19">
        <f>SUM(BQ37:BV37)/Inputs!$F$154</f>
        <v/>
      </c>
      <c r="BQ38" s="19">
        <f>SUM(BR37:BW37)/Inputs!$F$154</f>
        <v/>
      </c>
      <c r="BR38" s="19">
        <f>SUM(BS37:BX37)/Inputs!$F$154</f>
        <v/>
      </c>
      <c r="BS38" s="19">
        <f>SUM(BT37:BY37)/Inputs!$F$154</f>
        <v/>
      </c>
      <c r="BT38" s="19">
        <f>SUM(BU37:BZ37)/Inputs!$F$154</f>
        <v/>
      </c>
      <c r="BU38" s="19">
        <f>SUM(BV37:CA37)/Inputs!$F$154</f>
        <v/>
      </c>
      <c r="BV38" s="19">
        <f>SUM(BW37:CB37)/Inputs!$F$154</f>
        <v/>
      </c>
      <c r="BW38" s="19">
        <f>SUM(BX37:CC37)/Inputs!$F$154</f>
        <v/>
      </c>
      <c r="BX38" s="19">
        <f>SUM(BY37:CD37)/Inputs!$F$154</f>
        <v/>
      </c>
      <c r="BY38" s="19">
        <f>SUM(BZ37:CE37)/Inputs!$F$154</f>
        <v/>
      </c>
      <c r="BZ38" s="19">
        <f>SUM(CA37:CF37)/Inputs!$F$154</f>
        <v/>
      </c>
      <c r="CA38" s="19">
        <f>SUM(CB37:CG37)/Inputs!$F$154</f>
        <v/>
      </c>
      <c r="CB38" s="19">
        <f>SUM(CC37:CH37)/Inputs!$F$154</f>
        <v/>
      </c>
      <c r="CC38" s="19">
        <f>SUM(CD37:CI37)/Inputs!$F$154</f>
        <v/>
      </c>
      <c r="CD38" s="19">
        <f>SUM(CE37:CJ37)/Inputs!$F$154</f>
        <v/>
      </c>
      <c r="CE38" s="19">
        <f>SUM(CF37:CK37)/Inputs!$F$154</f>
        <v/>
      </c>
      <c r="CF38" s="19">
        <f>SUM(CG37:CL37)/Inputs!$F$154</f>
        <v/>
      </c>
      <c r="CG38" s="19">
        <f>SUM(CH37:CM37)/Inputs!$F$154</f>
        <v/>
      </c>
      <c r="CH38" s="19">
        <f>SUM(CI37:CN37)/Inputs!$F$154</f>
        <v/>
      </c>
      <c r="CI38" s="19">
        <f>SUM(CJ37:CO37)/Inputs!$F$154</f>
        <v/>
      </c>
      <c r="CJ38" s="19">
        <f>SUM(CK37:CP37)/Inputs!$F$154</f>
        <v/>
      </c>
      <c r="CK38" s="19">
        <f>SUM(CL37:CQ37)/Inputs!$F$154</f>
        <v/>
      </c>
      <c r="CL38" s="19">
        <f>SUM(CM37:CR37)/Inputs!$F$154</f>
        <v/>
      </c>
      <c r="CM38" s="19">
        <f>SUM(CN37:CS37)/Inputs!$F$154</f>
        <v/>
      </c>
      <c r="CN38" s="19">
        <f>SUM(CO37:CT37)/Inputs!$F$154</f>
        <v/>
      </c>
      <c r="CO38" s="19">
        <f>SUM(CP37:CU37)/Inputs!$F$154</f>
        <v/>
      </c>
      <c r="CP38" s="19">
        <f>SUM(CQ37:CV37)/Inputs!$F$154</f>
        <v/>
      </c>
      <c r="CQ38" s="19">
        <f>SUM(CR37:CW37)/Inputs!$F$154</f>
        <v/>
      </c>
      <c r="CR38" s="19">
        <f>SUM(CS37:CX37)/Inputs!$F$154</f>
        <v/>
      </c>
      <c r="CS38" s="19">
        <f>SUM(CT37:CY37)/Inputs!$F$154</f>
        <v/>
      </c>
      <c r="CT38" s="19">
        <f>SUM(CU37:CZ37)/Inputs!$F$154</f>
        <v/>
      </c>
      <c r="CU38" s="19">
        <f>SUM(CV37:DA37)/Inputs!$F$154</f>
        <v/>
      </c>
      <c r="CV38" s="19">
        <f>SUM(CW37:DB37)/Inputs!$F$154</f>
        <v/>
      </c>
      <c r="CW38" s="19">
        <f>SUM(CX37:DC37)/Inputs!$F$154</f>
        <v/>
      </c>
      <c r="CX38" s="19">
        <f>SUM(CY37:DD37)/Inputs!$F$154</f>
        <v/>
      </c>
      <c r="CY38" s="19">
        <f>SUM(CZ37:DE37)/Inputs!$F$154</f>
        <v/>
      </c>
      <c r="CZ38" s="19">
        <f>SUM(DA37:DF37)/Inputs!$F$154</f>
        <v/>
      </c>
      <c r="DA38" s="19">
        <f>SUM(DB37:DG37)/Inputs!$F$154</f>
        <v/>
      </c>
      <c r="DB38" s="19">
        <f>SUM(DC37:DH37)/Inputs!$F$154</f>
        <v/>
      </c>
    </row>
    <row r="39">
      <c r="D39" t="inlineStr">
        <is>
          <t>Flag_HandbackFunding</t>
        </is>
      </c>
      <c r="E39" t="inlineStr">
        <is>
          <t>flag</t>
        </is>
      </c>
      <c r="J39" s="14">
        <f>IF(AND(Time!J26=1,Time!J7&gt;=EDATE(Time!$F$17,-Inputs!$F$50)),1,0)</f>
        <v/>
      </c>
      <c r="K39" s="14">
        <f>IF(AND(Time!K26=1,Time!K7&gt;=EDATE(Time!$F$17,-Inputs!$F$50)),1,0)</f>
        <v/>
      </c>
      <c r="L39" s="14">
        <f>IF(AND(Time!L26=1,Time!L7&gt;=EDATE(Time!$F$17,-Inputs!$F$50)),1,0)</f>
        <v/>
      </c>
      <c r="M39" s="14">
        <f>IF(AND(Time!M26=1,Time!M7&gt;=EDATE(Time!$F$17,-Inputs!$F$50)),1,0)</f>
        <v/>
      </c>
      <c r="N39" s="14">
        <f>IF(AND(Time!N26=1,Time!N7&gt;=EDATE(Time!$F$17,-Inputs!$F$50)),1,0)</f>
        <v/>
      </c>
      <c r="O39" s="14">
        <f>IF(AND(Time!O26=1,Time!O7&gt;=EDATE(Time!$F$17,-Inputs!$F$50)),1,0)</f>
        <v/>
      </c>
      <c r="P39" s="14">
        <f>IF(AND(Time!P26=1,Time!P7&gt;=EDATE(Time!$F$17,-Inputs!$F$50)),1,0)</f>
        <v/>
      </c>
      <c r="Q39" s="14">
        <f>IF(AND(Time!Q26=1,Time!Q7&gt;=EDATE(Time!$F$17,-Inputs!$F$50)),1,0)</f>
        <v/>
      </c>
      <c r="R39" s="14">
        <f>IF(AND(Time!R26=1,Time!R7&gt;=EDATE(Time!$F$17,-Inputs!$F$50)),1,0)</f>
        <v/>
      </c>
      <c r="S39" s="14">
        <f>IF(AND(Time!S26=1,Time!S7&gt;=EDATE(Time!$F$17,-Inputs!$F$50)),1,0)</f>
        <v/>
      </c>
      <c r="T39" s="14">
        <f>IF(AND(Time!T26=1,Time!T7&gt;=EDATE(Time!$F$17,-Inputs!$F$50)),1,0)</f>
        <v/>
      </c>
      <c r="U39" s="14">
        <f>IF(AND(Time!U26=1,Time!U7&gt;=EDATE(Time!$F$17,-Inputs!$F$50)),1,0)</f>
        <v/>
      </c>
      <c r="V39" s="14">
        <f>IF(AND(Time!V26=1,Time!V7&gt;=EDATE(Time!$F$17,-Inputs!$F$50)),1,0)</f>
        <v/>
      </c>
      <c r="W39" s="14">
        <f>IF(AND(Time!W26=1,Time!W7&gt;=EDATE(Time!$F$17,-Inputs!$F$50)),1,0)</f>
        <v/>
      </c>
      <c r="X39" s="14">
        <f>IF(AND(Time!X26=1,Time!X7&gt;=EDATE(Time!$F$17,-Inputs!$F$50)),1,0)</f>
        <v/>
      </c>
      <c r="Y39" s="14">
        <f>IF(AND(Time!Y26=1,Time!Y7&gt;=EDATE(Time!$F$17,-Inputs!$F$50)),1,0)</f>
        <v/>
      </c>
      <c r="Z39" s="14">
        <f>IF(AND(Time!Z26=1,Time!Z7&gt;=EDATE(Time!$F$17,-Inputs!$F$50)),1,0)</f>
        <v/>
      </c>
      <c r="AA39" s="14">
        <f>IF(AND(Time!AA26=1,Time!AA7&gt;=EDATE(Time!$F$17,-Inputs!$F$50)),1,0)</f>
        <v/>
      </c>
      <c r="AB39" s="14">
        <f>IF(AND(Time!AB26=1,Time!AB7&gt;=EDATE(Time!$F$17,-Inputs!$F$50)),1,0)</f>
        <v/>
      </c>
      <c r="AC39" s="14">
        <f>IF(AND(Time!AC26=1,Time!AC7&gt;=EDATE(Time!$F$17,-Inputs!$F$50)),1,0)</f>
        <v/>
      </c>
      <c r="AD39" s="14">
        <f>IF(AND(Time!AD26=1,Time!AD7&gt;=EDATE(Time!$F$17,-Inputs!$F$50)),1,0)</f>
        <v/>
      </c>
      <c r="AE39" s="14">
        <f>IF(AND(Time!AE26=1,Time!AE7&gt;=EDATE(Time!$F$17,-Inputs!$F$50)),1,0)</f>
        <v/>
      </c>
      <c r="AF39" s="14">
        <f>IF(AND(Time!AF26=1,Time!AF7&gt;=EDATE(Time!$F$17,-Inputs!$F$50)),1,0)</f>
        <v/>
      </c>
      <c r="AG39" s="14">
        <f>IF(AND(Time!AG26=1,Time!AG7&gt;=EDATE(Time!$F$17,-Inputs!$F$50)),1,0)</f>
        <v/>
      </c>
      <c r="AH39" s="14">
        <f>IF(AND(Time!AH26=1,Time!AH7&gt;=EDATE(Time!$F$17,-Inputs!$F$50)),1,0)</f>
        <v/>
      </c>
      <c r="AI39" s="14">
        <f>IF(AND(Time!AI26=1,Time!AI7&gt;=EDATE(Time!$F$17,-Inputs!$F$50)),1,0)</f>
        <v/>
      </c>
      <c r="AJ39" s="14">
        <f>IF(AND(Time!AJ26=1,Time!AJ7&gt;=EDATE(Time!$F$17,-Inputs!$F$50)),1,0)</f>
        <v/>
      </c>
      <c r="AK39" s="14">
        <f>IF(AND(Time!AK26=1,Time!AK7&gt;=EDATE(Time!$F$17,-Inputs!$F$50)),1,0)</f>
        <v/>
      </c>
      <c r="AL39" s="14">
        <f>IF(AND(Time!AL26=1,Time!AL7&gt;=EDATE(Time!$F$17,-Inputs!$F$50)),1,0)</f>
        <v/>
      </c>
      <c r="AM39" s="14">
        <f>IF(AND(Time!AM26=1,Time!AM7&gt;=EDATE(Time!$F$17,-Inputs!$F$50)),1,0)</f>
        <v/>
      </c>
      <c r="AN39" s="14">
        <f>IF(AND(Time!AN26=1,Time!AN7&gt;=EDATE(Time!$F$17,-Inputs!$F$50)),1,0)</f>
        <v/>
      </c>
      <c r="AO39" s="14">
        <f>IF(AND(Time!AO26=1,Time!AO7&gt;=EDATE(Time!$F$17,-Inputs!$F$50)),1,0)</f>
        <v/>
      </c>
      <c r="AP39" s="14">
        <f>IF(AND(Time!AP26=1,Time!AP7&gt;=EDATE(Time!$F$17,-Inputs!$F$50)),1,0)</f>
        <v/>
      </c>
      <c r="AQ39" s="14">
        <f>IF(AND(Time!AQ26=1,Time!AQ7&gt;=EDATE(Time!$F$17,-Inputs!$F$50)),1,0)</f>
        <v/>
      </c>
      <c r="AR39" s="14">
        <f>IF(AND(Time!AR26=1,Time!AR7&gt;=EDATE(Time!$F$17,-Inputs!$F$50)),1,0)</f>
        <v/>
      </c>
      <c r="AS39" s="14">
        <f>IF(AND(Time!AS26=1,Time!AS7&gt;=EDATE(Time!$F$17,-Inputs!$F$50)),1,0)</f>
        <v/>
      </c>
      <c r="AT39" s="14">
        <f>IF(AND(Time!AT26=1,Time!AT7&gt;=EDATE(Time!$F$17,-Inputs!$F$50)),1,0)</f>
        <v/>
      </c>
      <c r="AU39" s="14">
        <f>IF(AND(Time!AU26=1,Time!AU7&gt;=EDATE(Time!$F$17,-Inputs!$F$50)),1,0)</f>
        <v/>
      </c>
      <c r="AV39" s="14">
        <f>IF(AND(Time!AV26=1,Time!AV7&gt;=EDATE(Time!$F$17,-Inputs!$F$50)),1,0)</f>
        <v/>
      </c>
      <c r="AW39" s="14">
        <f>IF(AND(Time!AW26=1,Time!AW7&gt;=EDATE(Time!$F$17,-Inputs!$F$50)),1,0)</f>
        <v/>
      </c>
      <c r="AX39" s="14">
        <f>IF(AND(Time!AX26=1,Time!AX7&gt;=EDATE(Time!$F$17,-Inputs!$F$50)),1,0)</f>
        <v/>
      </c>
      <c r="AY39" s="14">
        <f>IF(AND(Time!AY26=1,Time!AY7&gt;=EDATE(Time!$F$17,-Inputs!$F$50)),1,0)</f>
        <v/>
      </c>
      <c r="AZ39" s="14">
        <f>IF(AND(Time!AZ26=1,Time!AZ7&gt;=EDATE(Time!$F$17,-Inputs!$F$50)),1,0)</f>
        <v/>
      </c>
      <c r="BA39" s="14">
        <f>IF(AND(Time!BA26=1,Time!BA7&gt;=EDATE(Time!$F$17,-Inputs!$F$50)),1,0)</f>
        <v/>
      </c>
      <c r="BB39" s="14">
        <f>IF(AND(Time!BB26=1,Time!BB7&gt;=EDATE(Time!$F$17,-Inputs!$F$50)),1,0)</f>
        <v/>
      </c>
      <c r="BC39" s="14">
        <f>IF(AND(Time!BC26=1,Time!BC7&gt;=EDATE(Time!$F$17,-Inputs!$F$50)),1,0)</f>
        <v/>
      </c>
      <c r="BD39" s="14">
        <f>IF(AND(Time!BD26=1,Time!BD7&gt;=EDATE(Time!$F$17,-Inputs!$F$50)),1,0)</f>
        <v/>
      </c>
      <c r="BE39" s="14">
        <f>IF(AND(Time!BE26=1,Time!BE7&gt;=EDATE(Time!$F$17,-Inputs!$F$50)),1,0)</f>
        <v/>
      </c>
      <c r="BF39" s="14">
        <f>IF(AND(Time!BF26=1,Time!BF7&gt;=EDATE(Time!$F$17,-Inputs!$F$50)),1,0)</f>
        <v/>
      </c>
      <c r="BG39" s="14">
        <f>IF(AND(Time!BG26=1,Time!BG7&gt;=EDATE(Time!$F$17,-Inputs!$F$50)),1,0)</f>
        <v/>
      </c>
      <c r="BH39" s="14">
        <f>IF(AND(Time!BH26=1,Time!BH7&gt;=EDATE(Time!$F$17,-Inputs!$F$50)),1,0)</f>
        <v/>
      </c>
      <c r="BI39" s="14">
        <f>IF(AND(Time!BI26=1,Time!BI7&gt;=EDATE(Time!$F$17,-Inputs!$F$50)),1,0)</f>
        <v/>
      </c>
      <c r="BJ39" s="14">
        <f>IF(AND(Time!BJ26=1,Time!BJ7&gt;=EDATE(Time!$F$17,-Inputs!$F$50)),1,0)</f>
        <v/>
      </c>
      <c r="BK39" s="14">
        <f>IF(AND(Time!BK26=1,Time!BK7&gt;=EDATE(Time!$F$17,-Inputs!$F$50)),1,0)</f>
        <v/>
      </c>
      <c r="BL39" s="14">
        <f>IF(AND(Time!BL26=1,Time!BL7&gt;=EDATE(Time!$F$17,-Inputs!$F$50)),1,0)</f>
        <v/>
      </c>
      <c r="BM39" s="14">
        <f>IF(AND(Time!BM26=1,Time!BM7&gt;=EDATE(Time!$F$17,-Inputs!$F$50)),1,0)</f>
        <v/>
      </c>
      <c r="BN39" s="14">
        <f>IF(AND(Time!BN26=1,Time!BN7&gt;=EDATE(Time!$F$17,-Inputs!$F$50)),1,0)</f>
        <v/>
      </c>
      <c r="BO39" s="14">
        <f>IF(AND(Time!BO26=1,Time!BO7&gt;=EDATE(Time!$F$17,-Inputs!$F$50)),1,0)</f>
        <v/>
      </c>
      <c r="BP39" s="14">
        <f>IF(AND(Time!BP26=1,Time!BP7&gt;=EDATE(Time!$F$17,-Inputs!$F$50)),1,0)</f>
        <v/>
      </c>
      <c r="BQ39" s="14">
        <f>IF(AND(Time!BQ26=1,Time!BQ7&gt;=EDATE(Time!$F$17,-Inputs!$F$50)),1,0)</f>
        <v/>
      </c>
      <c r="BR39" s="14">
        <f>IF(AND(Time!BR26=1,Time!BR7&gt;=EDATE(Time!$F$17,-Inputs!$F$50)),1,0)</f>
        <v/>
      </c>
      <c r="BS39" s="14">
        <f>IF(AND(Time!BS26=1,Time!BS7&gt;=EDATE(Time!$F$17,-Inputs!$F$50)),1,0)</f>
        <v/>
      </c>
      <c r="BT39" s="14">
        <f>IF(AND(Time!BT26=1,Time!BT7&gt;=EDATE(Time!$F$17,-Inputs!$F$50)),1,0)</f>
        <v/>
      </c>
      <c r="BU39" s="14">
        <f>IF(AND(Time!BU26=1,Time!BU7&gt;=EDATE(Time!$F$17,-Inputs!$F$50)),1,0)</f>
        <v/>
      </c>
      <c r="BV39" s="14">
        <f>IF(AND(Time!BV26=1,Time!BV7&gt;=EDATE(Time!$F$17,-Inputs!$F$50)),1,0)</f>
        <v/>
      </c>
      <c r="BW39" s="14">
        <f>IF(AND(Time!BW26=1,Time!BW7&gt;=EDATE(Time!$F$17,-Inputs!$F$50)),1,0)</f>
        <v/>
      </c>
      <c r="BX39" s="14">
        <f>IF(AND(Time!BX26=1,Time!BX7&gt;=EDATE(Time!$F$17,-Inputs!$F$50)),1,0)</f>
        <v/>
      </c>
      <c r="BY39" s="14">
        <f>IF(AND(Time!BY26=1,Time!BY7&gt;=EDATE(Time!$F$17,-Inputs!$F$50)),1,0)</f>
        <v/>
      </c>
      <c r="BZ39" s="14">
        <f>IF(AND(Time!BZ26=1,Time!BZ7&gt;=EDATE(Time!$F$17,-Inputs!$F$50)),1,0)</f>
        <v/>
      </c>
      <c r="CA39" s="14">
        <f>IF(AND(Time!CA26=1,Time!CA7&gt;=EDATE(Time!$F$17,-Inputs!$F$50)),1,0)</f>
        <v/>
      </c>
      <c r="CB39" s="14">
        <f>IF(AND(Time!CB26=1,Time!CB7&gt;=EDATE(Time!$F$17,-Inputs!$F$50)),1,0)</f>
        <v/>
      </c>
      <c r="CC39" s="14">
        <f>IF(AND(Time!CC26=1,Time!CC7&gt;=EDATE(Time!$F$17,-Inputs!$F$50)),1,0)</f>
        <v/>
      </c>
      <c r="CD39" s="14">
        <f>IF(AND(Time!CD26=1,Time!CD7&gt;=EDATE(Time!$F$17,-Inputs!$F$50)),1,0)</f>
        <v/>
      </c>
      <c r="CE39" s="14">
        <f>IF(AND(Time!CE26=1,Time!CE7&gt;=EDATE(Time!$F$17,-Inputs!$F$50)),1,0)</f>
        <v/>
      </c>
      <c r="CF39" s="14">
        <f>IF(AND(Time!CF26=1,Time!CF7&gt;=EDATE(Time!$F$17,-Inputs!$F$50)),1,0)</f>
        <v/>
      </c>
      <c r="CG39" s="14">
        <f>IF(AND(Time!CG26=1,Time!CG7&gt;=EDATE(Time!$F$17,-Inputs!$F$50)),1,0)</f>
        <v/>
      </c>
      <c r="CH39" s="14">
        <f>IF(AND(Time!CH26=1,Time!CH7&gt;=EDATE(Time!$F$17,-Inputs!$F$50)),1,0)</f>
        <v/>
      </c>
      <c r="CI39" s="14">
        <f>IF(AND(Time!CI26=1,Time!CI7&gt;=EDATE(Time!$F$17,-Inputs!$F$50)),1,0)</f>
        <v/>
      </c>
      <c r="CJ39" s="14">
        <f>IF(AND(Time!CJ26=1,Time!CJ7&gt;=EDATE(Time!$F$17,-Inputs!$F$50)),1,0)</f>
        <v/>
      </c>
      <c r="CK39" s="14">
        <f>IF(AND(Time!CK26=1,Time!CK7&gt;=EDATE(Time!$F$17,-Inputs!$F$50)),1,0)</f>
        <v/>
      </c>
      <c r="CL39" s="14">
        <f>IF(AND(Time!CL26=1,Time!CL7&gt;=EDATE(Time!$F$17,-Inputs!$F$50)),1,0)</f>
        <v/>
      </c>
      <c r="CM39" s="14">
        <f>IF(AND(Time!CM26=1,Time!CM7&gt;=EDATE(Time!$F$17,-Inputs!$F$50)),1,0)</f>
        <v/>
      </c>
      <c r="CN39" s="14">
        <f>IF(AND(Time!CN26=1,Time!CN7&gt;=EDATE(Time!$F$17,-Inputs!$F$50)),1,0)</f>
        <v/>
      </c>
      <c r="CO39" s="14">
        <f>IF(AND(Time!CO26=1,Time!CO7&gt;=EDATE(Time!$F$17,-Inputs!$F$50)),1,0)</f>
        <v/>
      </c>
      <c r="CP39" s="14">
        <f>IF(AND(Time!CP26=1,Time!CP7&gt;=EDATE(Time!$F$17,-Inputs!$F$50)),1,0)</f>
        <v/>
      </c>
      <c r="CQ39" s="14">
        <f>IF(AND(Time!CQ26=1,Time!CQ7&gt;=EDATE(Time!$F$17,-Inputs!$F$50)),1,0)</f>
        <v/>
      </c>
      <c r="CR39" s="14">
        <f>IF(AND(Time!CR26=1,Time!CR7&gt;=EDATE(Time!$F$17,-Inputs!$F$50)),1,0)</f>
        <v/>
      </c>
      <c r="CS39" s="14">
        <f>IF(AND(Time!CS26=1,Time!CS7&gt;=EDATE(Time!$F$17,-Inputs!$F$50)),1,0)</f>
        <v/>
      </c>
      <c r="CT39" s="14">
        <f>IF(AND(Time!CT26=1,Time!CT7&gt;=EDATE(Time!$F$17,-Inputs!$F$50)),1,0)</f>
        <v/>
      </c>
      <c r="CU39" s="14">
        <f>IF(AND(Time!CU26=1,Time!CU7&gt;=EDATE(Time!$F$17,-Inputs!$F$50)),1,0)</f>
        <v/>
      </c>
      <c r="CV39" s="14">
        <f>IF(AND(Time!CV26=1,Time!CV7&gt;=EDATE(Time!$F$17,-Inputs!$F$50)),1,0)</f>
        <v/>
      </c>
      <c r="CW39" s="14">
        <f>IF(AND(Time!CW26=1,Time!CW7&gt;=EDATE(Time!$F$17,-Inputs!$F$50)),1,0)</f>
        <v/>
      </c>
      <c r="CX39" s="14">
        <f>IF(AND(Time!CX26=1,Time!CX7&gt;=EDATE(Time!$F$17,-Inputs!$F$50)),1,0)</f>
        <v/>
      </c>
      <c r="CY39" s="14">
        <f>IF(AND(Time!CY26=1,Time!CY7&gt;=EDATE(Time!$F$17,-Inputs!$F$50)),1,0)</f>
        <v/>
      </c>
      <c r="CZ39" s="14">
        <f>IF(AND(Time!CZ26=1,Time!CZ7&gt;=EDATE(Time!$F$17,-Inputs!$F$50)),1,0)</f>
        <v/>
      </c>
      <c r="DA39" s="14">
        <f>IF(AND(Time!DA26=1,Time!DA7&gt;=EDATE(Time!$F$17,-Inputs!$F$50)),1,0)</f>
        <v/>
      </c>
      <c r="DB39" s="14">
        <f>IF(AND(Time!DB26=1,Time!DB7&gt;=EDATE(Time!$F$17,-Inputs!$F$50)),1,0)</f>
        <v/>
      </c>
    </row>
    <row r="40">
      <c r="D40" t="inlineStr">
        <is>
          <t>Handback reserve contribution</t>
        </is>
      </c>
      <c r="E40" t="inlineStr">
        <is>
          <t>ARD m</t>
        </is>
      </c>
      <c r="G40" s="19">
        <f>SUM(J40:DB40)</f>
        <v/>
      </c>
      <c r="J40" s="19">
        <f>Inputs!$F$155*Time!J56*Inputs!$F$223/Inputs!$F$156*J39</f>
        <v/>
      </c>
      <c r="K40" s="19">
        <f>Inputs!$F$155*Time!K56*Inputs!$F$223/Inputs!$F$156*K39</f>
        <v/>
      </c>
      <c r="L40" s="19">
        <f>Inputs!$F$155*Time!L56*Inputs!$F$223/Inputs!$F$156*L39</f>
        <v/>
      </c>
      <c r="M40" s="19">
        <f>Inputs!$F$155*Time!M56*Inputs!$F$223/Inputs!$F$156*M39</f>
        <v/>
      </c>
      <c r="N40" s="19">
        <f>Inputs!$F$155*Time!N56*Inputs!$F$223/Inputs!$F$156*N39</f>
        <v/>
      </c>
      <c r="O40" s="19">
        <f>Inputs!$F$155*Time!O56*Inputs!$F$223/Inputs!$F$156*O39</f>
        <v/>
      </c>
      <c r="P40" s="19">
        <f>Inputs!$F$155*Time!P56*Inputs!$F$223/Inputs!$F$156*P39</f>
        <v/>
      </c>
      <c r="Q40" s="19">
        <f>Inputs!$F$155*Time!Q56*Inputs!$F$223/Inputs!$F$156*Q39</f>
        <v/>
      </c>
      <c r="R40" s="19">
        <f>Inputs!$F$155*Time!R56*Inputs!$F$223/Inputs!$F$156*R39</f>
        <v/>
      </c>
      <c r="S40" s="19">
        <f>Inputs!$F$155*Time!S56*Inputs!$F$223/Inputs!$F$156*S39</f>
        <v/>
      </c>
      <c r="T40" s="19">
        <f>Inputs!$F$155*Time!T56*Inputs!$F$223/Inputs!$F$156*T39</f>
        <v/>
      </c>
      <c r="U40" s="19">
        <f>Inputs!$F$155*Time!U56*Inputs!$F$223/Inputs!$F$156*U39</f>
        <v/>
      </c>
      <c r="V40" s="19">
        <f>Inputs!$F$155*Time!V56*Inputs!$F$223/Inputs!$F$156*V39</f>
        <v/>
      </c>
      <c r="W40" s="19">
        <f>Inputs!$F$155*Time!W56*Inputs!$F$223/Inputs!$F$156*W39</f>
        <v/>
      </c>
      <c r="X40" s="19">
        <f>Inputs!$F$155*Time!X56*Inputs!$F$223/Inputs!$F$156*X39</f>
        <v/>
      </c>
      <c r="Y40" s="19">
        <f>Inputs!$F$155*Time!Y56*Inputs!$F$223/Inputs!$F$156*Y39</f>
        <v/>
      </c>
      <c r="Z40" s="19">
        <f>Inputs!$F$155*Time!Z56*Inputs!$F$223/Inputs!$F$156*Z39</f>
        <v/>
      </c>
      <c r="AA40" s="19">
        <f>Inputs!$F$155*Time!AA56*Inputs!$F$223/Inputs!$F$156*AA39</f>
        <v/>
      </c>
      <c r="AB40" s="19">
        <f>Inputs!$F$155*Time!AB56*Inputs!$F$223/Inputs!$F$156*AB39</f>
        <v/>
      </c>
      <c r="AC40" s="19">
        <f>Inputs!$F$155*Time!AC56*Inputs!$F$223/Inputs!$F$156*AC39</f>
        <v/>
      </c>
      <c r="AD40" s="19">
        <f>Inputs!$F$155*Time!AD56*Inputs!$F$223/Inputs!$F$156*AD39</f>
        <v/>
      </c>
      <c r="AE40" s="19">
        <f>Inputs!$F$155*Time!AE56*Inputs!$F$223/Inputs!$F$156*AE39</f>
        <v/>
      </c>
      <c r="AF40" s="19">
        <f>Inputs!$F$155*Time!AF56*Inputs!$F$223/Inputs!$F$156*AF39</f>
        <v/>
      </c>
      <c r="AG40" s="19">
        <f>Inputs!$F$155*Time!AG56*Inputs!$F$223/Inputs!$F$156*AG39</f>
        <v/>
      </c>
      <c r="AH40" s="19">
        <f>Inputs!$F$155*Time!AH56*Inputs!$F$223/Inputs!$F$156*AH39</f>
        <v/>
      </c>
      <c r="AI40" s="19">
        <f>Inputs!$F$155*Time!AI56*Inputs!$F$223/Inputs!$F$156*AI39</f>
        <v/>
      </c>
      <c r="AJ40" s="19">
        <f>Inputs!$F$155*Time!AJ56*Inputs!$F$223/Inputs!$F$156*AJ39</f>
        <v/>
      </c>
      <c r="AK40" s="19">
        <f>Inputs!$F$155*Time!AK56*Inputs!$F$223/Inputs!$F$156*AK39</f>
        <v/>
      </c>
      <c r="AL40" s="19">
        <f>Inputs!$F$155*Time!AL56*Inputs!$F$223/Inputs!$F$156*AL39</f>
        <v/>
      </c>
      <c r="AM40" s="19">
        <f>Inputs!$F$155*Time!AM56*Inputs!$F$223/Inputs!$F$156*AM39</f>
        <v/>
      </c>
      <c r="AN40" s="19">
        <f>Inputs!$F$155*Time!AN56*Inputs!$F$223/Inputs!$F$156*AN39</f>
        <v/>
      </c>
      <c r="AO40" s="19">
        <f>Inputs!$F$155*Time!AO56*Inputs!$F$223/Inputs!$F$156*AO39</f>
        <v/>
      </c>
      <c r="AP40" s="19">
        <f>Inputs!$F$155*Time!AP56*Inputs!$F$223/Inputs!$F$156*AP39</f>
        <v/>
      </c>
      <c r="AQ40" s="19">
        <f>Inputs!$F$155*Time!AQ56*Inputs!$F$223/Inputs!$F$156*AQ39</f>
        <v/>
      </c>
      <c r="AR40" s="19">
        <f>Inputs!$F$155*Time!AR56*Inputs!$F$223/Inputs!$F$156*AR39</f>
        <v/>
      </c>
      <c r="AS40" s="19">
        <f>Inputs!$F$155*Time!AS56*Inputs!$F$223/Inputs!$F$156*AS39</f>
        <v/>
      </c>
      <c r="AT40" s="19">
        <f>Inputs!$F$155*Time!AT56*Inputs!$F$223/Inputs!$F$156*AT39</f>
        <v/>
      </c>
      <c r="AU40" s="19">
        <f>Inputs!$F$155*Time!AU56*Inputs!$F$223/Inputs!$F$156*AU39</f>
        <v/>
      </c>
      <c r="AV40" s="19">
        <f>Inputs!$F$155*Time!AV56*Inputs!$F$223/Inputs!$F$156*AV39</f>
        <v/>
      </c>
      <c r="AW40" s="19">
        <f>Inputs!$F$155*Time!AW56*Inputs!$F$223/Inputs!$F$156*AW39</f>
        <v/>
      </c>
      <c r="AX40" s="19">
        <f>Inputs!$F$155*Time!AX56*Inputs!$F$223/Inputs!$F$156*AX39</f>
        <v/>
      </c>
      <c r="AY40" s="19">
        <f>Inputs!$F$155*Time!AY56*Inputs!$F$223/Inputs!$F$156*AY39</f>
        <v/>
      </c>
      <c r="AZ40" s="19">
        <f>Inputs!$F$155*Time!AZ56*Inputs!$F$223/Inputs!$F$156*AZ39</f>
        <v/>
      </c>
      <c r="BA40" s="19">
        <f>Inputs!$F$155*Time!BA56*Inputs!$F$223/Inputs!$F$156*BA39</f>
        <v/>
      </c>
      <c r="BB40" s="19">
        <f>Inputs!$F$155*Time!BB56*Inputs!$F$223/Inputs!$F$156*BB39</f>
        <v/>
      </c>
      <c r="BC40" s="19">
        <f>Inputs!$F$155*Time!BC56*Inputs!$F$223/Inputs!$F$156*BC39</f>
        <v/>
      </c>
      <c r="BD40" s="19">
        <f>Inputs!$F$155*Time!BD56*Inputs!$F$223/Inputs!$F$156*BD39</f>
        <v/>
      </c>
      <c r="BE40" s="19">
        <f>Inputs!$F$155*Time!BE56*Inputs!$F$223/Inputs!$F$156*BE39</f>
        <v/>
      </c>
      <c r="BF40" s="19">
        <f>Inputs!$F$155*Time!BF56*Inputs!$F$223/Inputs!$F$156*BF39</f>
        <v/>
      </c>
      <c r="BG40" s="19">
        <f>Inputs!$F$155*Time!BG56*Inputs!$F$223/Inputs!$F$156*BG39</f>
        <v/>
      </c>
      <c r="BH40" s="19">
        <f>Inputs!$F$155*Time!BH56*Inputs!$F$223/Inputs!$F$156*BH39</f>
        <v/>
      </c>
      <c r="BI40" s="19">
        <f>Inputs!$F$155*Time!BI56*Inputs!$F$223/Inputs!$F$156*BI39</f>
        <v/>
      </c>
      <c r="BJ40" s="19">
        <f>Inputs!$F$155*Time!BJ56*Inputs!$F$223/Inputs!$F$156*BJ39</f>
        <v/>
      </c>
      <c r="BK40" s="19">
        <f>Inputs!$F$155*Time!BK56*Inputs!$F$223/Inputs!$F$156*BK39</f>
        <v/>
      </c>
      <c r="BL40" s="19">
        <f>Inputs!$F$155*Time!BL56*Inputs!$F$223/Inputs!$F$156*BL39</f>
        <v/>
      </c>
      <c r="BM40" s="19">
        <f>Inputs!$F$155*Time!BM56*Inputs!$F$223/Inputs!$F$156*BM39</f>
        <v/>
      </c>
      <c r="BN40" s="19">
        <f>Inputs!$F$155*Time!BN56*Inputs!$F$223/Inputs!$F$156*BN39</f>
        <v/>
      </c>
      <c r="BO40" s="19">
        <f>Inputs!$F$155*Time!BO56*Inputs!$F$223/Inputs!$F$156*BO39</f>
        <v/>
      </c>
      <c r="BP40" s="19">
        <f>Inputs!$F$155*Time!BP56*Inputs!$F$223/Inputs!$F$156*BP39</f>
        <v/>
      </c>
      <c r="BQ40" s="19">
        <f>Inputs!$F$155*Time!BQ56*Inputs!$F$223/Inputs!$F$156*BQ39</f>
        <v/>
      </c>
      <c r="BR40" s="19">
        <f>Inputs!$F$155*Time!BR56*Inputs!$F$223/Inputs!$F$156*BR39</f>
        <v/>
      </c>
      <c r="BS40" s="19">
        <f>Inputs!$F$155*Time!BS56*Inputs!$F$223/Inputs!$F$156*BS39</f>
        <v/>
      </c>
      <c r="BT40" s="19">
        <f>Inputs!$F$155*Time!BT56*Inputs!$F$223/Inputs!$F$156*BT39</f>
        <v/>
      </c>
      <c r="BU40" s="19">
        <f>Inputs!$F$155*Time!BU56*Inputs!$F$223/Inputs!$F$156*BU39</f>
        <v/>
      </c>
      <c r="BV40" s="19">
        <f>Inputs!$F$155*Time!BV56*Inputs!$F$223/Inputs!$F$156*BV39</f>
        <v/>
      </c>
      <c r="BW40" s="19">
        <f>Inputs!$F$155*Time!BW56*Inputs!$F$223/Inputs!$F$156*BW39</f>
        <v/>
      </c>
      <c r="BX40" s="19">
        <f>Inputs!$F$155*Time!BX56*Inputs!$F$223/Inputs!$F$156*BX39</f>
        <v/>
      </c>
      <c r="BY40" s="19">
        <f>Inputs!$F$155*Time!BY56*Inputs!$F$223/Inputs!$F$156*BY39</f>
        <v/>
      </c>
      <c r="BZ40" s="19">
        <f>Inputs!$F$155*Time!BZ56*Inputs!$F$223/Inputs!$F$156*BZ39</f>
        <v/>
      </c>
      <c r="CA40" s="19">
        <f>Inputs!$F$155*Time!CA56*Inputs!$F$223/Inputs!$F$156*CA39</f>
        <v/>
      </c>
      <c r="CB40" s="19">
        <f>Inputs!$F$155*Time!CB56*Inputs!$F$223/Inputs!$F$156*CB39</f>
        <v/>
      </c>
      <c r="CC40" s="19">
        <f>Inputs!$F$155*Time!CC56*Inputs!$F$223/Inputs!$F$156*CC39</f>
        <v/>
      </c>
      <c r="CD40" s="19">
        <f>Inputs!$F$155*Time!CD56*Inputs!$F$223/Inputs!$F$156*CD39</f>
        <v/>
      </c>
      <c r="CE40" s="19">
        <f>Inputs!$F$155*Time!CE56*Inputs!$F$223/Inputs!$F$156*CE39</f>
        <v/>
      </c>
      <c r="CF40" s="19">
        <f>Inputs!$F$155*Time!CF56*Inputs!$F$223/Inputs!$F$156*CF39</f>
        <v/>
      </c>
      <c r="CG40" s="19">
        <f>Inputs!$F$155*Time!CG56*Inputs!$F$223/Inputs!$F$156*CG39</f>
        <v/>
      </c>
      <c r="CH40" s="19">
        <f>Inputs!$F$155*Time!CH56*Inputs!$F$223/Inputs!$F$156*CH39</f>
        <v/>
      </c>
      <c r="CI40" s="19">
        <f>Inputs!$F$155*Time!CI56*Inputs!$F$223/Inputs!$F$156*CI39</f>
        <v/>
      </c>
      <c r="CJ40" s="19">
        <f>Inputs!$F$155*Time!CJ56*Inputs!$F$223/Inputs!$F$156*CJ39</f>
        <v/>
      </c>
      <c r="CK40" s="19">
        <f>Inputs!$F$155*Time!CK56*Inputs!$F$223/Inputs!$F$156*CK39</f>
        <v/>
      </c>
      <c r="CL40" s="19">
        <f>Inputs!$F$155*Time!CL56*Inputs!$F$223/Inputs!$F$156*CL39</f>
        <v/>
      </c>
      <c r="CM40" s="19">
        <f>Inputs!$F$155*Time!CM56*Inputs!$F$223/Inputs!$F$156*CM39</f>
        <v/>
      </c>
      <c r="CN40" s="19">
        <f>Inputs!$F$155*Time!CN56*Inputs!$F$223/Inputs!$F$156*CN39</f>
        <v/>
      </c>
      <c r="CO40" s="19">
        <f>Inputs!$F$155*Time!CO56*Inputs!$F$223/Inputs!$F$156*CO39</f>
        <v/>
      </c>
      <c r="CP40" s="19">
        <f>Inputs!$F$155*Time!CP56*Inputs!$F$223/Inputs!$F$156*CP39</f>
        <v/>
      </c>
      <c r="CQ40" s="19">
        <f>Inputs!$F$155*Time!CQ56*Inputs!$F$223/Inputs!$F$156*CQ39</f>
        <v/>
      </c>
      <c r="CR40" s="19">
        <f>Inputs!$F$155*Time!CR56*Inputs!$F$223/Inputs!$F$156*CR39</f>
        <v/>
      </c>
      <c r="CS40" s="19">
        <f>Inputs!$F$155*Time!CS56*Inputs!$F$223/Inputs!$F$156*CS39</f>
        <v/>
      </c>
      <c r="CT40" s="19">
        <f>Inputs!$F$155*Time!CT56*Inputs!$F$223/Inputs!$F$156*CT39</f>
        <v/>
      </c>
      <c r="CU40" s="19">
        <f>Inputs!$F$155*Time!CU56*Inputs!$F$223/Inputs!$F$156*CU39</f>
        <v/>
      </c>
      <c r="CV40" s="19">
        <f>Inputs!$F$155*Time!CV56*Inputs!$F$223/Inputs!$F$156*CV39</f>
        <v/>
      </c>
      <c r="CW40" s="19">
        <f>Inputs!$F$155*Time!CW56*Inputs!$F$223/Inputs!$F$156*CW39</f>
        <v/>
      </c>
      <c r="CX40" s="19">
        <f>Inputs!$F$155*Time!CX56*Inputs!$F$223/Inputs!$F$156*CX39</f>
        <v/>
      </c>
      <c r="CY40" s="19">
        <f>Inputs!$F$155*Time!CY56*Inputs!$F$223/Inputs!$F$156*CY39</f>
        <v/>
      </c>
      <c r="CZ40" s="19">
        <f>Inputs!$F$155*Time!CZ56*Inputs!$F$223/Inputs!$F$156*CZ39</f>
        <v/>
      </c>
      <c r="DA40" s="19">
        <f>Inputs!$F$155*Time!DA56*Inputs!$F$223/Inputs!$F$156*DA39</f>
        <v/>
      </c>
      <c r="DB40" s="19">
        <f>Inputs!$F$155*Time!DB56*Inputs!$F$223/Inputs!$F$156*DB39</f>
        <v/>
      </c>
    </row>
    <row r="41">
      <c r="D41" s="3" t="inlineStr">
        <is>
          <t>Working capital</t>
        </is>
      </c>
    </row>
    <row r="42">
      <c r="D42" t="inlineStr">
        <is>
          <t>Toll receivables</t>
        </is>
      </c>
      <c r="E42" t="inlineStr">
        <is>
          <t>ARD m</t>
        </is>
      </c>
      <c r="J42" s="19">
        <f>IF(AND(Time!J26=1,Time!J28=0),J20/Time!J25*Inputs!$F$157,0)</f>
        <v/>
      </c>
      <c r="K42" s="19">
        <f>IF(AND(Time!K26=1,Time!K28=0),K20/Time!K25*Inputs!$F$157,0)</f>
        <v/>
      </c>
      <c r="L42" s="19">
        <f>IF(AND(Time!L26=1,Time!L28=0),L20/Time!L25*Inputs!$F$157,0)</f>
        <v/>
      </c>
      <c r="M42" s="19">
        <f>IF(AND(Time!M26=1,Time!M28=0),M20/Time!M25*Inputs!$F$157,0)</f>
        <v/>
      </c>
      <c r="N42" s="19">
        <f>IF(AND(Time!N26=1,Time!N28=0),N20/Time!N25*Inputs!$F$157,0)</f>
        <v/>
      </c>
      <c r="O42" s="19">
        <f>IF(AND(Time!O26=1,Time!O28=0),O20/Time!O25*Inputs!$F$157,0)</f>
        <v/>
      </c>
      <c r="P42" s="19">
        <f>IF(AND(Time!P26=1,Time!P28=0),P20/Time!P25*Inputs!$F$157,0)</f>
        <v/>
      </c>
      <c r="Q42" s="19">
        <f>IF(AND(Time!Q26=1,Time!Q28=0),Q20/Time!Q25*Inputs!$F$157,0)</f>
        <v/>
      </c>
      <c r="R42" s="19">
        <f>IF(AND(Time!R26=1,Time!R28=0),R20/Time!R25*Inputs!$F$157,0)</f>
        <v/>
      </c>
      <c r="S42" s="19">
        <f>IF(AND(Time!S26=1,Time!S28=0),S20/Time!S25*Inputs!$F$157,0)</f>
        <v/>
      </c>
      <c r="T42" s="19">
        <f>IF(AND(Time!T26=1,Time!T28=0),T20/Time!T25*Inputs!$F$157,0)</f>
        <v/>
      </c>
      <c r="U42" s="19">
        <f>IF(AND(Time!U26=1,Time!U28=0),U20/Time!U25*Inputs!$F$157,0)</f>
        <v/>
      </c>
      <c r="V42" s="19">
        <f>IF(AND(Time!V26=1,Time!V28=0),V20/Time!V25*Inputs!$F$157,0)</f>
        <v/>
      </c>
      <c r="W42" s="19">
        <f>IF(AND(Time!W26=1,Time!W28=0),W20/Time!W25*Inputs!$F$157,0)</f>
        <v/>
      </c>
      <c r="X42" s="19">
        <f>IF(AND(Time!X26=1,Time!X28=0),X20/Time!X25*Inputs!$F$157,0)</f>
        <v/>
      </c>
      <c r="Y42" s="19">
        <f>IF(AND(Time!Y26=1,Time!Y28=0),Y20/Time!Y25*Inputs!$F$157,0)</f>
        <v/>
      </c>
      <c r="Z42" s="19">
        <f>IF(AND(Time!Z26=1,Time!Z28=0),Z20/Time!Z25*Inputs!$F$157,0)</f>
        <v/>
      </c>
      <c r="AA42" s="19">
        <f>IF(AND(Time!AA26=1,Time!AA28=0),AA20/Time!AA25*Inputs!$F$157,0)</f>
        <v/>
      </c>
      <c r="AB42" s="19">
        <f>IF(AND(Time!AB26=1,Time!AB28=0),AB20/Time!AB25*Inputs!$F$157,0)</f>
        <v/>
      </c>
      <c r="AC42" s="19">
        <f>IF(AND(Time!AC26=1,Time!AC28=0),AC20/Time!AC25*Inputs!$F$157,0)</f>
        <v/>
      </c>
      <c r="AD42" s="19">
        <f>IF(AND(Time!AD26=1,Time!AD28=0),AD20/Time!AD25*Inputs!$F$157,0)</f>
        <v/>
      </c>
      <c r="AE42" s="19">
        <f>IF(AND(Time!AE26=1,Time!AE28=0),AE20/Time!AE25*Inputs!$F$157,0)</f>
        <v/>
      </c>
      <c r="AF42" s="19">
        <f>IF(AND(Time!AF26=1,Time!AF28=0),AF20/Time!AF25*Inputs!$F$157,0)</f>
        <v/>
      </c>
      <c r="AG42" s="19">
        <f>IF(AND(Time!AG26=1,Time!AG28=0),AG20/Time!AG25*Inputs!$F$157,0)</f>
        <v/>
      </c>
      <c r="AH42" s="19">
        <f>IF(AND(Time!AH26=1,Time!AH28=0),AH20/Time!AH25*Inputs!$F$157,0)</f>
        <v/>
      </c>
      <c r="AI42" s="19">
        <f>IF(AND(Time!AI26=1,Time!AI28=0),AI20/Time!AI25*Inputs!$F$157,0)</f>
        <v/>
      </c>
      <c r="AJ42" s="19">
        <f>IF(AND(Time!AJ26=1,Time!AJ28=0),AJ20/Time!AJ25*Inputs!$F$157,0)</f>
        <v/>
      </c>
      <c r="AK42" s="19">
        <f>IF(AND(Time!AK26=1,Time!AK28=0),AK20/Time!AK25*Inputs!$F$157,0)</f>
        <v/>
      </c>
      <c r="AL42" s="19">
        <f>IF(AND(Time!AL26=1,Time!AL28=0),AL20/Time!AL25*Inputs!$F$157,0)</f>
        <v/>
      </c>
      <c r="AM42" s="19">
        <f>IF(AND(Time!AM26=1,Time!AM28=0),AM20/Time!AM25*Inputs!$F$157,0)</f>
        <v/>
      </c>
      <c r="AN42" s="19">
        <f>IF(AND(Time!AN26=1,Time!AN28=0),AN20/Time!AN25*Inputs!$F$157,0)</f>
        <v/>
      </c>
      <c r="AO42" s="19">
        <f>IF(AND(Time!AO26=1,Time!AO28=0),AO20/Time!AO25*Inputs!$F$157,0)</f>
        <v/>
      </c>
      <c r="AP42" s="19">
        <f>IF(AND(Time!AP26=1,Time!AP28=0),AP20/Time!AP25*Inputs!$F$157,0)</f>
        <v/>
      </c>
      <c r="AQ42" s="19">
        <f>IF(AND(Time!AQ26=1,Time!AQ28=0),AQ20/Time!AQ25*Inputs!$F$157,0)</f>
        <v/>
      </c>
      <c r="AR42" s="19">
        <f>IF(AND(Time!AR26=1,Time!AR28=0),AR20/Time!AR25*Inputs!$F$157,0)</f>
        <v/>
      </c>
      <c r="AS42" s="19">
        <f>IF(AND(Time!AS26=1,Time!AS28=0),AS20/Time!AS25*Inputs!$F$157,0)</f>
        <v/>
      </c>
      <c r="AT42" s="19">
        <f>IF(AND(Time!AT26=1,Time!AT28=0),AT20/Time!AT25*Inputs!$F$157,0)</f>
        <v/>
      </c>
      <c r="AU42" s="19">
        <f>IF(AND(Time!AU26=1,Time!AU28=0),AU20/Time!AU25*Inputs!$F$157,0)</f>
        <v/>
      </c>
      <c r="AV42" s="19">
        <f>IF(AND(Time!AV26=1,Time!AV28=0),AV20/Time!AV25*Inputs!$F$157,0)</f>
        <v/>
      </c>
      <c r="AW42" s="19">
        <f>IF(AND(Time!AW26=1,Time!AW28=0),AW20/Time!AW25*Inputs!$F$157,0)</f>
        <v/>
      </c>
      <c r="AX42" s="19">
        <f>IF(AND(Time!AX26=1,Time!AX28=0),AX20/Time!AX25*Inputs!$F$157,0)</f>
        <v/>
      </c>
      <c r="AY42" s="19">
        <f>IF(AND(Time!AY26=1,Time!AY28=0),AY20/Time!AY25*Inputs!$F$157,0)</f>
        <v/>
      </c>
      <c r="AZ42" s="19">
        <f>IF(AND(Time!AZ26=1,Time!AZ28=0),AZ20/Time!AZ25*Inputs!$F$157,0)</f>
        <v/>
      </c>
      <c r="BA42" s="19">
        <f>IF(AND(Time!BA26=1,Time!BA28=0),BA20/Time!BA25*Inputs!$F$157,0)</f>
        <v/>
      </c>
      <c r="BB42" s="19">
        <f>IF(AND(Time!BB26=1,Time!BB28=0),BB20/Time!BB25*Inputs!$F$157,0)</f>
        <v/>
      </c>
      <c r="BC42" s="19">
        <f>IF(AND(Time!BC26=1,Time!BC28=0),BC20/Time!BC25*Inputs!$F$157,0)</f>
        <v/>
      </c>
      <c r="BD42" s="19">
        <f>IF(AND(Time!BD26=1,Time!BD28=0),BD20/Time!BD25*Inputs!$F$157,0)</f>
        <v/>
      </c>
      <c r="BE42" s="19">
        <f>IF(AND(Time!BE26=1,Time!BE28=0),BE20/Time!BE25*Inputs!$F$157,0)</f>
        <v/>
      </c>
      <c r="BF42" s="19">
        <f>IF(AND(Time!BF26=1,Time!BF28=0),BF20/Time!BF25*Inputs!$F$157,0)</f>
        <v/>
      </c>
      <c r="BG42" s="19">
        <f>IF(AND(Time!BG26=1,Time!BG28=0),BG20/Time!BG25*Inputs!$F$157,0)</f>
        <v/>
      </c>
      <c r="BH42" s="19">
        <f>IF(AND(Time!BH26=1,Time!BH28=0),BH20/Time!BH25*Inputs!$F$157,0)</f>
        <v/>
      </c>
      <c r="BI42" s="19">
        <f>IF(AND(Time!BI26=1,Time!BI28=0),BI20/Time!BI25*Inputs!$F$157,0)</f>
        <v/>
      </c>
      <c r="BJ42" s="19">
        <f>IF(AND(Time!BJ26=1,Time!BJ28=0),BJ20/Time!BJ25*Inputs!$F$157,0)</f>
        <v/>
      </c>
      <c r="BK42" s="19">
        <f>IF(AND(Time!BK26=1,Time!BK28=0),BK20/Time!BK25*Inputs!$F$157,0)</f>
        <v/>
      </c>
      <c r="BL42" s="19">
        <f>IF(AND(Time!BL26=1,Time!BL28=0),BL20/Time!BL25*Inputs!$F$157,0)</f>
        <v/>
      </c>
      <c r="BM42" s="19">
        <f>IF(AND(Time!BM26=1,Time!BM28=0),BM20/Time!BM25*Inputs!$F$157,0)</f>
        <v/>
      </c>
      <c r="BN42" s="19">
        <f>IF(AND(Time!BN26=1,Time!BN28=0),BN20/Time!BN25*Inputs!$F$157,0)</f>
        <v/>
      </c>
      <c r="BO42" s="19">
        <f>IF(AND(Time!BO26=1,Time!BO28=0),BO20/Time!BO25*Inputs!$F$157,0)</f>
        <v/>
      </c>
      <c r="BP42" s="19">
        <f>IF(AND(Time!BP26=1,Time!BP28=0),BP20/Time!BP25*Inputs!$F$157,0)</f>
        <v/>
      </c>
      <c r="BQ42" s="19">
        <f>IF(AND(Time!BQ26=1,Time!BQ28=0),BQ20/Time!BQ25*Inputs!$F$157,0)</f>
        <v/>
      </c>
      <c r="BR42" s="19">
        <f>IF(AND(Time!BR26=1,Time!BR28=0),BR20/Time!BR25*Inputs!$F$157,0)</f>
        <v/>
      </c>
      <c r="BS42" s="19">
        <f>IF(AND(Time!BS26=1,Time!BS28=0),BS20/Time!BS25*Inputs!$F$157,0)</f>
        <v/>
      </c>
      <c r="BT42" s="19">
        <f>IF(AND(Time!BT26=1,Time!BT28=0),BT20/Time!BT25*Inputs!$F$157,0)</f>
        <v/>
      </c>
      <c r="BU42" s="19">
        <f>IF(AND(Time!BU26=1,Time!BU28=0),BU20/Time!BU25*Inputs!$F$157,0)</f>
        <v/>
      </c>
      <c r="BV42" s="19">
        <f>IF(AND(Time!BV26=1,Time!BV28=0),BV20/Time!BV25*Inputs!$F$157,0)</f>
        <v/>
      </c>
      <c r="BW42" s="19">
        <f>IF(AND(Time!BW26=1,Time!BW28=0),BW20/Time!BW25*Inputs!$F$157,0)</f>
        <v/>
      </c>
      <c r="BX42" s="19">
        <f>IF(AND(Time!BX26=1,Time!BX28=0),BX20/Time!BX25*Inputs!$F$157,0)</f>
        <v/>
      </c>
      <c r="BY42" s="19">
        <f>IF(AND(Time!BY26=1,Time!BY28=0),BY20/Time!BY25*Inputs!$F$157,0)</f>
        <v/>
      </c>
      <c r="BZ42" s="19">
        <f>IF(AND(Time!BZ26=1,Time!BZ28=0),BZ20/Time!BZ25*Inputs!$F$157,0)</f>
        <v/>
      </c>
      <c r="CA42" s="19">
        <f>IF(AND(Time!CA26=1,Time!CA28=0),CA20/Time!CA25*Inputs!$F$157,0)</f>
        <v/>
      </c>
      <c r="CB42" s="19">
        <f>IF(AND(Time!CB26=1,Time!CB28=0),CB20/Time!CB25*Inputs!$F$157,0)</f>
        <v/>
      </c>
      <c r="CC42" s="19">
        <f>IF(AND(Time!CC26=1,Time!CC28=0),CC20/Time!CC25*Inputs!$F$157,0)</f>
        <v/>
      </c>
      <c r="CD42" s="19">
        <f>IF(AND(Time!CD26=1,Time!CD28=0),CD20/Time!CD25*Inputs!$F$157,0)</f>
        <v/>
      </c>
      <c r="CE42" s="19">
        <f>IF(AND(Time!CE26=1,Time!CE28=0),CE20/Time!CE25*Inputs!$F$157,0)</f>
        <v/>
      </c>
      <c r="CF42" s="19">
        <f>IF(AND(Time!CF26=1,Time!CF28=0),CF20/Time!CF25*Inputs!$F$157,0)</f>
        <v/>
      </c>
      <c r="CG42" s="19">
        <f>IF(AND(Time!CG26=1,Time!CG28=0),CG20/Time!CG25*Inputs!$F$157,0)</f>
        <v/>
      </c>
      <c r="CH42" s="19">
        <f>IF(AND(Time!CH26=1,Time!CH28=0),CH20/Time!CH25*Inputs!$F$157,0)</f>
        <v/>
      </c>
      <c r="CI42" s="19">
        <f>IF(AND(Time!CI26=1,Time!CI28=0),CI20/Time!CI25*Inputs!$F$157,0)</f>
        <v/>
      </c>
      <c r="CJ42" s="19">
        <f>IF(AND(Time!CJ26=1,Time!CJ28=0),CJ20/Time!CJ25*Inputs!$F$157,0)</f>
        <v/>
      </c>
      <c r="CK42" s="19">
        <f>IF(AND(Time!CK26=1,Time!CK28=0),CK20/Time!CK25*Inputs!$F$157,0)</f>
        <v/>
      </c>
      <c r="CL42" s="19">
        <f>IF(AND(Time!CL26=1,Time!CL28=0),CL20/Time!CL25*Inputs!$F$157,0)</f>
        <v/>
      </c>
      <c r="CM42" s="19">
        <f>IF(AND(Time!CM26=1,Time!CM28=0),CM20/Time!CM25*Inputs!$F$157,0)</f>
        <v/>
      </c>
      <c r="CN42" s="19">
        <f>IF(AND(Time!CN26=1,Time!CN28=0),CN20/Time!CN25*Inputs!$F$157,0)</f>
        <v/>
      </c>
      <c r="CO42" s="19">
        <f>IF(AND(Time!CO26=1,Time!CO28=0),CO20/Time!CO25*Inputs!$F$157,0)</f>
        <v/>
      </c>
      <c r="CP42" s="19">
        <f>IF(AND(Time!CP26=1,Time!CP28=0),CP20/Time!CP25*Inputs!$F$157,0)</f>
        <v/>
      </c>
      <c r="CQ42" s="19">
        <f>IF(AND(Time!CQ26=1,Time!CQ28=0),CQ20/Time!CQ25*Inputs!$F$157,0)</f>
        <v/>
      </c>
      <c r="CR42" s="19">
        <f>IF(AND(Time!CR26=1,Time!CR28=0),CR20/Time!CR25*Inputs!$F$157,0)</f>
        <v/>
      </c>
      <c r="CS42" s="19">
        <f>IF(AND(Time!CS26=1,Time!CS28=0),CS20/Time!CS25*Inputs!$F$157,0)</f>
        <v/>
      </c>
      <c r="CT42" s="19">
        <f>IF(AND(Time!CT26=1,Time!CT28=0),CT20/Time!CT25*Inputs!$F$157,0)</f>
        <v/>
      </c>
      <c r="CU42" s="19">
        <f>IF(AND(Time!CU26=1,Time!CU28=0),CU20/Time!CU25*Inputs!$F$157,0)</f>
        <v/>
      </c>
      <c r="CV42" s="19">
        <f>IF(AND(Time!CV26=1,Time!CV28=0),CV20/Time!CV25*Inputs!$F$157,0)</f>
        <v/>
      </c>
      <c r="CW42" s="19">
        <f>IF(AND(Time!CW26=1,Time!CW28=0),CW20/Time!CW25*Inputs!$F$157,0)</f>
        <v/>
      </c>
      <c r="CX42" s="19">
        <f>IF(AND(Time!CX26=1,Time!CX28=0),CX20/Time!CX25*Inputs!$F$157,0)</f>
        <v/>
      </c>
      <c r="CY42" s="19">
        <f>IF(AND(Time!CY26=1,Time!CY28=0),CY20/Time!CY25*Inputs!$F$157,0)</f>
        <v/>
      </c>
      <c r="CZ42" s="19">
        <f>IF(AND(Time!CZ26=1,Time!CZ28=0),CZ20/Time!CZ25*Inputs!$F$157,0)</f>
        <v/>
      </c>
      <c r="DA42" s="19">
        <f>IF(AND(Time!DA26=1,Time!DA28=0),DA20/Time!DA25*Inputs!$F$157,0)</f>
        <v/>
      </c>
      <c r="DB42" s="19">
        <f>IF(AND(Time!DB26=1,Time!DB28=0),DB20/Time!DB25*Inputs!$F$157,0)</f>
        <v/>
      </c>
    </row>
    <row r="43">
      <c r="D43" t="inlineStr">
        <is>
          <t>Operating payables</t>
        </is>
      </c>
      <c r="E43" t="inlineStr">
        <is>
          <t>ARD m</t>
        </is>
      </c>
      <c r="J43" s="19">
        <f>IF(AND(Time!J26=1,Time!J28=0),J29/Time!J25*Inputs!$F$158,0)</f>
        <v/>
      </c>
      <c r="K43" s="19">
        <f>IF(AND(Time!K26=1,Time!K28=0),K29/Time!K25*Inputs!$F$158,0)</f>
        <v/>
      </c>
      <c r="L43" s="19">
        <f>IF(AND(Time!L26=1,Time!L28=0),L29/Time!L25*Inputs!$F$158,0)</f>
        <v/>
      </c>
      <c r="M43" s="19">
        <f>IF(AND(Time!M26=1,Time!M28=0),M29/Time!M25*Inputs!$F$158,0)</f>
        <v/>
      </c>
      <c r="N43" s="19">
        <f>IF(AND(Time!N26=1,Time!N28=0),N29/Time!N25*Inputs!$F$158,0)</f>
        <v/>
      </c>
      <c r="O43" s="19">
        <f>IF(AND(Time!O26=1,Time!O28=0),O29/Time!O25*Inputs!$F$158,0)</f>
        <v/>
      </c>
      <c r="P43" s="19">
        <f>IF(AND(Time!P26=1,Time!P28=0),P29/Time!P25*Inputs!$F$158,0)</f>
        <v/>
      </c>
      <c r="Q43" s="19">
        <f>IF(AND(Time!Q26=1,Time!Q28=0),Q29/Time!Q25*Inputs!$F$158,0)</f>
        <v/>
      </c>
      <c r="R43" s="19">
        <f>IF(AND(Time!R26=1,Time!R28=0),R29/Time!R25*Inputs!$F$158,0)</f>
        <v/>
      </c>
      <c r="S43" s="19">
        <f>IF(AND(Time!S26=1,Time!S28=0),S29/Time!S25*Inputs!$F$158,0)</f>
        <v/>
      </c>
      <c r="T43" s="19">
        <f>IF(AND(Time!T26=1,Time!T28=0),T29/Time!T25*Inputs!$F$158,0)</f>
        <v/>
      </c>
      <c r="U43" s="19">
        <f>IF(AND(Time!U26=1,Time!U28=0),U29/Time!U25*Inputs!$F$158,0)</f>
        <v/>
      </c>
      <c r="V43" s="19">
        <f>IF(AND(Time!V26=1,Time!V28=0),V29/Time!V25*Inputs!$F$158,0)</f>
        <v/>
      </c>
      <c r="W43" s="19">
        <f>IF(AND(Time!W26=1,Time!W28=0),W29/Time!W25*Inputs!$F$158,0)</f>
        <v/>
      </c>
      <c r="X43" s="19">
        <f>IF(AND(Time!X26=1,Time!X28=0),X29/Time!X25*Inputs!$F$158,0)</f>
        <v/>
      </c>
      <c r="Y43" s="19">
        <f>IF(AND(Time!Y26=1,Time!Y28=0),Y29/Time!Y25*Inputs!$F$158,0)</f>
        <v/>
      </c>
      <c r="Z43" s="19">
        <f>IF(AND(Time!Z26=1,Time!Z28=0),Z29/Time!Z25*Inputs!$F$158,0)</f>
        <v/>
      </c>
      <c r="AA43" s="19">
        <f>IF(AND(Time!AA26=1,Time!AA28=0),AA29/Time!AA25*Inputs!$F$158,0)</f>
        <v/>
      </c>
      <c r="AB43" s="19">
        <f>IF(AND(Time!AB26=1,Time!AB28=0),AB29/Time!AB25*Inputs!$F$158,0)</f>
        <v/>
      </c>
      <c r="AC43" s="19">
        <f>IF(AND(Time!AC26=1,Time!AC28=0),AC29/Time!AC25*Inputs!$F$158,0)</f>
        <v/>
      </c>
      <c r="AD43" s="19">
        <f>IF(AND(Time!AD26=1,Time!AD28=0),AD29/Time!AD25*Inputs!$F$158,0)</f>
        <v/>
      </c>
      <c r="AE43" s="19">
        <f>IF(AND(Time!AE26=1,Time!AE28=0),AE29/Time!AE25*Inputs!$F$158,0)</f>
        <v/>
      </c>
      <c r="AF43" s="19">
        <f>IF(AND(Time!AF26=1,Time!AF28=0),AF29/Time!AF25*Inputs!$F$158,0)</f>
        <v/>
      </c>
      <c r="AG43" s="19">
        <f>IF(AND(Time!AG26=1,Time!AG28=0),AG29/Time!AG25*Inputs!$F$158,0)</f>
        <v/>
      </c>
      <c r="AH43" s="19">
        <f>IF(AND(Time!AH26=1,Time!AH28=0),AH29/Time!AH25*Inputs!$F$158,0)</f>
        <v/>
      </c>
      <c r="AI43" s="19">
        <f>IF(AND(Time!AI26=1,Time!AI28=0),AI29/Time!AI25*Inputs!$F$158,0)</f>
        <v/>
      </c>
      <c r="AJ43" s="19">
        <f>IF(AND(Time!AJ26=1,Time!AJ28=0),AJ29/Time!AJ25*Inputs!$F$158,0)</f>
        <v/>
      </c>
      <c r="AK43" s="19">
        <f>IF(AND(Time!AK26=1,Time!AK28=0),AK29/Time!AK25*Inputs!$F$158,0)</f>
        <v/>
      </c>
      <c r="AL43" s="19">
        <f>IF(AND(Time!AL26=1,Time!AL28=0),AL29/Time!AL25*Inputs!$F$158,0)</f>
        <v/>
      </c>
      <c r="AM43" s="19">
        <f>IF(AND(Time!AM26=1,Time!AM28=0),AM29/Time!AM25*Inputs!$F$158,0)</f>
        <v/>
      </c>
      <c r="AN43" s="19">
        <f>IF(AND(Time!AN26=1,Time!AN28=0),AN29/Time!AN25*Inputs!$F$158,0)</f>
        <v/>
      </c>
      <c r="AO43" s="19">
        <f>IF(AND(Time!AO26=1,Time!AO28=0),AO29/Time!AO25*Inputs!$F$158,0)</f>
        <v/>
      </c>
      <c r="AP43" s="19">
        <f>IF(AND(Time!AP26=1,Time!AP28=0),AP29/Time!AP25*Inputs!$F$158,0)</f>
        <v/>
      </c>
      <c r="AQ43" s="19">
        <f>IF(AND(Time!AQ26=1,Time!AQ28=0),AQ29/Time!AQ25*Inputs!$F$158,0)</f>
        <v/>
      </c>
      <c r="AR43" s="19">
        <f>IF(AND(Time!AR26=1,Time!AR28=0),AR29/Time!AR25*Inputs!$F$158,0)</f>
        <v/>
      </c>
      <c r="AS43" s="19">
        <f>IF(AND(Time!AS26=1,Time!AS28=0),AS29/Time!AS25*Inputs!$F$158,0)</f>
        <v/>
      </c>
      <c r="AT43" s="19">
        <f>IF(AND(Time!AT26=1,Time!AT28=0),AT29/Time!AT25*Inputs!$F$158,0)</f>
        <v/>
      </c>
      <c r="AU43" s="19">
        <f>IF(AND(Time!AU26=1,Time!AU28=0),AU29/Time!AU25*Inputs!$F$158,0)</f>
        <v/>
      </c>
      <c r="AV43" s="19">
        <f>IF(AND(Time!AV26=1,Time!AV28=0),AV29/Time!AV25*Inputs!$F$158,0)</f>
        <v/>
      </c>
      <c r="AW43" s="19">
        <f>IF(AND(Time!AW26=1,Time!AW28=0),AW29/Time!AW25*Inputs!$F$158,0)</f>
        <v/>
      </c>
      <c r="AX43" s="19">
        <f>IF(AND(Time!AX26=1,Time!AX28=0),AX29/Time!AX25*Inputs!$F$158,0)</f>
        <v/>
      </c>
      <c r="AY43" s="19">
        <f>IF(AND(Time!AY26=1,Time!AY28=0),AY29/Time!AY25*Inputs!$F$158,0)</f>
        <v/>
      </c>
      <c r="AZ43" s="19">
        <f>IF(AND(Time!AZ26=1,Time!AZ28=0),AZ29/Time!AZ25*Inputs!$F$158,0)</f>
        <v/>
      </c>
      <c r="BA43" s="19">
        <f>IF(AND(Time!BA26=1,Time!BA28=0),BA29/Time!BA25*Inputs!$F$158,0)</f>
        <v/>
      </c>
      <c r="BB43" s="19">
        <f>IF(AND(Time!BB26=1,Time!BB28=0),BB29/Time!BB25*Inputs!$F$158,0)</f>
        <v/>
      </c>
      <c r="BC43" s="19">
        <f>IF(AND(Time!BC26=1,Time!BC28=0),BC29/Time!BC25*Inputs!$F$158,0)</f>
        <v/>
      </c>
      <c r="BD43" s="19">
        <f>IF(AND(Time!BD26=1,Time!BD28=0),BD29/Time!BD25*Inputs!$F$158,0)</f>
        <v/>
      </c>
      <c r="BE43" s="19">
        <f>IF(AND(Time!BE26=1,Time!BE28=0),BE29/Time!BE25*Inputs!$F$158,0)</f>
        <v/>
      </c>
      <c r="BF43" s="19">
        <f>IF(AND(Time!BF26=1,Time!BF28=0),BF29/Time!BF25*Inputs!$F$158,0)</f>
        <v/>
      </c>
      <c r="BG43" s="19">
        <f>IF(AND(Time!BG26=1,Time!BG28=0),BG29/Time!BG25*Inputs!$F$158,0)</f>
        <v/>
      </c>
      <c r="BH43" s="19">
        <f>IF(AND(Time!BH26=1,Time!BH28=0),BH29/Time!BH25*Inputs!$F$158,0)</f>
        <v/>
      </c>
      <c r="BI43" s="19">
        <f>IF(AND(Time!BI26=1,Time!BI28=0),BI29/Time!BI25*Inputs!$F$158,0)</f>
        <v/>
      </c>
      <c r="BJ43" s="19">
        <f>IF(AND(Time!BJ26=1,Time!BJ28=0),BJ29/Time!BJ25*Inputs!$F$158,0)</f>
        <v/>
      </c>
      <c r="BK43" s="19">
        <f>IF(AND(Time!BK26=1,Time!BK28=0),BK29/Time!BK25*Inputs!$F$158,0)</f>
        <v/>
      </c>
      <c r="BL43" s="19">
        <f>IF(AND(Time!BL26=1,Time!BL28=0),BL29/Time!BL25*Inputs!$F$158,0)</f>
        <v/>
      </c>
      <c r="BM43" s="19">
        <f>IF(AND(Time!BM26=1,Time!BM28=0),BM29/Time!BM25*Inputs!$F$158,0)</f>
        <v/>
      </c>
      <c r="BN43" s="19">
        <f>IF(AND(Time!BN26=1,Time!BN28=0),BN29/Time!BN25*Inputs!$F$158,0)</f>
        <v/>
      </c>
      <c r="BO43" s="19">
        <f>IF(AND(Time!BO26=1,Time!BO28=0),BO29/Time!BO25*Inputs!$F$158,0)</f>
        <v/>
      </c>
      <c r="BP43" s="19">
        <f>IF(AND(Time!BP26=1,Time!BP28=0),BP29/Time!BP25*Inputs!$F$158,0)</f>
        <v/>
      </c>
      <c r="BQ43" s="19">
        <f>IF(AND(Time!BQ26=1,Time!BQ28=0),BQ29/Time!BQ25*Inputs!$F$158,0)</f>
        <v/>
      </c>
      <c r="BR43" s="19">
        <f>IF(AND(Time!BR26=1,Time!BR28=0),BR29/Time!BR25*Inputs!$F$158,0)</f>
        <v/>
      </c>
      <c r="BS43" s="19">
        <f>IF(AND(Time!BS26=1,Time!BS28=0),BS29/Time!BS25*Inputs!$F$158,0)</f>
        <v/>
      </c>
      <c r="BT43" s="19">
        <f>IF(AND(Time!BT26=1,Time!BT28=0),BT29/Time!BT25*Inputs!$F$158,0)</f>
        <v/>
      </c>
      <c r="BU43" s="19">
        <f>IF(AND(Time!BU26=1,Time!BU28=0),BU29/Time!BU25*Inputs!$F$158,0)</f>
        <v/>
      </c>
      <c r="BV43" s="19">
        <f>IF(AND(Time!BV26=1,Time!BV28=0),BV29/Time!BV25*Inputs!$F$158,0)</f>
        <v/>
      </c>
      <c r="BW43" s="19">
        <f>IF(AND(Time!BW26=1,Time!BW28=0),BW29/Time!BW25*Inputs!$F$158,0)</f>
        <v/>
      </c>
      <c r="BX43" s="19">
        <f>IF(AND(Time!BX26=1,Time!BX28=0),BX29/Time!BX25*Inputs!$F$158,0)</f>
        <v/>
      </c>
      <c r="BY43" s="19">
        <f>IF(AND(Time!BY26=1,Time!BY28=0),BY29/Time!BY25*Inputs!$F$158,0)</f>
        <v/>
      </c>
      <c r="BZ43" s="19">
        <f>IF(AND(Time!BZ26=1,Time!BZ28=0),BZ29/Time!BZ25*Inputs!$F$158,0)</f>
        <v/>
      </c>
      <c r="CA43" s="19">
        <f>IF(AND(Time!CA26=1,Time!CA28=0),CA29/Time!CA25*Inputs!$F$158,0)</f>
        <v/>
      </c>
      <c r="CB43" s="19">
        <f>IF(AND(Time!CB26=1,Time!CB28=0),CB29/Time!CB25*Inputs!$F$158,0)</f>
        <v/>
      </c>
      <c r="CC43" s="19">
        <f>IF(AND(Time!CC26=1,Time!CC28=0),CC29/Time!CC25*Inputs!$F$158,0)</f>
        <v/>
      </c>
      <c r="CD43" s="19">
        <f>IF(AND(Time!CD26=1,Time!CD28=0),CD29/Time!CD25*Inputs!$F$158,0)</f>
        <v/>
      </c>
      <c r="CE43" s="19">
        <f>IF(AND(Time!CE26=1,Time!CE28=0),CE29/Time!CE25*Inputs!$F$158,0)</f>
        <v/>
      </c>
      <c r="CF43" s="19">
        <f>IF(AND(Time!CF26=1,Time!CF28=0),CF29/Time!CF25*Inputs!$F$158,0)</f>
        <v/>
      </c>
      <c r="CG43" s="19">
        <f>IF(AND(Time!CG26=1,Time!CG28=0),CG29/Time!CG25*Inputs!$F$158,0)</f>
        <v/>
      </c>
      <c r="CH43" s="19">
        <f>IF(AND(Time!CH26=1,Time!CH28=0),CH29/Time!CH25*Inputs!$F$158,0)</f>
        <v/>
      </c>
      <c r="CI43" s="19">
        <f>IF(AND(Time!CI26=1,Time!CI28=0),CI29/Time!CI25*Inputs!$F$158,0)</f>
        <v/>
      </c>
      <c r="CJ43" s="19">
        <f>IF(AND(Time!CJ26=1,Time!CJ28=0),CJ29/Time!CJ25*Inputs!$F$158,0)</f>
        <v/>
      </c>
      <c r="CK43" s="19">
        <f>IF(AND(Time!CK26=1,Time!CK28=0),CK29/Time!CK25*Inputs!$F$158,0)</f>
        <v/>
      </c>
      <c r="CL43" s="19">
        <f>IF(AND(Time!CL26=1,Time!CL28=0),CL29/Time!CL25*Inputs!$F$158,0)</f>
        <v/>
      </c>
      <c r="CM43" s="19">
        <f>IF(AND(Time!CM26=1,Time!CM28=0),CM29/Time!CM25*Inputs!$F$158,0)</f>
        <v/>
      </c>
      <c r="CN43" s="19">
        <f>IF(AND(Time!CN26=1,Time!CN28=0),CN29/Time!CN25*Inputs!$F$158,0)</f>
        <v/>
      </c>
      <c r="CO43" s="19">
        <f>IF(AND(Time!CO26=1,Time!CO28=0),CO29/Time!CO25*Inputs!$F$158,0)</f>
        <v/>
      </c>
      <c r="CP43" s="19">
        <f>IF(AND(Time!CP26=1,Time!CP28=0),CP29/Time!CP25*Inputs!$F$158,0)</f>
        <v/>
      </c>
      <c r="CQ43" s="19">
        <f>IF(AND(Time!CQ26=1,Time!CQ28=0),CQ29/Time!CQ25*Inputs!$F$158,0)</f>
        <v/>
      </c>
      <c r="CR43" s="19">
        <f>IF(AND(Time!CR26=1,Time!CR28=0),CR29/Time!CR25*Inputs!$F$158,0)</f>
        <v/>
      </c>
      <c r="CS43" s="19">
        <f>IF(AND(Time!CS26=1,Time!CS28=0),CS29/Time!CS25*Inputs!$F$158,0)</f>
        <v/>
      </c>
      <c r="CT43" s="19">
        <f>IF(AND(Time!CT26=1,Time!CT28=0),CT29/Time!CT25*Inputs!$F$158,0)</f>
        <v/>
      </c>
      <c r="CU43" s="19">
        <f>IF(AND(Time!CU26=1,Time!CU28=0),CU29/Time!CU25*Inputs!$F$158,0)</f>
        <v/>
      </c>
      <c r="CV43" s="19">
        <f>IF(AND(Time!CV26=1,Time!CV28=0),CV29/Time!CV25*Inputs!$F$158,0)</f>
        <v/>
      </c>
      <c r="CW43" s="19">
        <f>IF(AND(Time!CW26=1,Time!CW28=0),CW29/Time!CW25*Inputs!$F$158,0)</f>
        <v/>
      </c>
      <c r="CX43" s="19">
        <f>IF(AND(Time!CX26=1,Time!CX28=0),CX29/Time!CX25*Inputs!$F$158,0)</f>
        <v/>
      </c>
      <c r="CY43" s="19">
        <f>IF(AND(Time!CY26=1,Time!CY28=0),CY29/Time!CY25*Inputs!$F$158,0)</f>
        <v/>
      </c>
      <c r="CZ43" s="19">
        <f>IF(AND(Time!CZ26=1,Time!CZ28=0),CZ29/Time!CZ25*Inputs!$F$158,0)</f>
        <v/>
      </c>
      <c r="DA43" s="19">
        <f>IF(AND(Time!DA26=1,Time!DA28=0),DA29/Time!DA25*Inputs!$F$158,0)</f>
        <v/>
      </c>
      <c r="DB43" s="19">
        <f>IF(AND(Time!DB26=1,Time!DB28=0),DB29/Time!DB25*Inputs!$F$158,0)</f>
        <v/>
      </c>
    </row>
    <row r="44">
      <c r="D44" t="inlineStr">
        <is>
          <t>Net working capital</t>
        </is>
      </c>
      <c r="E44" t="inlineStr">
        <is>
          <t>ARD m</t>
        </is>
      </c>
      <c r="J44" s="19">
        <f>J42-J43</f>
        <v/>
      </c>
      <c r="K44" s="19">
        <f>K42-K43</f>
        <v/>
      </c>
      <c r="L44" s="19">
        <f>L42-L43</f>
        <v/>
      </c>
      <c r="M44" s="19">
        <f>M42-M43</f>
        <v/>
      </c>
      <c r="N44" s="19">
        <f>N42-N43</f>
        <v/>
      </c>
      <c r="O44" s="19">
        <f>O42-O43</f>
        <v/>
      </c>
      <c r="P44" s="19">
        <f>P42-P43</f>
        <v/>
      </c>
      <c r="Q44" s="19">
        <f>Q42-Q43</f>
        <v/>
      </c>
      <c r="R44" s="19">
        <f>R42-R43</f>
        <v/>
      </c>
      <c r="S44" s="19">
        <f>S42-S43</f>
        <v/>
      </c>
      <c r="T44" s="19">
        <f>T42-T43</f>
        <v/>
      </c>
      <c r="U44" s="19">
        <f>U42-U43</f>
        <v/>
      </c>
      <c r="V44" s="19">
        <f>V42-V43</f>
        <v/>
      </c>
      <c r="W44" s="19">
        <f>W42-W43</f>
        <v/>
      </c>
      <c r="X44" s="19">
        <f>X42-X43</f>
        <v/>
      </c>
      <c r="Y44" s="19">
        <f>Y42-Y43</f>
        <v/>
      </c>
      <c r="Z44" s="19">
        <f>Z42-Z43</f>
        <v/>
      </c>
      <c r="AA44" s="19">
        <f>AA42-AA43</f>
        <v/>
      </c>
      <c r="AB44" s="19">
        <f>AB42-AB43</f>
        <v/>
      </c>
      <c r="AC44" s="19">
        <f>AC42-AC43</f>
        <v/>
      </c>
      <c r="AD44" s="19">
        <f>AD42-AD43</f>
        <v/>
      </c>
      <c r="AE44" s="19">
        <f>AE42-AE43</f>
        <v/>
      </c>
      <c r="AF44" s="19">
        <f>AF42-AF43</f>
        <v/>
      </c>
      <c r="AG44" s="19">
        <f>AG42-AG43</f>
        <v/>
      </c>
      <c r="AH44" s="19">
        <f>AH42-AH43</f>
        <v/>
      </c>
      <c r="AI44" s="19">
        <f>AI42-AI43</f>
        <v/>
      </c>
      <c r="AJ44" s="19">
        <f>AJ42-AJ43</f>
        <v/>
      </c>
      <c r="AK44" s="19">
        <f>AK42-AK43</f>
        <v/>
      </c>
      <c r="AL44" s="19">
        <f>AL42-AL43</f>
        <v/>
      </c>
      <c r="AM44" s="19">
        <f>AM42-AM43</f>
        <v/>
      </c>
      <c r="AN44" s="19">
        <f>AN42-AN43</f>
        <v/>
      </c>
      <c r="AO44" s="19">
        <f>AO42-AO43</f>
        <v/>
      </c>
      <c r="AP44" s="19">
        <f>AP42-AP43</f>
        <v/>
      </c>
      <c r="AQ44" s="19">
        <f>AQ42-AQ43</f>
        <v/>
      </c>
      <c r="AR44" s="19">
        <f>AR42-AR43</f>
        <v/>
      </c>
      <c r="AS44" s="19">
        <f>AS42-AS43</f>
        <v/>
      </c>
      <c r="AT44" s="19">
        <f>AT42-AT43</f>
        <v/>
      </c>
      <c r="AU44" s="19">
        <f>AU42-AU43</f>
        <v/>
      </c>
      <c r="AV44" s="19">
        <f>AV42-AV43</f>
        <v/>
      </c>
      <c r="AW44" s="19">
        <f>AW42-AW43</f>
        <v/>
      </c>
      <c r="AX44" s="19">
        <f>AX42-AX43</f>
        <v/>
      </c>
      <c r="AY44" s="19">
        <f>AY42-AY43</f>
        <v/>
      </c>
      <c r="AZ44" s="19">
        <f>AZ42-AZ43</f>
        <v/>
      </c>
      <c r="BA44" s="19">
        <f>BA42-BA43</f>
        <v/>
      </c>
      <c r="BB44" s="19">
        <f>BB42-BB43</f>
        <v/>
      </c>
      <c r="BC44" s="19">
        <f>BC42-BC43</f>
        <v/>
      </c>
      <c r="BD44" s="19">
        <f>BD42-BD43</f>
        <v/>
      </c>
      <c r="BE44" s="19">
        <f>BE42-BE43</f>
        <v/>
      </c>
      <c r="BF44" s="19">
        <f>BF42-BF43</f>
        <v/>
      </c>
      <c r="BG44" s="19">
        <f>BG42-BG43</f>
        <v/>
      </c>
      <c r="BH44" s="19">
        <f>BH42-BH43</f>
        <v/>
      </c>
      <c r="BI44" s="19">
        <f>BI42-BI43</f>
        <v/>
      </c>
      <c r="BJ44" s="19">
        <f>BJ42-BJ43</f>
        <v/>
      </c>
      <c r="BK44" s="19">
        <f>BK42-BK43</f>
        <v/>
      </c>
      <c r="BL44" s="19">
        <f>BL42-BL43</f>
        <v/>
      </c>
      <c r="BM44" s="19">
        <f>BM42-BM43</f>
        <v/>
      </c>
      <c r="BN44" s="19">
        <f>BN42-BN43</f>
        <v/>
      </c>
      <c r="BO44" s="19">
        <f>BO42-BO43</f>
        <v/>
      </c>
      <c r="BP44" s="19">
        <f>BP42-BP43</f>
        <v/>
      </c>
      <c r="BQ44" s="19">
        <f>BQ42-BQ43</f>
        <v/>
      </c>
      <c r="BR44" s="19">
        <f>BR42-BR43</f>
        <v/>
      </c>
      <c r="BS44" s="19">
        <f>BS42-BS43</f>
        <v/>
      </c>
      <c r="BT44" s="19">
        <f>BT42-BT43</f>
        <v/>
      </c>
      <c r="BU44" s="19">
        <f>BU42-BU43</f>
        <v/>
      </c>
      <c r="BV44" s="19">
        <f>BV42-BV43</f>
        <v/>
      </c>
      <c r="BW44" s="19">
        <f>BW42-BW43</f>
        <v/>
      </c>
      <c r="BX44" s="19">
        <f>BX42-BX43</f>
        <v/>
      </c>
      <c r="BY44" s="19">
        <f>BY42-BY43</f>
        <v/>
      </c>
      <c r="BZ44" s="19">
        <f>BZ42-BZ43</f>
        <v/>
      </c>
      <c r="CA44" s="19">
        <f>CA42-CA43</f>
        <v/>
      </c>
      <c r="CB44" s="19">
        <f>CB42-CB43</f>
        <v/>
      </c>
      <c r="CC44" s="19">
        <f>CC42-CC43</f>
        <v/>
      </c>
      <c r="CD44" s="19">
        <f>CD42-CD43</f>
        <v/>
      </c>
      <c r="CE44" s="19">
        <f>CE42-CE43</f>
        <v/>
      </c>
      <c r="CF44" s="19">
        <f>CF42-CF43</f>
        <v/>
      </c>
      <c r="CG44" s="19">
        <f>CG42-CG43</f>
        <v/>
      </c>
      <c r="CH44" s="19">
        <f>CH42-CH43</f>
        <v/>
      </c>
      <c r="CI44" s="19">
        <f>CI42-CI43</f>
        <v/>
      </c>
      <c r="CJ44" s="19">
        <f>CJ42-CJ43</f>
        <v/>
      </c>
      <c r="CK44" s="19">
        <f>CK42-CK43</f>
        <v/>
      </c>
      <c r="CL44" s="19">
        <f>CL42-CL43</f>
        <v/>
      </c>
      <c r="CM44" s="19">
        <f>CM42-CM43</f>
        <v/>
      </c>
      <c r="CN44" s="19">
        <f>CN42-CN43</f>
        <v/>
      </c>
      <c r="CO44" s="19">
        <f>CO42-CO43</f>
        <v/>
      </c>
      <c r="CP44" s="19">
        <f>CP42-CP43</f>
        <v/>
      </c>
      <c r="CQ44" s="19">
        <f>CQ42-CQ43</f>
        <v/>
      </c>
      <c r="CR44" s="19">
        <f>CR42-CR43</f>
        <v/>
      </c>
      <c r="CS44" s="19">
        <f>CS42-CS43</f>
        <v/>
      </c>
      <c r="CT44" s="19">
        <f>CT42-CT43</f>
        <v/>
      </c>
      <c r="CU44" s="19">
        <f>CU42-CU43</f>
        <v/>
      </c>
      <c r="CV44" s="19">
        <f>CV42-CV43</f>
        <v/>
      </c>
      <c r="CW44" s="19">
        <f>CW42-CW43</f>
        <v/>
      </c>
      <c r="CX44" s="19">
        <f>CX42-CX43</f>
        <v/>
      </c>
      <c r="CY44" s="19">
        <f>CY42-CY43</f>
        <v/>
      </c>
      <c r="CZ44" s="19">
        <f>CZ42-CZ43</f>
        <v/>
      </c>
      <c r="DA44" s="19">
        <f>DA42-DA43</f>
        <v/>
      </c>
      <c r="DB44" s="19">
        <f>DB42-DB43</f>
        <v/>
      </c>
    </row>
    <row r="45">
      <c r="D45" t="inlineStr">
        <is>
          <t>Increase in working capital</t>
        </is>
      </c>
      <c r="E45" t="inlineStr">
        <is>
          <t>ARD m</t>
        </is>
      </c>
      <c r="G45" s="19">
        <f>SUM(J45:DB45)</f>
        <v/>
      </c>
      <c r="J45" s="19">
        <f>J44-I44</f>
        <v/>
      </c>
      <c r="K45" s="19">
        <f>K44-J44</f>
        <v/>
      </c>
      <c r="L45" s="19">
        <f>L44-K44</f>
        <v/>
      </c>
      <c r="M45" s="19">
        <f>M44-L44</f>
        <v/>
      </c>
      <c r="N45" s="19">
        <f>N44-M44</f>
        <v/>
      </c>
      <c r="O45" s="19">
        <f>O44-N44</f>
        <v/>
      </c>
      <c r="P45" s="19">
        <f>P44-O44</f>
        <v/>
      </c>
      <c r="Q45" s="19">
        <f>Q44-P44</f>
        <v/>
      </c>
      <c r="R45" s="19">
        <f>R44-Q44</f>
        <v/>
      </c>
      <c r="S45" s="19">
        <f>S44-R44</f>
        <v/>
      </c>
      <c r="T45" s="19">
        <f>T44-S44</f>
        <v/>
      </c>
      <c r="U45" s="19">
        <f>U44-T44</f>
        <v/>
      </c>
      <c r="V45" s="19">
        <f>V44-U44</f>
        <v/>
      </c>
      <c r="W45" s="19">
        <f>W44-V44</f>
        <v/>
      </c>
      <c r="X45" s="19">
        <f>X44-W44</f>
        <v/>
      </c>
      <c r="Y45" s="19">
        <f>Y44-X44</f>
        <v/>
      </c>
      <c r="Z45" s="19">
        <f>Z44-Y44</f>
        <v/>
      </c>
      <c r="AA45" s="19">
        <f>AA44-Z44</f>
        <v/>
      </c>
      <c r="AB45" s="19">
        <f>AB44-AA44</f>
        <v/>
      </c>
      <c r="AC45" s="19">
        <f>AC44-AB44</f>
        <v/>
      </c>
      <c r="AD45" s="19">
        <f>AD44-AC44</f>
        <v/>
      </c>
      <c r="AE45" s="19">
        <f>AE44-AD44</f>
        <v/>
      </c>
      <c r="AF45" s="19">
        <f>AF44-AE44</f>
        <v/>
      </c>
      <c r="AG45" s="19">
        <f>AG44-AF44</f>
        <v/>
      </c>
      <c r="AH45" s="19">
        <f>AH44-AG44</f>
        <v/>
      </c>
      <c r="AI45" s="19">
        <f>AI44-AH44</f>
        <v/>
      </c>
      <c r="AJ45" s="19">
        <f>AJ44-AI44</f>
        <v/>
      </c>
      <c r="AK45" s="19">
        <f>AK44-AJ44</f>
        <v/>
      </c>
      <c r="AL45" s="19">
        <f>AL44-AK44</f>
        <v/>
      </c>
      <c r="AM45" s="19">
        <f>AM44-AL44</f>
        <v/>
      </c>
      <c r="AN45" s="19">
        <f>AN44-AM44</f>
        <v/>
      </c>
      <c r="AO45" s="19">
        <f>AO44-AN44</f>
        <v/>
      </c>
      <c r="AP45" s="19">
        <f>AP44-AO44</f>
        <v/>
      </c>
      <c r="AQ45" s="19">
        <f>AQ44-AP44</f>
        <v/>
      </c>
      <c r="AR45" s="19">
        <f>AR44-AQ44</f>
        <v/>
      </c>
      <c r="AS45" s="19">
        <f>AS44-AR44</f>
        <v/>
      </c>
      <c r="AT45" s="19">
        <f>AT44-AS44</f>
        <v/>
      </c>
      <c r="AU45" s="19">
        <f>AU44-AT44</f>
        <v/>
      </c>
      <c r="AV45" s="19">
        <f>AV44-AU44</f>
        <v/>
      </c>
      <c r="AW45" s="19">
        <f>AW44-AV44</f>
        <v/>
      </c>
      <c r="AX45" s="19">
        <f>AX44-AW44</f>
        <v/>
      </c>
      <c r="AY45" s="19">
        <f>AY44-AX44</f>
        <v/>
      </c>
      <c r="AZ45" s="19">
        <f>AZ44-AY44</f>
        <v/>
      </c>
      <c r="BA45" s="19">
        <f>BA44-AZ44</f>
        <v/>
      </c>
      <c r="BB45" s="19">
        <f>BB44-BA44</f>
        <v/>
      </c>
      <c r="BC45" s="19">
        <f>BC44-BB44</f>
        <v/>
      </c>
      <c r="BD45" s="19">
        <f>BD44-BC44</f>
        <v/>
      </c>
      <c r="BE45" s="19">
        <f>BE44-BD44</f>
        <v/>
      </c>
      <c r="BF45" s="19">
        <f>BF44-BE44</f>
        <v/>
      </c>
      <c r="BG45" s="19">
        <f>BG44-BF44</f>
        <v/>
      </c>
      <c r="BH45" s="19">
        <f>BH44-BG44</f>
        <v/>
      </c>
      <c r="BI45" s="19">
        <f>BI44-BH44</f>
        <v/>
      </c>
      <c r="BJ45" s="19">
        <f>BJ44-BI44</f>
        <v/>
      </c>
      <c r="BK45" s="19">
        <f>BK44-BJ44</f>
        <v/>
      </c>
      <c r="BL45" s="19">
        <f>BL44-BK44</f>
        <v/>
      </c>
      <c r="BM45" s="19">
        <f>BM44-BL44</f>
        <v/>
      </c>
      <c r="BN45" s="19">
        <f>BN44-BM44</f>
        <v/>
      </c>
      <c r="BO45" s="19">
        <f>BO44-BN44</f>
        <v/>
      </c>
      <c r="BP45" s="19">
        <f>BP44-BO44</f>
        <v/>
      </c>
      <c r="BQ45" s="19">
        <f>BQ44-BP44</f>
        <v/>
      </c>
      <c r="BR45" s="19">
        <f>BR44-BQ44</f>
        <v/>
      </c>
      <c r="BS45" s="19">
        <f>BS44-BR44</f>
        <v/>
      </c>
      <c r="BT45" s="19">
        <f>BT44-BS44</f>
        <v/>
      </c>
      <c r="BU45" s="19">
        <f>BU44-BT44</f>
        <v/>
      </c>
      <c r="BV45" s="19">
        <f>BV44-BU44</f>
        <v/>
      </c>
      <c r="BW45" s="19">
        <f>BW44-BV44</f>
        <v/>
      </c>
      <c r="BX45" s="19">
        <f>BX44-BW44</f>
        <v/>
      </c>
      <c r="BY45" s="19">
        <f>BY44-BX44</f>
        <v/>
      </c>
      <c r="BZ45" s="19">
        <f>BZ44-BY44</f>
        <v/>
      </c>
      <c r="CA45" s="19">
        <f>CA44-BZ44</f>
        <v/>
      </c>
      <c r="CB45" s="19">
        <f>CB44-CA44</f>
        <v/>
      </c>
      <c r="CC45" s="19">
        <f>CC44-CB44</f>
        <v/>
      </c>
      <c r="CD45" s="19">
        <f>CD44-CC44</f>
        <v/>
      </c>
      <c r="CE45" s="19">
        <f>CE44-CD44</f>
        <v/>
      </c>
      <c r="CF45" s="19">
        <f>CF44-CE44</f>
        <v/>
      </c>
      <c r="CG45" s="19">
        <f>CG44-CF44</f>
        <v/>
      </c>
      <c r="CH45" s="19">
        <f>CH44-CG44</f>
        <v/>
      </c>
      <c r="CI45" s="19">
        <f>CI44-CH44</f>
        <v/>
      </c>
      <c r="CJ45" s="19">
        <f>CJ44-CI44</f>
        <v/>
      </c>
      <c r="CK45" s="19">
        <f>CK44-CJ44</f>
        <v/>
      </c>
      <c r="CL45" s="19">
        <f>CL44-CK44</f>
        <v/>
      </c>
      <c r="CM45" s="19">
        <f>CM44-CL44</f>
        <v/>
      </c>
      <c r="CN45" s="19">
        <f>CN44-CM44</f>
        <v/>
      </c>
      <c r="CO45" s="19">
        <f>CO44-CN44</f>
        <v/>
      </c>
      <c r="CP45" s="19">
        <f>CP44-CO44</f>
        <v/>
      </c>
      <c r="CQ45" s="19">
        <f>CQ44-CP44</f>
        <v/>
      </c>
      <c r="CR45" s="19">
        <f>CR44-CQ44</f>
        <v/>
      </c>
      <c r="CS45" s="19">
        <f>CS44-CR44</f>
        <v/>
      </c>
      <c r="CT45" s="19">
        <f>CT44-CS44</f>
        <v/>
      </c>
      <c r="CU45" s="19">
        <f>CU44-CT44</f>
        <v/>
      </c>
      <c r="CV45" s="19">
        <f>CV44-CU44</f>
        <v/>
      </c>
      <c r="CW45" s="19">
        <f>CW44-CV44</f>
        <v/>
      </c>
      <c r="CX45" s="19">
        <f>CX44-CW44</f>
        <v/>
      </c>
      <c r="CY45" s="19">
        <f>CY44-CX44</f>
        <v/>
      </c>
      <c r="CZ45" s="19">
        <f>CZ44-CY44</f>
        <v/>
      </c>
      <c r="DA45" s="19">
        <f>DA44-CZ44</f>
        <v/>
      </c>
      <c r="DB45" s="19">
        <f>DB44-DA44</f>
        <v/>
      </c>
    </row>
    <row r="46">
      <c r="D46" t="inlineStr">
        <is>
          <t>Interchange upgrade capex (from the upgrade account)</t>
        </is>
      </c>
      <c r="E46" t="inlineStr">
        <is>
          <t>ARD m</t>
        </is>
      </c>
      <c r="G46" s="19">
        <f>SUM(J46:DB46)</f>
        <v/>
      </c>
      <c r="J46" s="19">
        <f>IF(AND(Inputs!$F$216=1,Time!J8&gt;=Inputs!$F$40,Time!J8&lt;=Inputs!$F$41),Inputs!$F$173/Inputs!$F$174,0)</f>
        <v/>
      </c>
      <c r="K46" s="19">
        <f>IF(AND(Inputs!$F$216=1,Time!K8&gt;=Inputs!$F$40,Time!K8&lt;=Inputs!$F$41),Inputs!$F$173/Inputs!$F$174,0)</f>
        <v/>
      </c>
      <c r="L46" s="19">
        <f>IF(AND(Inputs!$F$216=1,Time!L8&gt;=Inputs!$F$40,Time!L8&lt;=Inputs!$F$41),Inputs!$F$173/Inputs!$F$174,0)</f>
        <v/>
      </c>
      <c r="M46" s="19">
        <f>IF(AND(Inputs!$F$216=1,Time!M8&gt;=Inputs!$F$40,Time!M8&lt;=Inputs!$F$41),Inputs!$F$173/Inputs!$F$174,0)</f>
        <v/>
      </c>
      <c r="N46" s="19">
        <f>IF(AND(Inputs!$F$216=1,Time!N8&gt;=Inputs!$F$40,Time!N8&lt;=Inputs!$F$41),Inputs!$F$173/Inputs!$F$174,0)</f>
        <v/>
      </c>
      <c r="O46" s="19">
        <f>IF(AND(Inputs!$F$216=1,Time!O8&gt;=Inputs!$F$40,Time!O8&lt;=Inputs!$F$41),Inputs!$F$173/Inputs!$F$174,0)</f>
        <v/>
      </c>
      <c r="P46" s="19">
        <f>IF(AND(Inputs!$F$216=1,Time!P8&gt;=Inputs!$F$40,Time!P8&lt;=Inputs!$F$41),Inputs!$F$173/Inputs!$F$174,0)</f>
        <v/>
      </c>
      <c r="Q46" s="19">
        <f>IF(AND(Inputs!$F$216=1,Time!Q8&gt;=Inputs!$F$40,Time!Q8&lt;=Inputs!$F$41),Inputs!$F$173/Inputs!$F$174,0)</f>
        <v/>
      </c>
      <c r="R46" s="19">
        <f>IF(AND(Inputs!$F$216=1,Time!R8&gt;=Inputs!$F$40,Time!R8&lt;=Inputs!$F$41),Inputs!$F$173/Inputs!$F$174,0)</f>
        <v/>
      </c>
      <c r="S46" s="19">
        <f>IF(AND(Inputs!$F$216=1,Time!S8&gt;=Inputs!$F$40,Time!S8&lt;=Inputs!$F$41),Inputs!$F$173/Inputs!$F$174,0)</f>
        <v/>
      </c>
      <c r="T46" s="19">
        <f>IF(AND(Inputs!$F$216=1,Time!T8&gt;=Inputs!$F$40,Time!T8&lt;=Inputs!$F$41),Inputs!$F$173/Inputs!$F$174,0)</f>
        <v/>
      </c>
      <c r="U46" s="19">
        <f>IF(AND(Inputs!$F$216=1,Time!U8&gt;=Inputs!$F$40,Time!U8&lt;=Inputs!$F$41),Inputs!$F$173/Inputs!$F$174,0)</f>
        <v/>
      </c>
      <c r="V46" s="19">
        <f>IF(AND(Inputs!$F$216=1,Time!V8&gt;=Inputs!$F$40,Time!V8&lt;=Inputs!$F$41),Inputs!$F$173/Inputs!$F$174,0)</f>
        <v/>
      </c>
      <c r="W46" s="19">
        <f>IF(AND(Inputs!$F$216=1,Time!W8&gt;=Inputs!$F$40,Time!W8&lt;=Inputs!$F$41),Inputs!$F$173/Inputs!$F$174,0)</f>
        <v/>
      </c>
      <c r="X46" s="19">
        <f>IF(AND(Inputs!$F$216=1,Time!X8&gt;=Inputs!$F$40,Time!X8&lt;=Inputs!$F$41),Inputs!$F$173/Inputs!$F$174,0)</f>
        <v/>
      </c>
      <c r="Y46" s="19">
        <f>IF(AND(Inputs!$F$216=1,Time!Y8&gt;=Inputs!$F$40,Time!Y8&lt;=Inputs!$F$41),Inputs!$F$173/Inputs!$F$174,0)</f>
        <v/>
      </c>
      <c r="Z46" s="19">
        <f>IF(AND(Inputs!$F$216=1,Time!Z8&gt;=Inputs!$F$40,Time!Z8&lt;=Inputs!$F$41),Inputs!$F$173/Inputs!$F$174,0)</f>
        <v/>
      </c>
      <c r="AA46" s="19">
        <f>IF(AND(Inputs!$F$216=1,Time!AA8&gt;=Inputs!$F$40,Time!AA8&lt;=Inputs!$F$41),Inputs!$F$173/Inputs!$F$174,0)</f>
        <v/>
      </c>
      <c r="AB46" s="19">
        <f>IF(AND(Inputs!$F$216=1,Time!AB8&gt;=Inputs!$F$40,Time!AB8&lt;=Inputs!$F$41),Inputs!$F$173/Inputs!$F$174,0)</f>
        <v/>
      </c>
      <c r="AC46" s="19">
        <f>IF(AND(Inputs!$F$216=1,Time!AC8&gt;=Inputs!$F$40,Time!AC8&lt;=Inputs!$F$41),Inputs!$F$173/Inputs!$F$174,0)</f>
        <v/>
      </c>
      <c r="AD46" s="19">
        <f>IF(AND(Inputs!$F$216=1,Time!AD8&gt;=Inputs!$F$40,Time!AD8&lt;=Inputs!$F$41),Inputs!$F$173/Inputs!$F$174,0)</f>
        <v/>
      </c>
      <c r="AE46" s="19">
        <f>IF(AND(Inputs!$F$216=1,Time!AE8&gt;=Inputs!$F$40,Time!AE8&lt;=Inputs!$F$41),Inputs!$F$173/Inputs!$F$174,0)</f>
        <v/>
      </c>
      <c r="AF46" s="19">
        <f>IF(AND(Inputs!$F$216=1,Time!AF8&gt;=Inputs!$F$40,Time!AF8&lt;=Inputs!$F$41),Inputs!$F$173/Inputs!$F$174,0)</f>
        <v/>
      </c>
      <c r="AG46" s="19">
        <f>IF(AND(Inputs!$F$216=1,Time!AG8&gt;=Inputs!$F$40,Time!AG8&lt;=Inputs!$F$41),Inputs!$F$173/Inputs!$F$174,0)</f>
        <v/>
      </c>
      <c r="AH46" s="19">
        <f>IF(AND(Inputs!$F$216=1,Time!AH8&gt;=Inputs!$F$40,Time!AH8&lt;=Inputs!$F$41),Inputs!$F$173/Inputs!$F$174,0)</f>
        <v/>
      </c>
      <c r="AI46" s="19">
        <f>IF(AND(Inputs!$F$216=1,Time!AI8&gt;=Inputs!$F$40,Time!AI8&lt;=Inputs!$F$41),Inputs!$F$173/Inputs!$F$174,0)</f>
        <v/>
      </c>
      <c r="AJ46" s="19">
        <f>IF(AND(Inputs!$F$216=1,Time!AJ8&gt;=Inputs!$F$40,Time!AJ8&lt;=Inputs!$F$41),Inputs!$F$173/Inputs!$F$174,0)</f>
        <v/>
      </c>
      <c r="AK46" s="19">
        <f>IF(AND(Inputs!$F$216=1,Time!AK8&gt;=Inputs!$F$40,Time!AK8&lt;=Inputs!$F$41),Inputs!$F$173/Inputs!$F$174,0)</f>
        <v/>
      </c>
      <c r="AL46" s="19">
        <f>IF(AND(Inputs!$F$216=1,Time!AL8&gt;=Inputs!$F$40,Time!AL8&lt;=Inputs!$F$41),Inputs!$F$173/Inputs!$F$174,0)</f>
        <v/>
      </c>
      <c r="AM46" s="19">
        <f>IF(AND(Inputs!$F$216=1,Time!AM8&gt;=Inputs!$F$40,Time!AM8&lt;=Inputs!$F$41),Inputs!$F$173/Inputs!$F$174,0)</f>
        <v/>
      </c>
      <c r="AN46" s="19">
        <f>IF(AND(Inputs!$F$216=1,Time!AN8&gt;=Inputs!$F$40,Time!AN8&lt;=Inputs!$F$41),Inputs!$F$173/Inputs!$F$174,0)</f>
        <v/>
      </c>
      <c r="AO46" s="19">
        <f>IF(AND(Inputs!$F$216=1,Time!AO8&gt;=Inputs!$F$40,Time!AO8&lt;=Inputs!$F$41),Inputs!$F$173/Inputs!$F$174,0)</f>
        <v/>
      </c>
      <c r="AP46" s="19">
        <f>IF(AND(Inputs!$F$216=1,Time!AP8&gt;=Inputs!$F$40,Time!AP8&lt;=Inputs!$F$41),Inputs!$F$173/Inputs!$F$174,0)</f>
        <v/>
      </c>
      <c r="AQ46" s="19">
        <f>IF(AND(Inputs!$F$216=1,Time!AQ8&gt;=Inputs!$F$40,Time!AQ8&lt;=Inputs!$F$41),Inputs!$F$173/Inputs!$F$174,0)</f>
        <v/>
      </c>
      <c r="AR46" s="19">
        <f>IF(AND(Inputs!$F$216=1,Time!AR8&gt;=Inputs!$F$40,Time!AR8&lt;=Inputs!$F$41),Inputs!$F$173/Inputs!$F$174,0)</f>
        <v/>
      </c>
      <c r="AS46" s="19">
        <f>IF(AND(Inputs!$F$216=1,Time!AS8&gt;=Inputs!$F$40,Time!AS8&lt;=Inputs!$F$41),Inputs!$F$173/Inputs!$F$174,0)</f>
        <v/>
      </c>
      <c r="AT46" s="19">
        <f>IF(AND(Inputs!$F$216=1,Time!AT8&gt;=Inputs!$F$40,Time!AT8&lt;=Inputs!$F$41),Inputs!$F$173/Inputs!$F$174,0)</f>
        <v/>
      </c>
      <c r="AU46" s="19">
        <f>IF(AND(Inputs!$F$216=1,Time!AU8&gt;=Inputs!$F$40,Time!AU8&lt;=Inputs!$F$41),Inputs!$F$173/Inputs!$F$174,0)</f>
        <v/>
      </c>
      <c r="AV46" s="19">
        <f>IF(AND(Inputs!$F$216=1,Time!AV8&gt;=Inputs!$F$40,Time!AV8&lt;=Inputs!$F$41),Inputs!$F$173/Inputs!$F$174,0)</f>
        <v/>
      </c>
      <c r="AW46" s="19">
        <f>IF(AND(Inputs!$F$216=1,Time!AW8&gt;=Inputs!$F$40,Time!AW8&lt;=Inputs!$F$41),Inputs!$F$173/Inputs!$F$174,0)</f>
        <v/>
      </c>
      <c r="AX46" s="19">
        <f>IF(AND(Inputs!$F$216=1,Time!AX8&gt;=Inputs!$F$40,Time!AX8&lt;=Inputs!$F$41),Inputs!$F$173/Inputs!$F$174,0)</f>
        <v/>
      </c>
      <c r="AY46" s="19">
        <f>IF(AND(Inputs!$F$216=1,Time!AY8&gt;=Inputs!$F$40,Time!AY8&lt;=Inputs!$F$41),Inputs!$F$173/Inputs!$F$174,0)</f>
        <v/>
      </c>
      <c r="AZ46" s="19">
        <f>IF(AND(Inputs!$F$216=1,Time!AZ8&gt;=Inputs!$F$40,Time!AZ8&lt;=Inputs!$F$41),Inputs!$F$173/Inputs!$F$174,0)</f>
        <v/>
      </c>
      <c r="BA46" s="19">
        <f>IF(AND(Inputs!$F$216=1,Time!BA8&gt;=Inputs!$F$40,Time!BA8&lt;=Inputs!$F$41),Inputs!$F$173/Inputs!$F$174,0)</f>
        <v/>
      </c>
      <c r="BB46" s="19">
        <f>IF(AND(Inputs!$F$216=1,Time!BB8&gt;=Inputs!$F$40,Time!BB8&lt;=Inputs!$F$41),Inputs!$F$173/Inputs!$F$174,0)</f>
        <v/>
      </c>
      <c r="BC46" s="19">
        <f>IF(AND(Inputs!$F$216=1,Time!BC8&gt;=Inputs!$F$40,Time!BC8&lt;=Inputs!$F$41),Inputs!$F$173/Inputs!$F$174,0)</f>
        <v/>
      </c>
      <c r="BD46" s="19">
        <f>IF(AND(Inputs!$F$216=1,Time!BD8&gt;=Inputs!$F$40,Time!BD8&lt;=Inputs!$F$41),Inputs!$F$173/Inputs!$F$174,0)</f>
        <v/>
      </c>
      <c r="BE46" s="19">
        <f>IF(AND(Inputs!$F$216=1,Time!BE8&gt;=Inputs!$F$40,Time!BE8&lt;=Inputs!$F$41),Inputs!$F$173/Inputs!$F$174,0)</f>
        <v/>
      </c>
      <c r="BF46" s="19">
        <f>IF(AND(Inputs!$F$216=1,Time!BF8&gt;=Inputs!$F$40,Time!BF8&lt;=Inputs!$F$41),Inputs!$F$173/Inputs!$F$174,0)</f>
        <v/>
      </c>
      <c r="BG46" s="19">
        <f>IF(AND(Inputs!$F$216=1,Time!BG8&gt;=Inputs!$F$40,Time!BG8&lt;=Inputs!$F$41),Inputs!$F$173/Inputs!$F$174,0)</f>
        <v/>
      </c>
      <c r="BH46" s="19">
        <f>IF(AND(Inputs!$F$216=1,Time!BH8&gt;=Inputs!$F$40,Time!BH8&lt;=Inputs!$F$41),Inputs!$F$173/Inputs!$F$174,0)</f>
        <v/>
      </c>
      <c r="BI46" s="19">
        <f>IF(AND(Inputs!$F$216=1,Time!BI8&gt;=Inputs!$F$40,Time!BI8&lt;=Inputs!$F$41),Inputs!$F$173/Inputs!$F$174,0)</f>
        <v/>
      </c>
      <c r="BJ46" s="19">
        <f>IF(AND(Inputs!$F$216=1,Time!BJ8&gt;=Inputs!$F$40,Time!BJ8&lt;=Inputs!$F$41),Inputs!$F$173/Inputs!$F$174,0)</f>
        <v/>
      </c>
      <c r="BK46" s="19">
        <f>IF(AND(Inputs!$F$216=1,Time!BK8&gt;=Inputs!$F$40,Time!BK8&lt;=Inputs!$F$41),Inputs!$F$173/Inputs!$F$174,0)</f>
        <v/>
      </c>
      <c r="BL46" s="19">
        <f>IF(AND(Inputs!$F$216=1,Time!BL8&gt;=Inputs!$F$40,Time!BL8&lt;=Inputs!$F$41),Inputs!$F$173/Inputs!$F$174,0)</f>
        <v/>
      </c>
      <c r="BM46" s="19">
        <f>IF(AND(Inputs!$F$216=1,Time!BM8&gt;=Inputs!$F$40,Time!BM8&lt;=Inputs!$F$41),Inputs!$F$173/Inputs!$F$174,0)</f>
        <v/>
      </c>
      <c r="BN46" s="19">
        <f>IF(AND(Inputs!$F$216=1,Time!BN8&gt;=Inputs!$F$40,Time!BN8&lt;=Inputs!$F$41),Inputs!$F$173/Inputs!$F$174,0)</f>
        <v/>
      </c>
      <c r="BO46" s="19">
        <f>IF(AND(Inputs!$F$216=1,Time!BO8&gt;=Inputs!$F$40,Time!BO8&lt;=Inputs!$F$41),Inputs!$F$173/Inputs!$F$174,0)</f>
        <v/>
      </c>
      <c r="BP46" s="19">
        <f>IF(AND(Inputs!$F$216=1,Time!BP8&gt;=Inputs!$F$40,Time!BP8&lt;=Inputs!$F$41),Inputs!$F$173/Inputs!$F$174,0)</f>
        <v/>
      </c>
      <c r="BQ46" s="19">
        <f>IF(AND(Inputs!$F$216=1,Time!BQ8&gt;=Inputs!$F$40,Time!BQ8&lt;=Inputs!$F$41),Inputs!$F$173/Inputs!$F$174,0)</f>
        <v/>
      </c>
      <c r="BR46" s="19">
        <f>IF(AND(Inputs!$F$216=1,Time!BR8&gt;=Inputs!$F$40,Time!BR8&lt;=Inputs!$F$41),Inputs!$F$173/Inputs!$F$174,0)</f>
        <v/>
      </c>
      <c r="BS46" s="19">
        <f>IF(AND(Inputs!$F$216=1,Time!BS8&gt;=Inputs!$F$40,Time!BS8&lt;=Inputs!$F$41),Inputs!$F$173/Inputs!$F$174,0)</f>
        <v/>
      </c>
      <c r="BT46" s="19">
        <f>IF(AND(Inputs!$F$216=1,Time!BT8&gt;=Inputs!$F$40,Time!BT8&lt;=Inputs!$F$41),Inputs!$F$173/Inputs!$F$174,0)</f>
        <v/>
      </c>
      <c r="BU46" s="19">
        <f>IF(AND(Inputs!$F$216=1,Time!BU8&gt;=Inputs!$F$40,Time!BU8&lt;=Inputs!$F$41),Inputs!$F$173/Inputs!$F$174,0)</f>
        <v/>
      </c>
      <c r="BV46" s="19">
        <f>IF(AND(Inputs!$F$216=1,Time!BV8&gt;=Inputs!$F$40,Time!BV8&lt;=Inputs!$F$41),Inputs!$F$173/Inputs!$F$174,0)</f>
        <v/>
      </c>
      <c r="BW46" s="19">
        <f>IF(AND(Inputs!$F$216=1,Time!BW8&gt;=Inputs!$F$40,Time!BW8&lt;=Inputs!$F$41),Inputs!$F$173/Inputs!$F$174,0)</f>
        <v/>
      </c>
      <c r="BX46" s="19">
        <f>IF(AND(Inputs!$F$216=1,Time!BX8&gt;=Inputs!$F$40,Time!BX8&lt;=Inputs!$F$41),Inputs!$F$173/Inputs!$F$174,0)</f>
        <v/>
      </c>
      <c r="BY46" s="19">
        <f>IF(AND(Inputs!$F$216=1,Time!BY8&gt;=Inputs!$F$40,Time!BY8&lt;=Inputs!$F$41),Inputs!$F$173/Inputs!$F$174,0)</f>
        <v/>
      </c>
      <c r="BZ46" s="19">
        <f>IF(AND(Inputs!$F$216=1,Time!BZ8&gt;=Inputs!$F$40,Time!BZ8&lt;=Inputs!$F$41),Inputs!$F$173/Inputs!$F$174,0)</f>
        <v/>
      </c>
      <c r="CA46" s="19">
        <f>IF(AND(Inputs!$F$216=1,Time!CA8&gt;=Inputs!$F$40,Time!CA8&lt;=Inputs!$F$41),Inputs!$F$173/Inputs!$F$174,0)</f>
        <v/>
      </c>
      <c r="CB46" s="19">
        <f>IF(AND(Inputs!$F$216=1,Time!CB8&gt;=Inputs!$F$40,Time!CB8&lt;=Inputs!$F$41),Inputs!$F$173/Inputs!$F$174,0)</f>
        <v/>
      </c>
      <c r="CC46" s="19">
        <f>IF(AND(Inputs!$F$216=1,Time!CC8&gt;=Inputs!$F$40,Time!CC8&lt;=Inputs!$F$41),Inputs!$F$173/Inputs!$F$174,0)</f>
        <v/>
      </c>
      <c r="CD46" s="19">
        <f>IF(AND(Inputs!$F$216=1,Time!CD8&gt;=Inputs!$F$40,Time!CD8&lt;=Inputs!$F$41),Inputs!$F$173/Inputs!$F$174,0)</f>
        <v/>
      </c>
      <c r="CE46" s="19">
        <f>IF(AND(Inputs!$F$216=1,Time!CE8&gt;=Inputs!$F$40,Time!CE8&lt;=Inputs!$F$41),Inputs!$F$173/Inputs!$F$174,0)</f>
        <v/>
      </c>
      <c r="CF46" s="19">
        <f>IF(AND(Inputs!$F$216=1,Time!CF8&gt;=Inputs!$F$40,Time!CF8&lt;=Inputs!$F$41),Inputs!$F$173/Inputs!$F$174,0)</f>
        <v/>
      </c>
      <c r="CG46" s="19">
        <f>IF(AND(Inputs!$F$216=1,Time!CG8&gt;=Inputs!$F$40,Time!CG8&lt;=Inputs!$F$41),Inputs!$F$173/Inputs!$F$174,0)</f>
        <v/>
      </c>
      <c r="CH46" s="19">
        <f>IF(AND(Inputs!$F$216=1,Time!CH8&gt;=Inputs!$F$40,Time!CH8&lt;=Inputs!$F$41),Inputs!$F$173/Inputs!$F$174,0)</f>
        <v/>
      </c>
      <c r="CI46" s="19">
        <f>IF(AND(Inputs!$F$216=1,Time!CI8&gt;=Inputs!$F$40,Time!CI8&lt;=Inputs!$F$41),Inputs!$F$173/Inputs!$F$174,0)</f>
        <v/>
      </c>
      <c r="CJ46" s="19">
        <f>IF(AND(Inputs!$F$216=1,Time!CJ8&gt;=Inputs!$F$40,Time!CJ8&lt;=Inputs!$F$41),Inputs!$F$173/Inputs!$F$174,0)</f>
        <v/>
      </c>
      <c r="CK46" s="19">
        <f>IF(AND(Inputs!$F$216=1,Time!CK8&gt;=Inputs!$F$40,Time!CK8&lt;=Inputs!$F$41),Inputs!$F$173/Inputs!$F$174,0)</f>
        <v/>
      </c>
      <c r="CL46" s="19">
        <f>IF(AND(Inputs!$F$216=1,Time!CL8&gt;=Inputs!$F$40,Time!CL8&lt;=Inputs!$F$41),Inputs!$F$173/Inputs!$F$174,0)</f>
        <v/>
      </c>
      <c r="CM46" s="19">
        <f>IF(AND(Inputs!$F$216=1,Time!CM8&gt;=Inputs!$F$40,Time!CM8&lt;=Inputs!$F$41),Inputs!$F$173/Inputs!$F$174,0)</f>
        <v/>
      </c>
      <c r="CN46" s="19">
        <f>IF(AND(Inputs!$F$216=1,Time!CN8&gt;=Inputs!$F$40,Time!CN8&lt;=Inputs!$F$41),Inputs!$F$173/Inputs!$F$174,0)</f>
        <v/>
      </c>
      <c r="CO46" s="19">
        <f>IF(AND(Inputs!$F$216=1,Time!CO8&gt;=Inputs!$F$40,Time!CO8&lt;=Inputs!$F$41),Inputs!$F$173/Inputs!$F$174,0)</f>
        <v/>
      </c>
      <c r="CP46" s="19">
        <f>IF(AND(Inputs!$F$216=1,Time!CP8&gt;=Inputs!$F$40,Time!CP8&lt;=Inputs!$F$41),Inputs!$F$173/Inputs!$F$174,0)</f>
        <v/>
      </c>
      <c r="CQ46" s="19">
        <f>IF(AND(Inputs!$F$216=1,Time!CQ8&gt;=Inputs!$F$40,Time!CQ8&lt;=Inputs!$F$41),Inputs!$F$173/Inputs!$F$174,0)</f>
        <v/>
      </c>
      <c r="CR46" s="19">
        <f>IF(AND(Inputs!$F$216=1,Time!CR8&gt;=Inputs!$F$40,Time!CR8&lt;=Inputs!$F$41),Inputs!$F$173/Inputs!$F$174,0)</f>
        <v/>
      </c>
      <c r="CS46" s="19">
        <f>IF(AND(Inputs!$F$216=1,Time!CS8&gt;=Inputs!$F$40,Time!CS8&lt;=Inputs!$F$41),Inputs!$F$173/Inputs!$F$174,0)</f>
        <v/>
      </c>
      <c r="CT46" s="19">
        <f>IF(AND(Inputs!$F$216=1,Time!CT8&gt;=Inputs!$F$40,Time!CT8&lt;=Inputs!$F$41),Inputs!$F$173/Inputs!$F$174,0)</f>
        <v/>
      </c>
      <c r="CU46" s="19">
        <f>IF(AND(Inputs!$F$216=1,Time!CU8&gt;=Inputs!$F$40,Time!CU8&lt;=Inputs!$F$41),Inputs!$F$173/Inputs!$F$174,0)</f>
        <v/>
      </c>
      <c r="CV46" s="19">
        <f>IF(AND(Inputs!$F$216=1,Time!CV8&gt;=Inputs!$F$40,Time!CV8&lt;=Inputs!$F$41),Inputs!$F$173/Inputs!$F$174,0)</f>
        <v/>
      </c>
      <c r="CW46" s="19">
        <f>IF(AND(Inputs!$F$216=1,Time!CW8&gt;=Inputs!$F$40,Time!CW8&lt;=Inputs!$F$41),Inputs!$F$173/Inputs!$F$174,0)</f>
        <v/>
      </c>
      <c r="CX46" s="19">
        <f>IF(AND(Inputs!$F$216=1,Time!CX8&gt;=Inputs!$F$40,Time!CX8&lt;=Inputs!$F$41),Inputs!$F$173/Inputs!$F$174,0)</f>
        <v/>
      </c>
      <c r="CY46" s="19">
        <f>IF(AND(Inputs!$F$216=1,Time!CY8&gt;=Inputs!$F$40,Time!CY8&lt;=Inputs!$F$41),Inputs!$F$173/Inputs!$F$174,0)</f>
        <v/>
      </c>
      <c r="CZ46" s="19">
        <f>IF(AND(Inputs!$F$216=1,Time!CZ8&gt;=Inputs!$F$40,Time!CZ8&lt;=Inputs!$F$41),Inputs!$F$173/Inputs!$F$174,0)</f>
        <v/>
      </c>
      <c r="DA46" s="19">
        <f>IF(AND(Inputs!$F$216=1,Time!DA8&gt;=Inputs!$F$40,Time!DA8&lt;=Inputs!$F$41),Inputs!$F$173/Inputs!$F$174,0)</f>
        <v/>
      </c>
      <c r="DB46" s="19">
        <f>IF(AND(Inputs!$F$216=1,Time!DB8&gt;=Inputs!$F$40,Time!DB8&lt;=Inputs!$F$41),Inputs!$F$173/Inputs!$F$174,0)</f>
        <v/>
      </c>
    </row>
    <row r="47">
      <c r="D47" s="3" t="inlineStr">
        <is>
          <t>Cash flow available for debt service</t>
        </is>
      </c>
    </row>
    <row r="48">
      <c r="D48" t="inlineStr">
        <is>
          <t>Tax paid</t>
        </is>
      </c>
      <c r="E48" t="inlineStr">
        <is>
          <t>ARD m</t>
        </is>
      </c>
      <c r="G48" s="19">
        <f>SUM(J48:DB48)</f>
        <v/>
      </c>
      <c r="J48" s="29">
        <f>Tax!J23</f>
        <v/>
      </c>
      <c r="K48" s="29">
        <f>Tax!K23</f>
        <v/>
      </c>
      <c r="L48" s="29">
        <f>Tax!L23</f>
        <v/>
      </c>
      <c r="M48" s="29">
        <f>Tax!M23</f>
        <v/>
      </c>
      <c r="N48" s="29">
        <f>Tax!N23</f>
        <v/>
      </c>
      <c r="O48" s="29">
        <f>Tax!O23</f>
        <v/>
      </c>
      <c r="P48" s="29">
        <f>Tax!P23</f>
        <v/>
      </c>
      <c r="Q48" s="29">
        <f>Tax!Q23</f>
        <v/>
      </c>
      <c r="R48" s="29">
        <f>Tax!R23</f>
        <v/>
      </c>
      <c r="S48" s="29">
        <f>Tax!S23</f>
        <v/>
      </c>
      <c r="T48" s="29">
        <f>Tax!T23</f>
        <v/>
      </c>
      <c r="U48" s="29">
        <f>Tax!U23</f>
        <v/>
      </c>
      <c r="V48" s="29">
        <f>Tax!V23</f>
        <v/>
      </c>
      <c r="W48" s="29">
        <f>Tax!W23</f>
        <v/>
      </c>
      <c r="X48" s="29">
        <f>Tax!X23</f>
        <v/>
      </c>
      <c r="Y48" s="29">
        <f>Tax!Y23</f>
        <v/>
      </c>
      <c r="Z48" s="29">
        <f>Tax!Z23</f>
        <v/>
      </c>
      <c r="AA48" s="29">
        <f>Tax!AA23</f>
        <v/>
      </c>
      <c r="AB48" s="29">
        <f>Tax!AB23</f>
        <v/>
      </c>
      <c r="AC48" s="29">
        <f>Tax!AC23</f>
        <v/>
      </c>
      <c r="AD48" s="29">
        <f>Tax!AD23</f>
        <v/>
      </c>
      <c r="AE48" s="29">
        <f>Tax!AE23</f>
        <v/>
      </c>
      <c r="AF48" s="29">
        <f>Tax!AF23</f>
        <v/>
      </c>
      <c r="AG48" s="29">
        <f>Tax!AG23</f>
        <v/>
      </c>
      <c r="AH48" s="29">
        <f>Tax!AH23</f>
        <v/>
      </c>
      <c r="AI48" s="29">
        <f>Tax!AI23</f>
        <v/>
      </c>
      <c r="AJ48" s="29">
        <f>Tax!AJ23</f>
        <v/>
      </c>
      <c r="AK48" s="29">
        <f>Tax!AK23</f>
        <v/>
      </c>
      <c r="AL48" s="29">
        <f>Tax!AL23</f>
        <v/>
      </c>
      <c r="AM48" s="29">
        <f>Tax!AM23</f>
        <v/>
      </c>
      <c r="AN48" s="29">
        <f>Tax!AN23</f>
        <v/>
      </c>
      <c r="AO48" s="29">
        <f>Tax!AO23</f>
        <v/>
      </c>
      <c r="AP48" s="29">
        <f>Tax!AP23</f>
        <v/>
      </c>
      <c r="AQ48" s="29">
        <f>Tax!AQ23</f>
        <v/>
      </c>
      <c r="AR48" s="29">
        <f>Tax!AR23</f>
        <v/>
      </c>
      <c r="AS48" s="29">
        <f>Tax!AS23</f>
        <v/>
      </c>
      <c r="AT48" s="29">
        <f>Tax!AT23</f>
        <v/>
      </c>
      <c r="AU48" s="29">
        <f>Tax!AU23</f>
        <v/>
      </c>
      <c r="AV48" s="29">
        <f>Tax!AV23</f>
        <v/>
      </c>
      <c r="AW48" s="29">
        <f>Tax!AW23</f>
        <v/>
      </c>
      <c r="AX48" s="29">
        <f>Tax!AX23</f>
        <v/>
      </c>
      <c r="AY48" s="29">
        <f>Tax!AY23</f>
        <v/>
      </c>
      <c r="AZ48" s="29">
        <f>Tax!AZ23</f>
        <v/>
      </c>
      <c r="BA48" s="29">
        <f>Tax!BA23</f>
        <v/>
      </c>
      <c r="BB48" s="29">
        <f>Tax!BB23</f>
        <v/>
      </c>
      <c r="BC48" s="29">
        <f>Tax!BC23</f>
        <v/>
      </c>
      <c r="BD48" s="29">
        <f>Tax!BD23</f>
        <v/>
      </c>
      <c r="BE48" s="29">
        <f>Tax!BE23</f>
        <v/>
      </c>
      <c r="BF48" s="29">
        <f>Tax!BF23</f>
        <v/>
      </c>
      <c r="BG48" s="29">
        <f>Tax!BG23</f>
        <v/>
      </c>
      <c r="BH48" s="29">
        <f>Tax!BH23</f>
        <v/>
      </c>
      <c r="BI48" s="29">
        <f>Tax!BI23</f>
        <v/>
      </c>
      <c r="BJ48" s="29">
        <f>Tax!BJ23</f>
        <v/>
      </c>
      <c r="BK48" s="29">
        <f>Tax!BK23</f>
        <v/>
      </c>
      <c r="BL48" s="29">
        <f>Tax!BL23</f>
        <v/>
      </c>
      <c r="BM48" s="29">
        <f>Tax!BM23</f>
        <v/>
      </c>
      <c r="BN48" s="29">
        <f>Tax!BN23</f>
        <v/>
      </c>
      <c r="BO48" s="29">
        <f>Tax!BO23</f>
        <v/>
      </c>
      <c r="BP48" s="29">
        <f>Tax!BP23</f>
        <v/>
      </c>
      <c r="BQ48" s="29">
        <f>Tax!BQ23</f>
        <v/>
      </c>
      <c r="BR48" s="29">
        <f>Tax!BR23</f>
        <v/>
      </c>
      <c r="BS48" s="29">
        <f>Tax!BS23</f>
        <v/>
      </c>
      <c r="BT48" s="29">
        <f>Tax!BT23</f>
        <v/>
      </c>
      <c r="BU48" s="29">
        <f>Tax!BU23</f>
        <v/>
      </c>
      <c r="BV48" s="29">
        <f>Tax!BV23</f>
        <v/>
      </c>
      <c r="BW48" s="29">
        <f>Tax!BW23</f>
        <v/>
      </c>
      <c r="BX48" s="29">
        <f>Tax!BX23</f>
        <v/>
      </c>
      <c r="BY48" s="29">
        <f>Tax!BY23</f>
        <v/>
      </c>
      <c r="BZ48" s="29">
        <f>Tax!BZ23</f>
        <v/>
      </c>
      <c r="CA48" s="29">
        <f>Tax!CA23</f>
        <v/>
      </c>
      <c r="CB48" s="29">
        <f>Tax!CB23</f>
        <v/>
      </c>
      <c r="CC48" s="29">
        <f>Tax!CC23</f>
        <v/>
      </c>
      <c r="CD48" s="29">
        <f>Tax!CD23</f>
        <v/>
      </c>
      <c r="CE48" s="29">
        <f>Tax!CE23</f>
        <v/>
      </c>
      <c r="CF48" s="29">
        <f>Tax!CF23</f>
        <v/>
      </c>
      <c r="CG48" s="29">
        <f>Tax!CG23</f>
        <v/>
      </c>
      <c r="CH48" s="29">
        <f>Tax!CH23</f>
        <v/>
      </c>
      <c r="CI48" s="29">
        <f>Tax!CI23</f>
        <v/>
      </c>
      <c r="CJ48" s="29">
        <f>Tax!CJ23</f>
        <v/>
      </c>
      <c r="CK48" s="29">
        <f>Tax!CK23</f>
        <v/>
      </c>
      <c r="CL48" s="29">
        <f>Tax!CL23</f>
        <v/>
      </c>
      <c r="CM48" s="29">
        <f>Tax!CM23</f>
        <v/>
      </c>
      <c r="CN48" s="29">
        <f>Tax!CN23</f>
        <v/>
      </c>
      <c r="CO48" s="29">
        <f>Tax!CO23</f>
        <v/>
      </c>
      <c r="CP48" s="29">
        <f>Tax!CP23</f>
        <v/>
      </c>
      <c r="CQ48" s="29">
        <f>Tax!CQ23</f>
        <v/>
      </c>
      <c r="CR48" s="29">
        <f>Tax!CR23</f>
        <v/>
      </c>
      <c r="CS48" s="29">
        <f>Tax!CS23</f>
        <v/>
      </c>
      <c r="CT48" s="29">
        <f>Tax!CT23</f>
        <v/>
      </c>
      <c r="CU48" s="29">
        <f>Tax!CU23</f>
        <v/>
      </c>
      <c r="CV48" s="29">
        <f>Tax!CV23</f>
        <v/>
      </c>
      <c r="CW48" s="29">
        <f>Tax!CW23</f>
        <v/>
      </c>
      <c r="CX48" s="29">
        <f>Tax!CX23</f>
        <v/>
      </c>
      <c r="CY48" s="29">
        <f>Tax!CY23</f>
        <v/>
      </c>
      <c r="CZ48" s="29">
        <f>Tax!CZ23</f>
        <v/>
      </c>
      <c r="DA48" s="29">
        <f>Tax!DA23</f>
        <v/>
      </c>
      <c r="DB48" s="29">
        <f>Tax!DB23</f>
        <v/>
      </c>
    </row>
    <row r="49">
      <c r="D49" t="inlineStr">
        <is>
          <t>CFADS</t>
        </is>
      </c>
      <c r="E49" t="inlineStr">
        <is>
          <t>ARD m</t>
        </is>
      </c>
      <c r="G49" s="19">
        <f>SUM(J49:DB49)</f>
        <v/>
      </c>
      <c r="J49" s="19">
        <f>(J33-J45-J48-J38-J40)*(1-Time!J20)</f>
        <v/>
      </c>
      <c r="K49" s="19">
        <f>(K33-K45-K48-K38-K40)*(1-Time!K20)</f>
        <v/>
      </c>
      <c r="L49" s="19">
        <f>(L33-L45-L48-L38-L40)*(1-Time!L20)</f>
        <v/>
      </c>
      <c r="M49" s="19">
        <f>(M33-M45-M48-M38-M40)*(1-Time!M20)</f>
        <v/>
      </c>
      <c r="N49" s="19">
        <f>(N33-N45-N48-N38-N40)*(1-Time!N20)</f>
        <v/>
      </c>
      <c r="O49" s="19">
        <f>(O33-O45-O48-O38-O40)*(1-Time!O20)</f>
        <v/>
      </c>
      <c r="P49" s="19">
        <f>(P33-P45-P48-P38-P40)*(1-Time!P20)</f>
        <v/>
      </c>
      <c r="Q49" s="19">
        <f>(Q33-Q45-Q48-Q38-Q40)*(1-Time!Q20)</f>
        <v/>
      </c>
      <c r="R49" s="19">
        <f>(R33-R45-R48-R38-R40)*(1-Time!R20)</f>
        <v/>
      </c>
      <c r="S49" s="19">
        <f>(S33-S45-S48-S38-S40)*(1-Time!S20)</f>
        <v/>
      </c>
      <c r="T49" s="19">
        <f>(T33-T45-T48-T38-T40)*(1-Time!T20)</f>
        <v/>
      </c>
      <c r="U49" s="19">
        <f>(U33-U45-U48-U38-U40)*(1-Time!U20)</f>
        <v/>
      </c>
      <c r="V49" s="19">
        <f>(V33-V45-V48-V38-V40)*(1-Time!V20)</f>
        <v/>
      </c>
      <c r="W49" s="19">
        <f>(W33-W45-W48-W38-W40)*(1-Time!W20)</f>
        <v/>
      </c>
      <c r="X49" s="19">
        <f>(X33-X45-X48-X38-X40)*(1-Time!X20)</f>
        <v/>
      </c>
      <c r="Y49" s="19">
        <f>(Y33-Y45-Y48-Y38-Y40)*(1-Time!Y20)</f>
        <v/>
      </c>
      <c r="Z49" s="19">
        <f>(Z33-Z45-Z48-Z38-Z40)*(1-Time!Z20)</f>
        <v/>
      </c>
      <c r="AA49" s="19">
        <f>(AA33-AA45-AA48-AA38-AA40)*(1-Time!AA20)</f>
        <v/>
      </c>
      <c r="AB49" s="19">
        <f>(AB33-AB45-AB48-AB38-AB40)*(1-Time!AB20)</f>
        <v/>
      </c>
      <c r="AC49" s="19">
        <f>(AC33-AC45-AC48-AC38-AC40)*(1-Time!AC20)</f>
        <v/>
      </c>
      <c r="AD49" s="19">
        <f>(AD33-AD45-AD48-AD38-AD40)*(1-Time!AD20)</f>
        <v/>
      </c>
      <c r="AE49" s="19">
        <f>(AE33-AE45-AE48-AE38-AE40)*(1-Time!AE20)</f>
        <v/>
      </c>
      <c r="AF49" s="19">
        <f>(AF33-AF45-AF48-AF38-AF40)*(1-Time!AF20)</f>
        <v/>
      </c>
      <c r="AG49" s="19">
        <f>(AG33-AG45-AG48-AG38-AG40)*(1-Time!AG20)</f>
        <v/>
      </c>
      <c r="AH49" s="19">
        <f>(AH33-AH45-AH48-AH38-AH40)*(1-Time!AH20)</f>
        <v/>
      </c>
      <c r="AI49" s="19">
        <f>(AI33-AI45-AI48-AI38-AI40)*(1-Time!AI20)</f>
        <v/>
      </c>
      <c r="AJ49" s="19">
        <f>(AJ33-AJ45-AJ48-AJ38-AJ40)*(1-Time!AJ20)</f>
        <v/>
      </c>
      <c r="AK49" s="19">
        <f>(AK33-AK45-AK48-AK38-AK40)*(1-Time!AK20)</f>
        <v/>
      </c>
      <c r="AL49" s="19">
        <f>(AL33-AL45-AL48-AL38-AL40)*(1-Time!AL20)</f>
        <v/>
      </c>
      <c r="AM49" s="19">
        <f>(AM33-AM45-AM48-AM38-AM40)*(1-Time!AM20)</f>
        <v/>
      </c>
      <c r="AN49" s="19">
        <f>(AN33-AN45-AN48-AN38-AN40)*(1-Time!AN20)</f>
        <v/>
      </c>
      <c r="AO49" s="19">
        <f>(AO33-AO45-AO48-AO38-AO40)*(1-Time!AO20)</f>
        <v/>
      </c>
      <c r="AP49" s="19">
        <f>(AP33-AP45-AP48-AP38-AP40)*(1-Time!AP20)</f>
        <v/>
      </c>
      <c r="AQ49" s="19">
        <f>(AQ33-AQ45-AQ48-AQ38-AQ40)*(1-Time!AQ20)</f>
        <v/>
      </c>
      <c r="AR49" s="19">
        <f>(AR33-AR45-AR48-AR38-AR40)*(1-Time!AR20)</f>
        <v/>
      </c>
      <c r="AS49" s="19">
        <f>(AS33-AS45-AS48-AS38-AS40)*(1-Time!AS20)</f>
        <v/>
      </c>
      <c r="AT49" s="19">
        <f>(AT33-AT45-AT48-AT38-AT40)*(1-Time!AT20)</f>
        <v/>
      </c>
      <c r="AU49" s="19">
        <f>(AU33-AU45-AU48-AU38-AU40)*(1-Time!AU20)</f>
        <v/>
      </c>
      <c r="AV49" s="19">
        <f>(AV33-AV45-AV48-AV38-AV40)*(1-Time!AV20)</f>
        <v/>
      </c>
      <c r="AW49" s="19">
        <f>(AW33-AW45-AW48-AW38-AW40)*(1-Time!AW20)</f>
        <v/>
      </c>
      <c r="AX49" s="19">
        <f>(AX33-AX45-AX48-AX38-AX40)*(1-Time!AX20)</f>
        <v/>
      </c>
      <c r="AY49" s="19">
        <f>(AY33-AY45-AY48-AY38-AY40)*(1-Time!AY20)</f>
        <v/>
      </c>
      <c r="AZ49" s="19">
        <f>(AZ33-AZ45-AZ48-AZ38-AZ40)*(1-Time!AZ20)</f>
        <v/>
      </c>
      <c r="BA49" s="19">
        <f>(BA33-BA45-BA48-BA38-BA40)*(1-Time!BA20)</f>
        <v/>
      </c>
      <c r="BB49" s="19">
        <f>(BB33-BB45-BB48-BB38-BB40)*(1-Time!BB20)</f>
        <v/>
      </c>
      <c r="BC49" s="19">
        <f>(BC33-BC45-BC48-BC38-BC40)*(1-Time!BC20)</f>
        <v/>
      </c>
      <c r="BD49" s="19">
        <f>(BD33-BD45-BD48-BD38-BD40)*(1-Time!BD20)</f>
        <v/>
      </c>
      <c r="BE49" s="19">
        <f>(BE33-BE45-BE48-BE38-BE40)*(1-Time!BE20)</f>
        <v/>
      </c>
      <c r="BF49" s="19">
        <f>(BF33-BF45-BF48-BF38-BF40)*(1-Time!BF20)</f>
        <v/>
      </c>
      <c r="BG49" s="19">
        <f>(BG33-BG45-BG48-BG38-BG40)*(1-Time!BG20)</f>
        <v/>
      </c>
      <c r="BH49" s="19">
        <f>(BH33-BH45-BH48-BH38-BH40)*(1-Time!BH20)</f>
        <v/>
      </c>
      <c r="BI49" s="19">
        <f>(BI33-BI45-BI48-BI38-BI40)*(1-Time!BI20)</f>
        <v/>
      </c>
      <c r="BJ49" s="19">
        <f>(BJ33-BJ45-BJ48-BJ38-BJ40)*(1-Time!BJ20)</f>
        <v/>
      </c>
      <c r="BK49" s="19">
        <f>(BK33-BK45-BK48-BK38-BK40)*(1-Time!BK20)</f>
        <v/>
      </c>
      <c r="BL49" s="19">
        <f>(BL33-BL45-BL48-BL38-BL40)*(1-Time!BL20)</f>
        <v/>
      </c>
      <c r="BM49" s="19">
        <f>(BM33-BM45-BM48-BM38-BM40)*(1-Time!BM20)</f>
        <v/>
      </c>
      <c r="BN49" s="19">
        <f>(BN33-BN45-BN48-BN38-BN40)*(1-Time!BN20)</f>
        <v/>
      </c>
      <c r="BO49" s="19">
        <f>(BO33-BO45-BO48-BO38-BO40)*(1-Time!BO20)</f>
        <v/>
      </c>
      <c r="BP49" s="19">
        <f>(BP33-BP45-BP48-BP38-BP40)*(1-Time!BP20)</f>
        <v/>
      </c>
      <c r="BQ49" s="19">
        <f>(BQ33-BQ45-BQ48-BQ38-BQ40)*(1-Time!BQ20)</f>
        <v/>
      </c>
      <c r="BR49" s="19">
        <f>(BR33-BR45-BR48-BR38-BR40)*(1-Time!BR20)</f>
        <v/>
      </c>
      <c r="BS49" s="19">
        <f>(BS33-BS45-BS48-BS38-BS40)*(1-Time!BS20)</f>
        <v/>
      </c>
      <c r="BT49" s="19">
        <f>(BT33-BT45-BT48-BT38-BT40)*(1-Time!BT20)</f>
        <v/>
      </c>
      <c r="BU49" s="19">
        <f>(BU33-BU45-BU48-BU38-BU40)*(1-Time!BU20)</f>
        <v/>
      </c>
      <c r="BV49" s="19">
        <f>(BV33-BV45-BV48-BV38-BV40)*(1-Time!BV20)</f>
        <v/>
      </c>
      <c r="BW49" s="19">
        <f>(BW33-BW45-BW48-BW38-BW40)*(1-Time!BW20)</f>
        <v/>
      </c>
      <c r="BX49" s="19">
        <f>(BX33-BX45-BX48-BX38-BX40)*(1-Time!BX20)</f>
        <v/>
      </c>
      <c r="BY49" s="19">
        <f>(BY33-BY45-BY48-BY38-BY40)*(1-Time!BY20)</f>
        <v/>
      </c>
      <c r="BZ49" s="19">
        <f>(BZ33-BZ45-BZ48-BZ38-BZ40)*(1-Time!BZ20)</f>
        <v/>
      </c>
      <c r="CA49" s="19">
        <f>(CA33-CA45-CA48-CA38-CA40)*(1-Time!CA20)</f>
        <v/>
      </c>
      <c r="CB49" s="19">
        <f>(CB33-CB45-CB48-CB38-CB40)*(1-Time!CB20)</f>
        <v/>
      </c>
      <c r="CC49" s="19">
        <f>(CC33-CC45-CC48-CC38-CC40)*(1-Time!CC20)</f>
        <v/>
      </c>
      <c r="CD49" s="19">
        <f>(CD33-CD45-CD48-CD38-CD40)*(1-Time!CD20)</f>
        <v/>
      </c>
      <c r="CE49" s="19">
        <f>(CE33-CE45-CE48-CE38-CE40)*(1-Time!CE20)</f>
        <v/>
      </c>
      <c r="CF49" s="19">
        <f>(CF33-CF45-CF48-CF38-CF40)*(1-Time!CF20)</f>
        <v/>
      </c>
      <c r="CG49" s="19">
        <f>(CG33-CG45-CG48-CG38-CG40)*(1-Time!CG20)</f>
        <v/>
      </c>
      <c r="CH49" s="19">
        <f>(CH33-CH45-CH48-CH38-CH40)*(1-Time!CH20)</f>
        <v/>
      </c>
      <c r="CI49" s="19">
        <f>(CI33-CI45-CI48-CI38-CI40)*(1-Time!CI20)</f>
        <v/>
      </c>
      <c r="CJ49" s="19">
        <f>(CJ33-CJ45-CJ48-CJ38-CJ40)*(1-Time!CJ20)</f>
        <v/>
      </c>
      <c r="CK49" s="19">
        <f>(CK33-CK45-CK48-CK38-CK40)*(1-Time!CK20)</f>
        <v/>
      </c>
      <c r="CL49" s="19">
        <f>(CL33-CL45-CL48-CL38-CL40)*(1-Time!CL20)</f>
        <v/>
      </c>
      <c r="CM49" s="19">
        <f>(CM33-CM45-CM48-CM38-CM40)*(1-Time!CM20)</f>
        <v/>
      </c>
      <c r="CN49" s="19">
        <f>(CN33-CN45-CN48-CN38-CN40)*(1-Time!CN20)</f>
        <v/>
      </c>
      <c r="CO49" s="19">
        <f>(CO33-CO45-CO48-CO38-CO40)*(1-Time!CO20)</f>
        <v/>
      </c>
      <c r="CP49" s="19">
        <f>(CP33-CP45-CP48-CP38-CP40)*(1-Time!CP20)</f>
        <v/>
      </c>
      <c r="CQ49" s="19">
        <f>(CQ33-CQ45-CQ48-CQ38-CQ40)*(1-Time!CQ20)</f>
        <v/>
      </c>
      <c r="CR49" s="19">
        <f>(CR33-CR45-CR48-CR38-CR40)*(1-Time!CR20)</f>
        <v/>
      </c>
      <c r="CS49" s="19">
        <f>(CS33-CS45-CS48-CS38-CS40)*(1-Time!CS20)</f>
        <v/>
      </c>
      <c r="CT49" s="19">
        <f>(CT33-CT45-CT48-CT38-CT40)*(1-Time!CT20)</f>
        <v/>
      </c>
      <c r="CU49" s="19">
        <f>(CU33-CU45-CU48-CU38-CU40)*(1-Time!CU20)</f>
        <v/>
      </c>
      <c r="CV49" s="19">
        <f>(CV33-CV45-CV48-CV38-CV40)*(1-Time!CV20)</f>
        <v/>
      </c>
      <c r="CW49" s="19">
        <f>(CW33-CW45-CW48-CW38-CW40)*(1-Time!CW20)</f>
        <v/>
      </c>
      <c r="CX49" s="19">
        <f>(CX33-CX45-CX48-CX38-CX40)*(1-Time!CX20)</f>
        <v/>
      </c>
      <c r="CY49" s="19">
        <f>(CY33-CY45-CY48-CY38-CY40)*(1-Time!CY20)</f>
        <v/>
      </c>
      <c r="CZ49" s="19">
        <f>(CZ33-CZ45-CZ48-CZ38-CZ40)*(1-Time!CZ20)</f>
        <v/>
      </c>
      <c r="DA49" s="19">
        <f>(DA33-DA45-DA48-DA38-DA40)*(1-Time!DA20)</f>
        <v/>
      </c>
      <c r="DB49" s="19">
        <f>(DB33-DB45-DB48-DB38-DB40)*(1-Time!DB20)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D1:DB23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Tax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Tax cost base of the concession asset</t>
        </is>
      </c>
    </row>
    <row r="6">
      <c r="D6" t="inlineStr">
        <is>
          <t>Opening tax written-down value</t>
        </is>
      </c>
      <c r="E6" t="inlineStr">
        <is>
          <t>ARD m</t>
        </is>
      </c>
      <c r="J6" s="19">
        <f>I11</f>
        <v/>
      </c>
      <c r="K6" s="19">
        <f>J11</f>
        <v/>
      </c>
      <c r="L6" s="19">
        <f>K11</f>
        <v/>
      </c>
      <c r="M6" s="19">
        <f>L11</f>
        <v/>
      </c>
      <c r="N6" s="19">
        <f>M11</f>
        <v/>
      </c>
      <c r="O6" s="19">
        <f>N11</f>
        <v/>
      </c>
      <c r="P6" s="19">
        <f>O11</f>
        <v/>
      </c>
      <c r="Q6" s="19">
        <f>P11</f>
        <v/>
      </c>
      <c r="R6" s="19">
        <f>Q11</f>
        <v/>
      </c>
      <c r="S6" s="19">
        <f>R11</f>
        <v/>
      </c>
      <c r="T6" s="19">
        <f>S11</f>
        <v/>
      </c>
      <c r="U6" s="19">
        <f>T11</f>
        <v/>
      </c>
      <c r="V6" s="19">
        <f>U11</f>
        <v/>
      </c>
      <c r="W6" s="19">
        <f>V11</f>
        <v/>
      </c>
      <c r="X6" s="19">
        <f>W11</f>
        <v/>
      </c>
      <c r="Y6" s="19">
        <f>X11</f>
        <v/>
      </c>
      <c r="Z6" s="19">
        <f>Y11</f>
        <v/>
      </c>
      <c r="AA6" s="19">
        <f>Z11</f>
        <v/>
      </c>
      <c r="AB6" s="19">
        <f>AA11</f>
        <v/>
      </c>
      <c r="AC6" s="19">
        <f>AB11</f>
        <v/>
      </c>
      <c r="AD6" s="19">
        <f>AC11</f>
        <v/>
      </c>
      <c r="AE6" s="19">
        <f>AD11</f>
        <v/>
      </c>
      <c r="AF6" s="19">
        <f>AE11</f>
        <v/>
      </c>
      <c r="AG6" s="19">
        <f>AF11</f>
        <v/>
      </c>
      <c r="AH6" s="19">
        <f>AG11</f>
        <v/>
      </c>
      <c r="AI6" s="19">
        <f>AH11</f>
        <v/>
      </c>
      <c r="AJ6" s="19">
        <f>AI11</f>
        <v/>
      </c>
      <c r="AK6" s="19">
        <f>AJ11</f>
        <v/>
      </c>
      <c r="AL6" s="19">
        <f>AK11</f>
        <v/>
      </c>
      <c r="AM6" s="19">
        <f>AL11</f>
        <v/>
      </c>
      <c r="AN6" s="19">
        <f>AM11</f>
        <v/>
      </c>
      <c r="AO6" s="19">
        <f>AN11</f>
        <v/>
      </c>
      <c r="AP6" s="19">
        <f>AO11</f>
        <v/>
      </c>
      <c r="AQ6" s="19">
        <f>AP11</f>
        <v/>
      </c>
      <c r="AR6" s="19">
        <f>AQ11</f>
        <v/>
      </c>
      <c r="AS6" s="19">
        <f>AR11</f>
        <v/>
      </c>
      <c r="AT6" s="19">
        <f>AS11</f>
        <v/>
      </c>
      <c r="AU6" s="19">
        <f>AT11</f>
        <v/>
      </c>
      <c r="AV6" s="19">
        <f>AU11</f>
        <v/>
      </c>
      <c r="AW6" s="19">
        <f>AV11</f>
        <v/>
      </c>
      <c r="AX6" s="19">
        <f>AW11</f>
        <v/>
      </c>
      <c r="AY6" s="19">
        <f>AX11</f>
        <v/>
      </c>
      <c r="AZ6" s="19">
        <f>AY11</f>
        <v/>
      </c>
      <c r="BA6" s="19">
        <f>AZ11</f>
        <v/>
      </c>
      <c r="BB6" s="19">
        <f>BA11</f>
        <v/>
      </c>
      <c r="BC6" s="19">
        <f>BB11</f>
        <v/>
      </c>
      <c r="BD6" s="19">
        <f>BC11</f>
        <v/>
      </c>
      <c r="BE6" s="19">
        <f>BD11</f>
        <v/>
      </c>
      <c r="BF6" s="19">
        <f>BE11</f>
        <v/>
      </c>
      <c r="BG6" s="19">
        <f>BF11</f>
        <v/>
      </c>
      <c r="BH6" s="19">
        <f>BG11</f>
        <v/>
      </c>
      <c r="BI6" s="19">
        <f>BH11</f>
        <v/>
      </c>
      <c r="BJ6" s="19">
        <f>BI11</f>
        <v/>
      </c>
      <c r="BK6" s="19">
        <f>BJ11</f>
        <v/>
      </c>
      <c r="BL6" s="19">
        <f>BK11</f>
        <v/>
      </c>
      <c r="BM6" s="19">
        <f>BL11</f>
        <v/>
      </c>
      <c r="BN6" s="19">
        <f>BM11</f>
        <v/>
      </c>
      <c r="BO6" s="19">
        <f>BN11</f>
        <v/>
      </c>
      <c r="BP6" s="19">
        <f>BO11</f>
        <v/>
      </c>
      <c r="BQ6" s="19">
        <f>BP11</f>
        <v/>
      </c>
      <c r="BR6" s="19">
        <f>BQ11</f>
        <v/>
      </c>
      <c r="BS6" s="19">
        <f>BR11</f>
        <v/>
      </c>
      <c r="BT6" s="19">
        <f>BS11</f>
        <v/>
      </c>
      <c r="BU6" s="19">
        <f>BT11</f>
        <v/>
      </c>
      <c r="BV6" s="19">
        <f>BU11</f>
        <v/>
      </c>
      <c r="BW6" s="19">
        <f>BV11</f>
        <v/>
      </c>
      <c r="BX6" s="19">
        <f>BW11</f>
        <v/>
      </c>
      <c r="BY6" s="19">
        <f>BX11</f>
        <v/>
      </c>
      <c r="BZ6" s="19">
        <f>BY11</f>
        <v/>
      </c>
      <c r="CA6" s="19">
        <f>BZ11</f>
        <v/>
      </c>
      <c r="CB6" s="19">
        <f>CA11</f>
        <v/>
      </c>
      <c r="CC6" s="19">
        <f>CB11</f>
        <v/>
      </c>
      <c r="CD6" s="19">
        <f>CC11</f>
        <v/>
      </c>
      <c r="CE6" s="19">
        <f>CD11</f>
        <v/>
      </c>
      <c r="CF6" s="19">
        <f>CE11</f>
        <v/>
      </c>
      <c r="CG6" s="19">
        <f>CF11</f>
        <v/>
      </c>
      <c r="CH6" s="19">
        <f>CG11</f>
        <v/>
      </c>
      <c r="CI6" s="19">
        <f>CH11</f>
        <v/>
      </c>
      <c r="CJ6" s="19">
        <f>CI11</f>
        <v/>
      </c>
      <c r="CK6" s="19">
        <f>CJ11</f>
        <v/>
      </c>
      <c r="CL6" s="19">
        <f>CK11</f>
        <v/>
      </c>
      <c r="CM6" s="19">
        <f>CL11</f>
        <v/>
      </c>
      <c r="CN6" s="19">
        <f>CM11</f>
        <v/>
      </c>
      <c r="CO6" s="19">
        <f>CN11</f>
        <v/>
      </c>
      <c r="CP6" s="19">
        <f>CO11</f>
        <v/>
      </c>
      <c r="CQ6" s="19">
        <f>CP11</f>
        <v/>
      </c>
      <c r="CR6" s="19">
        <f>CQ11</f>
        <v/>
      </c>
      <c r="CS6" s="19">
        <f>CR11</f>
        <v/>
      </c>
      <c r="CT6" s="19">
        <f>CS11</f>
        <v/>
      </c>
      <c r="CU6" s="19">
        <f>CT11</f>
        <v/>
      </c>
      <c r="CV6" s="19">
        <f>CU11</f>
        <v/>
      </c>
      <c r="CW6" s="19">
        <f>CV11</f>
        <v/>
      </c>
      <c r="CX6" s="19">
        <f>CW11</f>
        <v/>
      </c>
      <c r="CY6" s="19">
        <f>CX11</f>
        <v/>
      </c>
      <c r="CZ6" s="19">
        <f>CY11</f>
        <v/>
      </c>
      <c r="DA6" s="19">
        <f>CZ11</f>
        <v/>
      </c>
      <c r="DB6" s="19">
        <f>DA11</f>
        <v/>
      </c>
    </row>
    <row r="7">
      <c r="D7" t="inlineStr">
        <is>
          <t>Additions (capitalized cost less contribution plus upgrade)</t>
        </is>
      </c>
      <c r="E7" t="inlineStr">
        <is>
          <t>ARD m</t>
        </is>
      </c>
      <c r="G7" s="19">
        <f>SUM(J7:DB7)</f>
        <v/>
      </c>
      <c r="J7" s="19">
        <f>Funding!J41-Funding!J39+Operations!J46</f>
        <v/>
      </c>
      <c r="K7" s="19">
        <f>Funding!K41-Funding!K39+Operations!K46</f>
        <v/>
      </c>
      <c r="L7" s="19">
        <f>Funding!L41-Funding!L39+Operations!L46</f>
        <v/>
      </c>
      <c r="M7" s="19">
        <f>Funding!M41-Funding!M39+Operations!M46</f>
        <v/>
      </c>
      <c r="N7" s="19">
        <f>Funding!N41-Funding!N39+Operations!N46</f>
        <v/>
      </c>
      <c r="O7" s="19">
        <f>Funding!O41-Funding!O39+Operations!O46</f>
        <v/>
      </c>
      <c r="P7" s="19">
        <f>Funding!P41-Funding!P39+Operations!P46</f>
        <v/>
      </c>
      <c r="Q7" s="19">
        <f>Funding!Q41-Funding!Q39+Operations!Q46</f>
        <v/>
      </c>
      <c r="R7" s="19">
        <f>Funding!R41-Funding!R39+Operations!R46</f>
        <v/>
      </c>
      <c r="S7" s="19">
        <f>Funding!S41-Funding!S39+Operations!S46</f>
        <v/>
      </c>
      <c r="T7" s="19">
        <f>Funding!T41-Funding!T39+Operations!T46</f>
        <v/>
      </c>
      <c r="U7" s="19">
        <f>Funding!U41-Funding!U39+Operations!U46</f>
        <v/>
      </c>
      <c r="V7" s="19">
        <f>Funding!V41-Funding!V39+Operations!V46</f>
        <v/>
      </c>
      <c r="W7" s="19">
        <f>Funding!W41-Funding!W39+Operations!W46</f>
        <v/>
      </c>
      <c r="X7" s="19">
        <f>Funding!X41-Funding!X39+Operations!X46</f>
        <v/>
      </c>
      <c r="Y7" s="19">
        <f>Funding!Y41-Funding!Y39+Operations!Y46</f>
        <v/>
      </c>
      <c r="Z7" s="19">
        <f>Funding!Z41-Funding!Z39+Operations!Z46</f>
        <v/>
      </c>
      <c r="AA7" s="19">
        <f>Funding!AA41-Funding!AA39+Operations!AA46</f>
        <v/>
      </c>
      <c r="AB7" s="19">
        <f>Funding!AB41-Funding!AB39+Operations!AB46</f>
        <v/>
      </c>
      <c r="AC7" s="19">
        <f>Funding!AC41-Funding!AC39+Operations!AC46</f>
        <v/>
      </c>
      <c r="AD7" s="19">
        <f>Funding!AD41-Funding!AD39+Operations!AD46</f>
        <v/>
      </c>
      <c r="AE7" s="19">
        <f>Funding!AE41-Funding!AE39+Operations!AE46</f>
        <v/>
      </c>
      <c r="AF7" s="19">
        <f>Funding!AF41-Funding!AF39+Operations!AF46</f>
        <v/>
      </c>
      <c r="AG7" s="19">
        <f>Funding!AG41-Funding!AG39+Operations!AG46</f>
        <v/>
      </c>
      <c r="AH7" s="19">
        <f>Funding!AH41-Funding!AH39+Operations!AH46</f>
        <v/>
      </c>
      <c r="AI7" s="19">
        <f>Funding!AI41-Funding!AI39+Operations!AI46</f>
        <v/>
      </c>
      <c r="AJ7" s="19">
        <f>Funding!AJ41-Funding!AJ39+Operations!AJ46</f>
        <v/>
      </c>
      <c r="AK7" s="19">
        <f>Funding!AK41-Funding!AK39+Operations!AK46</f>
        <v/>
      </c>
      <c r="AL7" s="19">
        <f>Funding!AL41-Funding!AL39+Operations!AL46</f>
        <v/>
      </c>
      <c r="AM7" s="19">
        <f>Funding!AM41-Funding!AM39+Operations!AM46</f>
        <v/>
      </c>
      <c r="AN7" s="19">
        <f>Funding!AN41-Funding!AN39+Operations!AN46</f>
        <v/>
      </c>
      <c r="AO7" s="19">
        <f>Funding!AO41-Funding!AO39+Operations!AO46</f>
        <v/>
      </c>
      <c r="AP7" s="19">
        <f>Funding!AP41-Funding!AP39+Operations!AP46</f>
        <v/>
      </c>
      <c r="AQ7" s="19">
        <f>Funding!AQ41-Funding!AQ39+Operations!AQ46</f>
        <v/>
      </c>
      <c r="AR7" s="19">
        <f>Funding!AR41-Funding!AR39+Operations!AR46</f>
        <v/>
      </c>
      <c r="AS7" s="19">
        <f>Funding!AS41-Funding!AS39+Operations!AS46</f>
        <v/>
      </c>
      <c r="AT7" s="19">
        <f>Funding!AT41-Funding!AT39+Operations!AT46</f>
        <v/>
      </c>
      <c r="AU7" s="19">
        <f>Funding!AU41-Funding!AU39+Operations!AU46</f>
        <v/>
      </c>
      <c r="AV7" s="19">
        <f>Funding!AV41-Funding!AV39+Operations!AV46</f>
        <v/>
      </c>
      <c r="AW7" s="19">
        <f>Funding!AW41-Funding!AW39+Operations!AW46</f>
        <v/>
      </c>
      <c r="AX7" s="19">
        <f>Funding!AX41-Funding!AX39+Operations!AX46</f>
        <v/>
      </c>
      <c r="AY7" s="19">
        <f>Funding!AY41-Funding!AY39+Operations!AY46</f>
        <v/>
      </c>
      <c r="AZ7" s="19">
        <f>Funding!AZ41-Funding!AZ39+Operations!AZ46</f>
        <v/>
      </c>
      <c r="BA7" s="19">
        <f>Funding!BA41-Funding!BA39+Operations!BA46</f>
        <v/>
      </c>
      <c r="BB7" s="19">
        <f>Funding!BB41-Funding!BB39+Operations!BB46</f>
        <v/>
      </c>
      <c r="BC7" s="19">
        <f>Funding!BC41-Funding!BC39+Operations!BC46</f>
        <v/>
      </c>
      <c r="BD7" s="19">
        <f>Funding!BD41-Funding!BD39+Operations!BD46</f>
        <v/>
      </c>
      <c r="BE7" s="19">
        <f>Funding!BE41-Funding!BE39+Operations!BE46</f>
        <v/>
      </c>
      <c r="BF7" s="19">
        <f>Funding!BF41-Funding!BF39+Operations!BF46</f>
        <v/>
      </c>
      <c r="BG7" s="19">
        <f>Funding!BG41-Funding!BG39+Operations!BG46</f>
        <v/>
      </c>
      <c r="BH7" s="19">
        <f>Funding!BH41-Funding!BH39+Operations!BH46</f>
        <v/>
      </c>
      <c r="BI7" s="19">
        <f>Funding!BI41-Funding!BI39+Operations!BI46</f>
        <v/>
      </c>
      <c r="BJ7" s="19">
        <f>Funding!BJ41-Funding!BJ39+Operations!BJ46</f>
        <v/>
      </c>
      <c r="BK7" s="19">
        <f>Funding!BK41-Funding!BK39+Operations!BK46</f>
        <v/>
      </c>
      <c r="BL7" s="19">
        <f>Funding!BL41-Funding!BL39+Operations!BL46</f>
        <v/>
      </c>
      <c r="BM7" s="19">
        <f>Funding!BM41-Funding!BM39+Operations!BM46</f>
        <v/>
      </c>
      <c r="BN7" s="19">
        <f>Funding!BN41-Funding!BN39+Operations!BN46</f>
        <v/>
      </c>
      <c r="BO7" s="19">
        <f>Funding!BO41-Funding!BO39+Operations!BO46</f>
        <v/>
      </c>
      <c r="BP7" s="19">
        <f>Funding!BP41-Funding!BP39+Operations!BP46</f>
        <v/>
      </c>
      <c r="BQ7" s="19">
        <f>Funding!BQ41-Funding!BQ39+Operations!BQ46</f>
        <v/>
      </c>
      <c r="BR7" s="19">
        <f>Funding!BR41-Funding!BR39+Operations!BR46</f>
        <v/>
      </c>
      <c r="BS7" s="19">
        <f>Funding!BS41-Funding!BS39+Operations!BS46</f>
        <v/>
      </c>
      <c r="BT7" s="19">
        <f>Funding!BT41-Funding!BT39+Operations!BT46</f>
        <v/>
      </c>
      <c r="BU7" s="19">
        <f>Funding!BU41-Funding!BU39+Operations!BU46</f>
        <v/>
      </c>
      <c r="BV7" s="19">
        <f>Funding!BV41-Funding!BV39+Operations!BV46</f>
        <v/>
      </c>
      <c r="BW7" s="19">
        <f>Funding!BW41-Funding!BW39+Operations!BW46</f>
        <v/>
      </c>
      <c r="BX7" s="19">
        <f>Funding!BX41-Funding!BX39+Operations!BX46</f>
        <v/>
      </c>
      <c r="BY7" s="19">
        <f>Funding!BY41-Funding!BY39+Operations!BY46</f>
        <v/>
      </c>
      <c r="BZ7" s="19">
        <f>Funding!BZ41-Funding!BZ39+Operations!BZ46</f>
        <v/>
      </c>
      <c r="CA7" s="19">
        <f>Funding!CA41-Funding!CA39+Operations!CA46</f>
        <v/>
      </c>
      <c r="CB7" s="19">
        <f>Funding!CB41-Funding!CB39+Operations!CB46</f>
        <v/>
      </c>
      <c r="CC7" s="19">
        <f>Funding!CC41-Funding!CC39+Operations!CC46</f>
        <v/>
      </c>
      <c r="CD7" s="19">
        <f>Funding!CD41-Funding!CD39+Operations!CD46</f>
        <v/>
      </c>
      <c r="CE7" s="19">
        <f>Funding!CE41-Funding!CE39+Operations!CE46</f>
        <v/>
      </c>
      <c r="CF7" s="19">
        <f>Funding!CF41-Funding!CF39+Operations!CF46</f>
        <v/>
      </c>
      <c r="CG7" s="19">
        <f>Funding!CG41-Funding!CG39+Operations!CG46</f>
        <v/>
      </c>
      <c r="CH7" s="19">
        <f>Funding!CH41-Funding!CH39+Operations!CH46</f>
        <v/>
      </c>
      <c r="CI7" s="19">
        <f>Funding!CI41-Funding!CI39+Operations!CI46</f>
        <v/>
      </c>
      <c r="CJ7" s="19">
        <f>Funding!CJ41-Funding!CJ39+Operations!CJ46</f>
        <v/>
      </c>
      <c r="CK7" s="19">
        <f>Funding!CK41-Funding!CK39+Operations!CK46</f>
        <v/>
      </c>
      <c r="CL7" s="19">
        <f>Funding!CL41-Funding!CL39+Operations!CL46</f>
        <v/>
      </c>
      <c r="CM7" s="19">
        <f>Funding!CM41-Funding!CM39+Operations!CM46</f>
        <v/>
      </c>
      <c r="CN7" s="19">
        <f>Funding!CN41-Funding!CN39+Operations!CN46</f>
        <v/>
      </c>
      <c r="CO7" s="19">
        <f>Funding!CO41-Funding!CO39+Operations!CO46</f>
        <v/>
      </c>
      <c r="CP7" s="19">
        <f>Funding!CP41-Funding!CP39+Operations!CP46</f>
        <v/>
      </c>
      <c r="CQ7" s="19">
        <f>Funding!CQ41-Funding!CQ39+Operations!CQ46</f>
        <v/>
      </c>
      <c r="CR7" s="19">
        <f>Funding!CR41-Funding!CR39+Operations!CR46</f>
        <v/>
      </c>
      <c r="CS7" s="19">
        <f>Funding!CS41-Funding!CS39+Operations!CS46</f>
        <v/>
      </c>
      <c r="CT7" s="19">
        <f>Funding!CT41-Funding!CT39+Operations!CT46</f>
        <v/>
      </c>
      <c r="CU7" s="19">
        <f>Funding!CU41-Funding!CU39+Operations!CU46</f>
        <v/>
      </c>
      <c r="CV7" s="19">
        <f>Funding!CV41-Funding!CV39+Operations!CV46</f>
        <v/>
      </c>
      <c r="CW7" s="19">
        <f>Funding!CW41-Funding!CW39+Operations!CW46</f>
        <v/>
      </c>
      <c r="CX7" s="19">
        <f>Funding!CX41-Funding!CX39+Operations!CX46</f>
        <v/>
      </c>
      <c r="CY7" s="19">
        <f>Funding!CY41-Funding!CY39+Operations!CY46</f>
        <v/>
      </c>
      <c r="CZ7" s="19">
        <f>Funding!CZ41-Funding!CZ39+Operations!CZ46</f>
        <v/>
      </c>
      <c r="DA7" s="19">
        <f>Funding!DA41-Funding!DA39+Operations!DA46</f>
        <v/>
      </c>
      <c r="DB7" s="19">
        <f>Funding!DB41-Funding!DB39+Operations!DB46</f>
        <v/>
      </c>
    </row>
    <row r="8">
      <c r="D8" t="inlineStr">
        <is>
          <t>Tax amortization (straight line over remaining term)</t>
        </is>
      </c>
      <c r="E8" t="inlineStr">
        <is>
          <t>ARD m</t>
        </is>
      </c>
      <c r="G8" s="19">
        <f>SUM(J8:DB8)</f>
        <v/>
      </c>
      <c r="J8" s="19">
        <f>IF(Time!J29&gt;0,J6*Time!J25/Time!J29,0)</f>
        <v/>
      </c>
      <c r="K8" s="19">
        <f>IF(Time!K29&gt;0,K6*Time!K25/Time!K29,0)</f>
        <v/>
      </c>
      <c r="L8" s="19">
        <f>IF(Time!L29&gt;0,L6*Time!L25/Time!L29,0)</f>
        <v/>
      </c>
      <c r="M8" s="19">
        <f>IF(Time!M29&gt;0,M6*Time!M25/Time!M29,0)</f>
        <v/>
      </c>
      <c r="N8" s="19">
        <f>IF(Time!N29&gt;0,N6*Time!N25/Time!N29,0)</f>
        <v/>
      </c>
      <c r="O8" s="19">
        <f>IF(Time!O29&gt;0,O6*Time!O25/Time!O29,0)</f>
        <v/>
      </c>
      <c r="P8" s="19">
        <f>IF(Time!P29&gt;0,P6*Time!P25/Time!P29,0)</f>
        <v/>
      </c>
      <c r="Q8" s="19">
        <f>IF(Time!Q29&gt;0,Q6*Time!Q25/Time!Q29,0)</f>
        <v/>
      </c>
      <c r="R8" s="19">
        <f>IF(Time!R29&gt;0,R6*Time!R25/Time!R29,0)</f>
        <v/>
      </c>
      <c r="S8" s="19">
        <f>IF(Time!S29&gt;0,S6*Time!S25/Time!S29,0)</f>
        <v/>
      </c>
      <c r="T8" s="19">
        <f>IF(Time!T29&gt;0,T6*Time!T25/Time!T29,0)</f>
        <v/>
      </c>
      <c r="U8" s="19">
        <f>IF(Time!U29&gt;0,U6*Time!U25/Time!U29,0)</f>
        <v/>
      </c>
      <c r="V8" s="19">
        <f>IF(Time!V29&gt;0,V6*Time!V25/Time!V29,0)</f>
        <v/>
      </c>
      <c r="W8" s="19">
        <f>IF(Time!W29&gt;0,W6*Time!W25/Time!W29,0)</f>
        <v/>
      </c>
      <c r="X8" s="19">
        <f>IF(Time!X29&gt;0,X6*Time!X25/Time!X29,0)</f>
        <v/>
      </c>
      <c r="Y8" s="19">
        <f>IF(Time!Y29&gt;0,Y6*Time!Y25/Time!Y29,0)</f>
        <v/>
      </c>
      <c r="Z8" s="19">
        <f>IF(Time!Z29&gt;0,Z6*Time!Z25/Time!Z29,0)</f>
        <v/>
      </c>
      <c r="AA8" s="19">
        <f>IF(Time!AA29&gt;0,AA6*Time!AA25/Time!AA29,0)</f>
        <v/>
      </c>
      <c r="AB8" s="19">
        <f>IF(Time!AB29&gt;0,AB6*Time!AB25/Time!AB29,0)</f>
        <v/>
      </c>
      <c r="AC8" s="19">
        <f>IF(Time!AC29&gt;0,AC6*Time!AC25/Time!AC29,0)</f>
        <v/>
      </c>
      <c r="AD8" s="19">
        <f>IF(Time!AD29&gt;0,AD6*Time!AD25/Time!AD29,0)</f>
        <v/>
      </c>
      <c r="AE8" s="19">
        <f>IF(Time!AE29&gt;0,AE6*Time!AE25/Time!AE29,0)</f>
        <v/>
      </c>
      <c r="AF8" s="19">
        <f>IF(Time!AF29&gt;0,AF6*Time!AF25/Time!AF29,0)</f>
        <v/>
      </c>
      <c r="AG8" s="19">
        <f>IF(Time!AG29&gt;0,AG6*Time!AG25/Time!AG29,0)</f>
        <v/>
      </c>
      <c r="AH8" s="19">
        <f>IF(Time!AH29&gt;0,AH6*Time!AH25/Time!AH29,0)</f>
        <v/>
      </c>
      <c r="AI8" s="19">
        <f>IF(Time!AI29&gt;0,AI6*Time!AI25/Time!AI29,0)</f>
        <v/>
      </c>
      <c r="AJ8" s="19">
        <f>IF(Time!AJ29&gt;0,AJ6*Time!AJ25/Time!AJ29,0)</f>
        <v/>
      </c>
      <c r="AK8" s="19">
        <f>IF(Time!AK29&gt;0,AK6*Time!AK25/Time!AK29,0)</f>
        <v/>
      </c>
      <c r="AL8" s="19">
        <f>IF(Time!AL29&gt;0,AL6*Time!AL25/Time!AL29,0)</f>
        <v/>
      </c>
      <c r="AM8" s="19">
        <f>IF(Time!AM29&gt;0,AM6*Time!AM25/Time!AM29,0)</f>
        <v/>
      </c>
      <c r="AN8" s="19">
        <f>IF(Time!AN29&gt;0,AN6*Time!AN25/Time!AN29,0)</f>
        <v/>
      </c>
      <c r="AO8" s="19">
        <f>IF(Time!AO29&gt;0,AO6*Time!AO25/Time!AO29,0)</f>
        <v/>
      </c>
      <c r="AP8" s="19">
        <f>IF(Time!AP29&gt;0,AP6*Time!AP25/Time!AP29,0)</f>
        <v/>
      </c>
      <c r="AQ8" s="19">
        <f>IF(Time!AQ29&gt;0,AQ6*Time!AQ25/Time!AQ29,0)</f>
        <v/>
      </c>
      <c r="AR8" s="19">
        <f>IF(Time!AR29&gt;0,AR6*Time!AR25/Time!AR29,0)</f>
        <v/>
      </c>
      <c r="AS8" s="19">
        <f>IF(Time!AS29&gt;0,AS6*Time!AS25/Time!AS29,0)</f>
        <v/>
      </c>
      <c r="AT8" s="19">
        <f>IF(Time!AT29&gt;0,AT6*Time!AT25/Time!AT29,0)</f>
        <v/>
      </c>
      <c r="AU8" s="19">
        <f>IF(Time!AU29&gt;0,AU6*Time!AU25/Time!AU29,0)</f>
        <v/>
      </c>
      <c r="AV8" s="19">
        <f>IF(Time!AV29&gt;0,AV6*Time!AV25/Time!AV29,0)</f>
        <v/>
      </c>
      <c r="AW8" s="19">
        <f>IF(Time!AW29&gt;0,AW6*Time!AW25/Time!AW29,0)</f>
        <v/>
      </c>
      <c r="AX8" s="19">
        <f>IF(Time!AX29&gt;0,AX6*Time!AX25/Time!AX29,0)</f>
        <v/>
      </c>
      <c r="AY8" s="19">
        <f>IF(Time!AY29&gt;0,AY6*Time!AY25/Time!AY29,0)</f>
        <v/>
      </c>
      <c r="AZ8" s="19">
        <f>IF(Time!AZ29&gt;0,AZ6*Time!AZ25/Time!AZ29,0)</f>
        <v/>
      </c>
      <c r="BA8" s="19">
        <f>IF(Time!BA29&gt;0,BA6*Time!BA25/Time!BA29,0)</f>
        <v/>
      </c>
      <c r="BB8" s="19">
        <f>IF(Time!BB29&gt;0,BB6*Time!BB25/Time!BB29,0)</f>
        <v/>
      </c>
      <c r="BC8" s="19">
        <f>IF(Time!BC29&gt;0,BC6*Time!BC25/Time!BC29,0)</f>
        <v/>
      </c>
      <c r="BD8" s="19">
        <f>IF(Time!BD29&gt;0,BD6*Time!BD25/Time!BD29,0)</f>
        <v/>
      </c>
      <c r="BE8" s="19">
        <f>IF(Time!BE29&gt;0,BE6*Time!BE25/Time!BE29,0)</f>
        <v/>
      </c>
      <c r="BF8" s="19">
        <f>IF(Time!BF29&gt;0,BF6*Time!BF25/Time!BF29,0)</f>
        <v/>
      </c>
      <c r="BG8" s="19">
        <f>IF(Time!BG29&gt;0,BG6*Time!BG25/Time!BG29,0)</f>
        <v/>
      </c>
      <c r="BH8" s="19">
        <f>IF(Time!BH29&gt;0,BH6*Time!BH25/Time!BH29,0)</f>
        <v/>
      </c>
      <c r="BI8" s="19">
        <f>IF(Time!BI29&gt;0,BI6*Time!BI25/Time!BI29,0)</f>
        <v/>
      </c>
      <c r="BJ8" s="19">
        <f>IF(Time!BJ29&gt;0,BJ6*Time!BJ25/Time!BJ29,0)</f>
        <v/>
      </c>
      <c r="BK8" s="19">
        <f>IF(Time!BK29&gt;0,BK6*Time!BK25/Time!BK29,0)</f>
        <v/>
      </c>
      <c r="BL8" s="19">
        <f>IF(Time!BL29&gt;0,BL6*Time!BL25/Time!BL29,0)</f>
        <v/>
      </c>
      <c r="BM8" s="19">
        <f>IF(Time!BM29&gt;0,BM6*Time!BM25/Time!BM29,0)</f>
        <v/>
      </c>
      <c r="BN8" s="19">
        <f>IF(Time!BN29&gt;0,BN6*Time!BN25/Time!BN29,0)</f>
        <v/>
      </c>
      <c r="BO8" s="19">
        <f>IF(Time!BO29&gt;0,BO6*Time!BO25/Time!BO29,0)</f>
        <v/>
      </c>
      <c r="BP8" s="19">
        <f>IF(Time!BP29&gt;0,BP6*Time!BP25/Time!BP29,0)</f>
        <v/>
      </c>
      <c r="BQ8" s="19">
        <f>IF(Time!BQ29&gt;0,BQ6*Time!BQ25/Time!BQ29,0)</f>
        <v/>
      </c>
      <c r="BR8" s="19">
        <f>IF(Time!BR29&gt;0,BR6*Time!BR25/Time!BR29,0)</f>
        <v/>
      </c>
      <c r="BS8" s="19">
        <f>IF(Time!BS29&gt;0,BS6*Time!BS25/Time!BS29,0)</f>
        <v/>
      </c>
      <c r="BT8" s="19">
        <f>IF(Time!BT29&gt;0,BT6*Time!BT25/Time!BT29,0)</f>
        <v/>
      </c>
      <c r="BU8" s="19">
        <f>IF(Time!BU29&gt;0,BU6*Time!BU25/Time!BU29,0)</f>
        <v/>
      </c>
      <c r="BV8" s="19">
        <f>IF(Time!BV29&gt;0,BV6*Time!BV25/Time!BV29,0)</f>
        <v/>
      </c>
      <c r="BW8" s="19">
        <f>IF(Time!BW29&gt;0,BW6*Time!BW25/Time!BW29,0)</f>
        <v/>
      </c>
      <c r="BX8" s="19">
        <f>IF(Time!BX29&gt;0,BX6*Time!BX25/Time!BX29,0)</f>
        <v/>
      </c>
      <c r="BY8" s="19">
        <f>IF(Time!BY29&gt;0,BY6*Time!BY25/Time!BY29,0)</f>
        <v/>
      </c>
      <c r="BZ8" s="19">
        <f>IF(Time!BZ29&gt;0,BZ6*Time!BZ25/Time!BZ29,0)</f>
        <v/>
      </c>
      <c r="CA8" s="19">
        <f>IF(Time!CA29&gt;0,CA6*Time!CA25/Time!CA29,0)</f>
        <v/>
      </c>
      <c r="CB8" s="19">
        <f>IF(Time!CB29&gt;0,CB6*Time!CB25/Time!CB29,0)</f>
        <v/>
      </c>
      <c r="CC8" s="19">
        <f>IF(Time!CC29&gt;0,CC6*Time!CC25/Time!CC29,0)</f>
        <v/>
      </c>
      <c r="CD8" s="19">
        <f>IF(Time!CD29&gt;0,CD6*Time!CD25/Time!CD29,0)</f>
        <v/>
      </c>
      <c r="CE8" s="19">
        <f>IF(Time!CE29&gt;0,CE6*Time!CE25/Time!CE29,0)</f>
        <v/>
      </c>
      <c r="CF8" s="19">
        <f>IF(Time!CF29&gt;0,CF6*Time!CF25/Time!CF29,0)</f>
        <v/>
      </c>
      <c r="CG8" s="19">
        <f>IF(Time!CG29&gt;0,CG6*Time!CG25/Time!CG29,0)</f>
        <v/>
      </c>
      <c r="CH8" s="19">
        <f>IF(Time!CH29&gt;0,CH6*Time!CH25/Time!CH29,0)</f>
        <v/>
      </c>
      <c r="CI8" s="19">
        <f>IF(Time!CI29&gt;0,CI6*Time!CI25/Time!CI29,0)</f>
        <v/>
      </c>
      <c r="CJ8" s="19">
        <f>IF(Time!CJ29&gt;0,CJ6*Time!CJ25/Time!CJ29,0)</f>
        <v/>
      </c>
      <c r="CK8" s="19">
        <f>IF(Time!CK29&gt;0,CK6*Time!CK25/Time!CK29,0)</f>
        <v/>
      </c>
      <c r="CL8" s="19">
        <f>IF(Time!CL29&gt;0,CL6*Time!CL25/Time!CL29,0)</f>
        <v/>
      </c>
      <c r="CM8" s="19">
        <f>IF(Time!CM29&gt;0,CM6*Time!CM25/Time!CM29,0)</f>
        <v/>
      </c>
      <c r="CN8" s="19">
        <f>IF(Time!CN29&gt;0,CN6*Time!CN25/Time!CN29,0)</f>
        <v/>
      </c>
      <c r="CO8" s="19">
        <f>IF(Time!CO29&gt;0,CO6*Time!CO25/Time!CO29,0)</f>
        <v/>
      </c>
      <c r="CP8" s="19">
        <f>IF(Time!CP29&gt;0,CP6*Time!CP25/Time!CP29,0)</f>
        <v/>
      </c>
      <c r="CQ8" s="19">
        <f>IF(Time!CQ29&gt;0,CQ6*Time!CQ25/Time!CQ29,0)</f>
        <v/>
      </c>
      <c r="CR8" s="19">
        <f>IF(Time!CR29&gt;0,CR6*Time!CR25/Time!CR29,0)</f>
        <v/>
      </c>
      <c r="CS8" s="19">
        <f>IF(Time!CS29&gt;0,CS6*Time!CS25/Time!CS29,0)</f>
        <v/>
      </c>
      <c r="CT8" s="19">
        <f>IF(Time!CT29&gt;0,CT6*Time!CT25/Time!CT29,0)</f>
        <v/>
      </c>
      <c r="CU8" s="19">
        <f>IF(Time!CU29&gt;0,CU6*Time!CU25/Time!CU29,0)</f>
        <v/>
      </c>
      <c r="CV8" s="19">
        <f>IF(Time!CV29&gt;0,CV6*Time!CV25/Time!CV29,0)</f>
        <v/>
      </c>
      <c r="CW8" s="19">
        <f>IF(Time!CW29&gt;0,CW6*Time!CW25/Time!CW29,0)</f>
        <v/>
      </c>
      <c r="CX8" s="19">
        <f>IF(Time!CX29&gt;0,CX6*Time!CX25/Time!CX29,0)</f>
        <v/>
      </c>
      <c r="CY8" s="19">
        <f>IF(Time!CY29&gt;0,CY6*Time!CY25/Time!CY29,0)</f>
        <v/>
      </c>
      <c r="CZ8" s="19">
        <f>IF(Time!CZ29&gt;0,CZ6*Time!CZ25/Time!CZ29,0)</f>
        <v/>
      </c>
      <c r="DA8" s="19">
        <f>IF(Time!DA29&gt;0,DA6*Time!DA25/Time!DA29,0)</f>
        <v/>
      </c>
      <c r="DB8" s="19">
        <f>IF(Time!DB29&gt;0,DB6*Time!DB25/Time!DB29,0)</f>
        <v/>
      </c>
    </row>
    <row r="9">
      <c r="D9" t="inlineStr">
        <is>
          <t>Value before forgiveness</t>
        </is>
      </c>
      <c r="E9" t="inlineStr">
        <is>
          <t>ARD m</t>
        </is>
      </c>
      <c r="J9" s="19">
        <f>J6+J7-J8</f>
        <v/>
      </c>
      <c r="K9" s="19">
        <f>K6+K7-K8</f>
        <v/>
      </c>
      <c r="L9" s="19">
        <f>L6+L7-L8</f>
        <v/>
      </c>
      <c r="M9" s="19">
        <f>M6+M7-M8</f>
        <v/>
      </c>
      <c r="N9" s="19">
        <f>N6+N7-N8</f>
        <v/>
      </c>
      <c r="O9" s="19">
        <f>O6+O7-O8</f>
        <v/>
      </c>
      <c r="P9" s="19">
        <f>P6+P7-P8</f>
        <v/>
      </c>
      <c r="Q9" s="19">
        <f>Q6+Q7-Q8</f>
        <v/>
      </c>
      <c r="R9" s="19">
        <f>R6+R7-R8</f>
        <v/>
      </c>
      <c r="S9" s="19">
        <f>S6+S7-S8</f>
        <v/>
      </c>
      <c r="T9" s="19">
        <f>T6+T7-T8</f>
        <v/>
      </c>
      <c r="U9" s="19">
        <f>U6+U7-U8</f>
        <v/>
      </c>
      <c r="V9" s="19">
        <f>V6+V7-V8</f>
        <v/>
      </c>
      <c r="W9" s="19">
        <f>W6+W7-W8</f>
        <v/>
      </c>
      <c r="X9" s="19">
        <f>X6+X7-X8</f>
        <v/>
      </c>
      <c r="Y9" s="19">
        <f>Y6+Y7-Y8</f>
        <v/>
      </c>
      <c r="Z9" s="19">
        <f>Z6+Z7-Z8</f>
        <v/>
      </c>
      <c r="AA9" s="19">
        <f>AA6+AA7-AA8</f>
        <v/>
      </c>
      <c r="AB9" s="19">
        <f>AB6+AB7-AB8</f>
        <v/>
      </c>
      <c r="AC9" s="19">
        <f>AC6+AC7-AC8</f>
        <v/>
      </c>
      <c r="AD9" s="19">
        <f>AD6+AD7-AD8</f>
        <v/>
      </c>
      <c r="AE9" s="19">
        <f>AE6+AE7-AE8</f>
        <v/>
      </c>
      <c r="AF9" s="19">
        <f>AF6+AF7-AF8</f>
        <v/>
      </c>
      <c r="AG9" s="19">
        <f>AG6+AG7-AG8</f>
        <v/>
      </c>
      <c r="AH9" s="19">
        <f>AH6+AH7-AH8</f>
        <v/>
      </c>
      <c r="AI9" s="19">
        <f>AI6+AI7-AI8</f>
        <v/>
      </c>
      <c r="AJ9" s="19">
        <f>AJ6+AJ7-AJ8</f>
        <v/>
      </c>
      <c r="AK9" s="19">
        <f>AK6+AK7-AK8</f>
        <v/>
      </c>
      <c r="AL9" s="19">
        <f>AL6+AL7-AL8</f>
        <v/>
      </c>
      <c r="AM9" s="19">
        <f>AM6+AM7-AM8</f>
        <v/>
      </c>
      <c r="AN9" s="19">
        <f>AN6+AN7-AN8</f>
        <v/>
      </c>
      <c r="AO9" s="19">
        <f>AO6+AO7-AO8</f>
        <v/>
      </c>
      <c r="AP9" s="19">
        <f>AP6+AP7-AP8</f>
        <v/>
      </c>
      <c r="AQ9" s="19">
        <f>AQ6+AQ7-AQ8</f>
        <v/>
      </c>
      <c r="AR9" s="19">
        <f>AR6+AR7-AR8</f>
        <v/>
      </c>
      <c r="AS9" s="19">
        <f>AS6+AS7-AS8</f>
        <v/>
      </c>
      <c r="AT9" s="19">
        <f>AT6+AT7-AT8</f>
        <v/>
      </c>
      <c r="AU9" s="19">
        <f>AU6+AU7-AU8</f>
        <v/>
      </c>
      <c r="AV9" s="19">
        <f>AV6+AV7-AV8</f>
        <v/>
      </c>
      <c r="AW9" s="19">
        <f>AW6+AW7-AW8</f>
        <v/>
      </c>
      <c r="AX9" s="19">
        <f>AX6+AX7-AX8</f>
        <v/>
      </c>
      <c r="AY9" s="19">
        <f>AY6+AY7-AY8</f>
        <v/>
      </c>
      <c r="AZ9" s="19">
        <f>AZ6+AZ7-AZ8</f>
        <v/>
      </c>
      <c r="BA9" s="19">
        <f>BA6+BA7-BA8</f>
        <v/>
      </c>
      <c r="BB9" s="19">
        <f>BB6+BB7-BB8</f>
        <v/>
      </c>
      <c r="BC9" s="19">
        <f>BC6+BC7-BC8</f>
        <v/>
      </c>
      <c r="BD9" s="19">
        <f>BD6+BD7-BD8</f>
        <v/>
      </c>
      <c r="BE9" s="19">
        <f>BE6+BE7-BE8</f>
        <v/>
      </c>
      <c r="BF9" s="19">
        <f>BF6+BF7-BF8</f>
        <v/>
      </c>
      <c r="BG9" s="19">
        <f>BG6+BG7-BG8</f>
        <v/>
      </c>
      <c r="BH9" s="19">
        <f>BH6+BH7-BH8</f>
        <v/>
      </c>
      <c r="BI9" s="19">
        <f>BI6+BI7-BI8</f>
        <v/>
      </c>
      <c r="BJ9" s="19">
        <f>BJ6+BJ7-BJ8</f>
        <v/>
      </c>
      <c r="BK9" s="19">
        <f>BK6+BK7-BK8</f>
        <v/>
      </c>
      <c r="BL9" s="19">
        <f>BL6+BL7-BL8</f>
        <v/>
      </c>
      <c r="BM9" s="19">
        <f>BM6+BM7-BM8</f>
        <v/>
      </c>
      <c r="BN9" s="19">
        <f>BN6+BN7-BN8</f>
        <v/>
      </c>
      <c r="BO9" s="19">
        <f>BO6+BO7-BO8</f>
        <v/>
      </c>
      <c r="BP9" s="19">
        <f>BP6+BP7-BP8</f>
        <v/>
      </c>
      <c r="BQ9" s="19">
        <f>BQ6+BQ7-BQ8</f>
        <v/>
      </c>
      <c r="BR9" s="19">
        <f>BR6+BR7-BR8</f>
        <v/>
      </c>
      <c r="BS9" s="19">
        <f>BS6+BS7-BS8</f>
        <v/>
      </c>
      <c r="BT9" s="19">
        <f>BT6+BT7-BT8</f>
        <v/>
      </c>
      <c r="BU9" s="19">
        <f>BU6+BU7-BU8</f>
        <v/>
      </c>
      <c r="BV9" s="19">
        <f>BV6+BV7-BV8</f>
        <v/>
      </c>
      <c r="BW9" s="19">
        <f>BW6+BW7-BW8</f>
        <v/>
      </c>
      <c r="BX9" s="19">
        <f>BX6+BX7-BX8</f>
        <v/>
      </c>
      <c r="BY9" s="19">
        <f>BY6+BY7-BY8</f>
        <v/>
      </c>
      <c r="BZ9" s="19">
        <f>BZ6+BZ7-BZ8</f>
        <v/>
      </c>
      <c r="CA9" s="19">
        <f>CA6+CA7-CA8</f>
        <v/>
      </c>
      <c r="CB9" s="19">
        <f>CB6+CB7-CB8</f>
        <v/>
      </c>
      <c r="CC9" s="19">
        <f>CC6+CC7-CC8</f>
        <v/>
      </c>
      <c r="CD9" s="19">
        <f>CD6+CD7-CD8</f>
        <v/>
      </c>
      <c r="CE9" s="19">
        <f>CE6+CE7-CE8</f>
        <v/>
      </c>
      <c r="CF9" s="19">
        <f>CF6+CF7-CF8</f>
        <v/>
      </c>
      <c r="CG9" s="19">
        <f>CG6+CG7-CG8</f>
        <v/>
      </c>
      <c r="CH9" s="19">
        <f>CH6+CH7-CH8</f>
        <v/>
      </c>
      <c r="CI9" s="19">
        <f>CI6+CI7-CI8</f>
        <v/>
      </c>
      <c r="CJ9" s="19">
        <f>CJ6+CJ7-CJ8</f>
        <v/>
      </c>
      <c r="CK9" s="19">
        <f>CK6+CK7-CK8</f>
        <v/>
      </c>
      <c r="CL9" s="19">
        <f>CL6+CL7-CL8</f>
        <v/>
      </c>
      <c r="CM9" s="19">
        <f>CM6+CM7-CM8</f>
        <v/>
      </c>
      <c r="CN9" s="19">
        <f>CN6+CN7-CN8</f>
        <v/>
      </c>
      <c r="CO9" s="19">
        <f>CO6+CO7-CO8</f>
        <v/>
      </c>
      <c r="CP9" s="19">
        <f>CP6+CP7-CP8</f>
        <v/>
      </c>
      <c r="CQ9" s="19">
        <f>CQ6+CQ7-CQ8</f>
        <v/>
      </c>
      <c r="CR9" s="19">
        <f>CR6+CR7-CR8</f>
        <v/>
      </c>
      <c r="CS9" s="19">
        <f>CS6+CS7-CS8</f>
        <v/>
      </c>
      <c r="CT9" s="19">
        <f>CT6+CT7-CT8</f>
        <v/>
      </c>
      <c r="CU9" s="19">
        <f>CU6+CU7-CU8</f>
        <v/>
      </c>
      <c r="CV9" s="19">
        <f>CV6+CV7-CV8</f>
        <v/>
      </c>
      <c r="CW9" s="19">
        <f>CW6+CW7-CW8</f>
        <v/>
      </c>
      <c r="CX9" s="19">
        <f>CX6+CX7-CX8</f>
        <v/>
      </c>
      <c r="CY9" s="19">
        <f>CY6+CY7-CY8</f>
        <v/>
      </c>
      <c r="CZ9" s="19">
        <f>CZ6+CZ7-CZ8</f>
        <v/>
      </c>
      <c r="DA9" s="19">
        <f>DA6+DA7-DA8</f>
        <v/>
      </c>
      <c r="DB9" s="19">
        <f>DB6+DB7-DB8</f>
        <v/>
      </c>
    </row>
    <row r="10">
      <c r="D10" t="inlineStr">
        <is>
          <t>Debt forgiveness applied to cost base</t>
        </is>
      </c>
      <c r="E10" t="inlineStr">
        <is>
          <t>ARD m</t>
        </is>
      </c>
      <c r="G10" s="19">
        <f>SUM(J10:DB10)</f>
        <v/>
      </c>
      <c r="J10" s="19">
        <f>MIN(J19-J20,J9)</f>
        <v/>
      </c>
      <c r="K10" s="19">
        <f>MIN(K19-K20,K9)</f>
        <v/>
      </c>
      <c r="L10" s="19">
        <f>MIN(L19-L20,L9)</f>
        <v/>
      </c>
      <c r="M10" s="19">
        <f>MIN(M19-M20,M9)</f>
        <v/>
      </c>
      <c r="N10" s="19">
        <f>MIN(N19-N20,N9)</f>
        <v/>
      </c>
      <c r="O10" s="19">
        <f>MIN(O19-O20,O9)</f>
        <v/>
      </c>
      <c r="P10" s="19">
        <f>MIN(P19-P20,P9)</f>
        <v/>
      </c>
      <c r="Q10" s="19">
        <f>MIN(Q19-Q20,Q9)</f>
        <v/>
      </c>
      <c r="R10" s="19">
        <f>MIN(R19-R20,R9)</f>
        <v/>
      </c>
      <c r="S10" s="19">
        <f>MIN(S19-S20,S9)</f>
        <v/>
      </c>
      <c r="T10" s="19">
        <f>MIN(T19-T20,T9)</f>
        <v/>
      </c>
      <c r="U10" s="19">
        <f>MIN(U19-U20,U9)</f>
        <v/>
      </c>
      <c r="V10" s="19">
        <f>MIN(V19-V20,V9)</f>
        <v/>
      </c>
      <c r="W10" s="19">
        <f>MIN(W19-W20,W9)</f>
        <v/>
      </c>
      <c r="X10" s="19">
        <f>MIN(X19-X20,X9)</f>
        <v/>
      </c>
      <c r="Y10" s="19">
        <f>MIN(Y19-Y20,Y9)</f>
        <v/>
      </c>
      <c r="Z10" s="19">
        <f>MIN(Z19-Z20,Z9)</f>
        <v/>
      </c>
      <c r="AA10" s="19">
        <f>MIN(AA19-AA20,AA9)</f>
        <v/>
      </c>
      <c r="AB10" s="19">
        <f>MIN(AB19-AB20,AB9)</f>
        <v/>
      </c>
      <c r="AC10" s="19">
        <f>MIN(AC19-AC20,AC9)</f>
        <v/>
      </c>
      <c r="AD10" s="19">
        <f>MIN(AD19-AD20,AD9)</f>
        <v/>
      </c>
      <c r="AE10" s="19">
        <f>MIN(AE19-AE20,AE9)</f>
        <v/>
      </c>
      <c r="AF10" s="19">
        <f>MIN(AF19-AF20,AF9)</f>
        <v/>
      </c>
      <c r="AG10" s="19">
        <f>MIN(AG19-AG20,AG9)</f>
        <v/>
      </c>
      <c r="AH10" s="19">
        <f>MIN(AH19-AH20,AH9)</f>
        <v/>
      </c>
      <c r="AI10" s="19">
        <f>MIN(AI19-AI20,AI9)</f>
        <v/>
      </c>
      <c r="AJ10" s="19">
        <f>MIN(AJ19-AJ20,AJ9)</f>
        <v/>
      </c>
      <c r="AK10" s="19">
        <f>MIN(AK19-AK20,AK9)</f>
        <v/>
      </c>
      <c r="AL10" s="19">
        <f>MIN(AL19-AL20,AL9)</f>
        <v/>
      </c>
      <c r="AM10" s="19">
        <f>MIN(AM19-AM20,AM9)</f>
        <v/>
      </c>
      <c r="AN10" s="19">
        <f>MIN(AN19-AN20,AN9)</f>
        <v/>
      </c>
      <c r="AO10" s="19">
        <f>MIN(AO19-AO20,AO9)</f>
        <v/>
      </c>
      <c r="AP10" s="19">
        <f>MIN(AP19-AP20,AP9)</f>
        <v/>
      </c>
      <c r="AQ10" s="19">
        <f>MIN(AQ19-AQ20,AQ9)</f>
        <v/>
      </c>
      <c r="AR10" s="19">
        <f>MIN(AR19-AR20,AR9)</f>
        <v/>
      </c>
      <c r="AS10" s="19">
        <f>MIN(AS19-AS20,AS9)</f>
        <v/>
      </c>
      <c r="AT10" s="19">
        <f>MIN(AT19-AT20,AT9)</f>
        <v/>
      </c>
      <c r="AU10" s="19">
        <f>MIN(AU19-AU20,AU9)</f>
        <v/>
      </c>
      <c r="AV10" s="19">
        <f>MIN(AV19-AV20,AV9)</f>
        <v/>
      </c>
      <c r="AW10" s="19">
        <f>MIN(AW19-AW20,AW9)</f>
        <v/>
      </c>
      <c r="AX10" s="19">
        <f>MIN(AX19-AX20,AX9)</f>
        <v/>
      </c>
      <c r="AY10" s="19">
        <f>MIN(AY19-AY20,AY9)</f>
        <v/>
      </c>
      <c r="AZ10" s="19">
        <f>MIN(AZ19-AZ20,AZ9)</f>
        <v/>
      </c>
      <c r="BA10" s="19">
        <f>MIN(BA19-BA20,BA9)</f>
        <v/>
      </c>
      <c r="BB10" s="19">
        <f>MIN(BB19-BB20,BB9)</f>
        <v/>
      </c>
      <c r="BC10" s="19">
        <f>MIN(BC19-BC20,BC9)</f>
        <v/>
      </c>
      <c r="BD10" s="19">
        <f>MIN(BD19-BD20,BD9)</f>
        <v/>
      </c>
      <c r="BE10" s="19">
        <f>MIN(BE19-BE20,BE9)</f>
        <v/>
      </c>
      <c r="BF10" s="19">
        <f>MIN(BF19-BF20,BF9)</f>
        <v/>
      </c>
      <c r="BG10" s="19">
        <f>MIN(BG19-BG20,BG9)</f>
        <v/>
      </c>
      <c r="BH10" s="19">
        <f>MIN(BH19-BH20,BH9)</f>
        <v/>
      </c>
      <c r="BI10" s="19">
        <f>MIN(BI19-BI20,BI9)</f>
        <v/>
      </c>
      <c r="BJ10" s="19">
        <f>MIN(BJ19-BJ20,BJ9)</f>
        <v/>
      </c>
      <c r="BK10" s="19">
        <f>MIN(BK19-BK20,BK9)</f>
        <v/>
      </c>
      <c r="BL10" s="19">
        <f>MIN(BL19-BL20,BL9)</f>
        <v/>
      </c>
      <c r="BM10" s="19">
        <f>MIN(BM19-BM20,BM9)</f>
        <v/>
      </c>
      <c r="BN10" s="19">
        <f>MIN(BN19-BN20,BN9)</f>
        <v/>
      </c>
      <c r="BO10" s="19">
        <f>MIN(BO19-BO20,BO9)</f>
        <v/>
      </c>
      <c r="BP10" s="19">
        <f>MIN(BP19-BP20,BP9)</f>
        <v/>
      </c>
      <c r="BQ10" s="19">
        <f>MIN(BQ19-BQ20,BQ9)</f>
        <v/>
      </c>
      <c r="BR10" s="19">
        <f>MIN(BR19-BR20,BR9)</f>
        <v/>
      </c>
      <c r="BS10" s="19">
        <f>MIN(BS19-BS20,BS9)</f>
        <v/>
      </c>
      <c r="BT10" s="19">
        <f>MIN(BT19-BT20,BT9)</f>
        <v/>
      </c>
      <c r="BU10" s="19">
        <f>MIN(BU19-BU20,BU9)</f>
        <v/>
      </c>
      <c r="BV10" s="19">
        <f>MIN(BV19-BV20,BV9)</f>
        <v/>
      </c>
      <c r="BW10" s="19">
        <f>MIN(BW19-BW20,BW9)</f>
        <v/>
      </c>
      <c r="BX10" s="19">
        <f>MIN(BX19-BX20,BX9)</f>
        <v/>
      </c>
      <c r="BY10" s="19">
        <f>MIN(BY19-BY20,BY9)</f>
        <v/>
      </c>
      <c r="BZ10" s="19">
        <f>MIN(BZ19-BZ20,BZ9)</f>
        <v/>
      </c>
      <c r="CA10" s="19">
        <f>MIN(CA19-CA20,CA9)</f>
        <v/>
      </c>
      <c r="CB10" s="19">
        <f>MIN(CB19-CB20,CB9)</f>
        <v/>
      </c>
      <c r="CC10" s="19">
        <f>MIN(CC19-CC20,CC9)</f>
        <v/>
      </c>
      <c r="CD10" s="19">
        <f>MIN(CD19-CD20,CD9)</f>
        <v/>
      </c>
      <c r="CE10" s="19">
        <f>MIN(CE19-CE20,CE9)</f>
        <v/>
      </c>
      <c r="CF10" s="19">
        <f>MIN(CF19-CF20,CF9)</f>
        <v/>
      </c>
      <c r="CG10" s="19">
        <f>MIN(CG19-CG20,CG9)</f>
        <v/>
      </c>
      <c r="CH10" s="19">
        <f>MIN(CH19-CH20,CH9)</f>
        <v/>
      </c>
      <c r="CI10" s="19">
        <f>MIN(CI19-CI20,CI9)</f>
        <v/>
      </c>
      <c r="CJ10" s="19">
        <f>MIN(CJ19-CJ20,CJ9)</f>
        <v/>
      </c>
      <c r="CK10" s="19">
        <f>MIN(CK19-CK20,CK9)</f>
        <v/>
      </c>
      <c r="CL10" s="19">
        <f>MIN(CL19-CL20,CL9)</f>
        <v/>
      </c>
      <c r="CM10" s="19">
        <f>MIN(CM19-CM20,CM9)</f>
        <v/>
      </c>
      <c r="CN10" s="19">
        <f>MIN(CN19-CN20,CN9)</f>
        <v/>
      </c>
      <c r="CO10" s="19">
        <f>MIN(CO19-CO20,CO9)</f>
        <v/>
      </c>
      <c r="CP10" s="19">
        <f>MIN(CP19-CP20,CP9)</f>
        <v/>
      </c>
      <c r="CQ10" s="19">
        <f>MIN(CQ19-CQ20,CQ9)</f>
        <v/>
      </c>
      <c r="CR10" s="19">
        <f>MIN(CR19-CR20,CR9)</f>
        <v/>
      </c>
      <c r="CS10" s="19">
        <f>MIN(CS19-CS20,CS9)</f>
        <v/>
      </c>
      <c r="CT10" s="19">
        <f>MIN(CT19-CT20,CT9)</f>
        <v/>
      </c>
      <c r="CU10" s="19">
        <f>MIN(CU19-CU20,CU9)</f>
        <v/>
      </c>
      <c r="CV10" s="19">
        <f>MIN(CV19-CV20,CV9)</f>
        <v/>
      </c>
      <c r="CW10" s="19">
        <f>MIN(CW19-CW20,CW9)</f>
        <v/>
      </c>
      <c r="CX10" s="19">
        <f>MIN(CX19-CX20,CX9)</f>
        <v/>
      </c>
      <c r="CY10" s="19">
        <f>MIN(CY19-CY20,CY9)</f>
        <v/>
      </c>
      <c r="CZ10" s="19">
        <f>MIN(CZ19-CZ20,CZ9)</f>
        <v/>
      </c>
      <c r="DA10" s="19">
        <f>MIN(DA19-DA20,DA9)</f>
        <v/>
      </c>
      <c r="DB10" s="19">
        <f>MIN(DB19-DB20,DB9)</f>
        <v/>
      </c>
    </row>
    <row r="11">
      <c r="D11" t="inlineStr">
        <is>
          <t>Closing tax written-down value</t>
        </is>
      </c>
      <c r="E11" t="inlineStr">
        <is>
          <t>ARD m</t>
        </is>
      </c>
      <c r="J11" s="19">
        <f>J9-J10</f>
        <v/>
      </c>
      <c r="K11" s="19">
        <f>K9-K10</f>
        <v/>
      </c>
      <c r="L11" s="19">
        <f>L9-L10</f>
        <v/>
      </c>
      <c r="M11" s="19">
        <f>M9-M10</f>
        <v/>
      </c>
      <c r="N11" s="19">
        <f>N9-N10</f>
        <v/>
      </c>
      <c r="O11" s="19">
        <f>O9-O10</f>
        <v/>
      </c>
      <c r="P11" s="19">
        <f>P9-P10</f>
        <v/>
      </c>
      <c r="Q11" s="19">
        <f>Q9-Q10</f>
        <v/>
      </c>
      <c r="R11" s="19">
        <f>R9-R10</f>
        <v/>
      </c>
      <c r="S11" s="19">
        <f>S9-S10</f>
        <v/>
      </c>
      <c r="T11" s="19">
        <f>T9-T10</f>
        <v/>
      </c>
      <c r="U11" s="19">
        <f>U9-U10</f>
        <v/>
      </c>
      <c r="V11" s="19">
        <f>V9-V10</f>
        <v/>
      </c>
      <c r="W11" s="19">
        <f>W9-W10</f>
        <v/>
      </c>
      <c r="X11" s="19">
        <f>X9-X10</f>
        <v/>
      </c>
      <c r="Y11" s="19">
        <f>Y9-Y10</f>
        <v/>
      </c>
      <c r="Z11" s="19">
        <f>Z9-Z10</f>
        <v/>
      </c>
      <c r="AA11" s="19">
        <f>AA9-AA10</f>
        <v/>
      </c>
      <c r="AB11" s="19">
        <f>AB9-AB10</f>
        <v/>
      </c>
      <c r="AC11" s="19">
        <f>AC9-AC10</f>
        <v/>
      </c>
      <c r="AD11" s="19">
        <f>AD9-AD10</f>
        <v/>
      </c>
      <c r="AE11" s="19">
        <f>AE9-AE10</f>
        <v/>
      </c>
      <c r="AF11" s="19">
        <f>AF9-AF10</f>
        <v/>
      </c>
      <c r="AG11" s="19">
        <f>AG9-AG10</f>
        <v/>
      </c>
      <c r="AH11" s="19">
        <f>AH9-AH10</f>
        <v/>
      </c>
      <c r="AI11" s="19">
        <f>AI9-AI10</f>
        <v/>
      </c>
      <c r="AJ11" s="19">
        <f>AJ9-AJ10</f>
        <v/>
      </c>
      <c r="AK11" s="19">
        <f>AK9-AK10</f>
        <v/>
      </c>
      <c r="AL11" s="19">
        <f>AL9-AL10</f>
        <v/>
      </c>
      <c r="AM11" s="19">
        <f>AM9-AM10</f>
        <v/>
      </c>
      <c r="AN11" s="19">
        <f>AN9-AN10</f>
        <v/>
      </c>
      <c r="AO11" s="19">
        <f>AO9-AO10</f>
        <v/>
      </c>
      <c r="AP11" s="19">
        <f>AP9-AP10</f>
        <v/>
      </c>
      <c r="AQ11" s="19">
        <f>AQ9-AQ10</f>
        <v/>
      </c>
      <c r="AR11" s="19">
        <f>AR9-AR10</f>
        <v/>
      </c>
      <c r="AS11" s="19">
        <f>AS9-AS10</f>
        <v/>
      </c>
      <c r="AT11" s="19">
        <f>AT9-AT10</f>
        <v/>
      </c>
      <c r="AU11" s="19">
        <f>AU9-AU10</f>
        <v/>
      </c>
      <c r="AV11" s="19">
        <f>AV9-AV10</f>
        <v/>
      </c>
      <c r="AW11" s="19">
        <f>AW9-AW10</f>
        <v/>
      </c>
      <c r="AX11" s="19">
        <f>AX9-AX10</f>
        <v/>
      </c>
      <c r="AY11" s="19">
        <f>AY9-AY10</f>
        <v/>
      </c>
      <c r="AZ11" s="19">
        <f>AZ9-AZ10</f>
        <v/>
      </c>
      <c r="BA11" s="19">
        <f>BA9-BA10</f>
        <v/>
      </c>
      <c r="BB11" s="19">
        <f>BB9-BB10</f>
        <v/>
      </c>
      <c r="BC11" s="19">
        <f>BC9-BC10</f>
        <v/>
      </c>
      <c r="BD11" s="19">
        <f>BD9-BD10</f>
        <v/>
      </c>
      <c r="BE11" s="19">
        <f>BE9-BE10</f>
        <v/>
      </c>
      <c r="BF11" s="19">
        <f>BF9-BF10</f>
        <v/>
      </c>
      <c r="BG11" s="19">
        <f>BG9-BG10</f>
        <v/>
      </c>
      <c r="BH11" s="19">
        <f>BH9-BH10</f>
        <v/>
      </c>
      <c r="BI11" s="19">
        <f>BI9-BI10</f>
        <v/>
      </c>
      <c r="BJ11" s="19">
        <f>BJ9-BJ10</f>
        <v/>
      </c>
      <c r="BK11" s="19">
        <f>BK9-BK10</f>
        <v/>
      </c>
      <c r="BL11" s="19">
        <f>BL9-BL10</f>
        <v/>
      </c>
      <c r="BM11" s="19">
        <f>BM9-BM10</f>
        <v/>
      </c>
      <c r="BN11" s="19">
        <f>BN9-BN10</f>
        <v/>
      </c>
      <c r="BO11" s="19">
        <f>BO9-BO10</f>
        <v/>
      </c>
      <c r="BP11" s="19">
        <f>BP9-BP10</f>
        <v/>
      </c>
      <c r="BQ11" s="19">
        <f>BQ9-BQ10</f>
        <v/>
      </c>
      <c r="BR11" s="19">
        <f>BR9-BR10</f>
        <v/>
      </c>
      <c r="BS11" s="19">
        <f>BS9-BS10</f>
        <v/>
      </c>
      <c r="BT11" s="19">
        <f>BT9-BT10</f>
        <v/>
      </c>
      <c r="BU11" s="19">
        <f>BU9-BU10</f>
        <v/>
      </c>
      <c r="BV11" s="19">
        <f>BV9-BV10</f>
        <v/>
      </c>
      <c r="BW11" s="19">
        <f>BW9-BW10</f>
        <v/>
      </c>
      <c r="BX11" s="19">
        <f>BX9-BX10</f>
        <v/>
      </c>
      <c r="BY11" s="19">
        <f>BY9-BY10</f>
        <v/>
      </c>
      <c r="BZ11" s="19">
        <f>BZ9-BZ10</f>
        <v/>
      </c>
      <c r="CA11" s="19">
        <f>CA9-CA10</f>
        <v/>
      </c>
      <c r="CB11" s="19">
        <f>CB9-CB10</f>
        <v/>
      </c>
      <c r="CC11" s="19">
        <f>CC9-CC10</f>
        <v/>
      </c>
      <c r="CD11" s="19">
        <f>CD9-CD10</f>
        <v/>
      </c>
      <c r="CE11" s="19">
        <f>CE9-CE10</f>
        <v/>
      </c>
      <c r="CF11" s="19">
        <f>CF9-CF10</f>
        <v/>
      </c>
      <c r="CG11" s="19">
        <f>CG9-CG10</f>
        <v/>
      </c>
      <c r="CH11" s="19">
        <f>CH9-CH10</f>
        <v/>
      </c>
      <c r="CI11" s="19">
        <f>CI9-CI10</f>
        <v/>
      </c>
      <c r="CJ11" s="19">
        <f>CJ9-CJ10</f>
        <v/>
      </c>
      <c r="CK11" s="19">
        <f>CK9-CK10</f>
        <v/>
      </c>
      <c r="CL11" s="19">
        <f>CL9-CL10</f>
        <v/>
      </c>
      <c r="CM11" s="19">
        <f>CM9-CM10</f>
        <v/>
      </c>
      <c r="CN11" s="19">
        <f>CN9-CN10</f>
        <v/>
      </c>
      <c r="CO11" s="19">
        <f>CO9-CO10</f>
        <v/>
      </c>
      <c r="CP11" s="19">
        <f>CP9-CP10</f>
        <v/>
      </c>
      <c r="CQ11" s="19">
        <f>CQ9-CQ10</f>
        <v/>
      </c>
      <c r="CR11" s="19">
        <f>CR9-CR10</f>
        <v/>
      </c>
      <c r="CS11" s="19">
        <f>CS9-CS10</f>
        <v/>
      </c>
      <c r="CT11" s="19">
        <f>CT9-CT10</f>
        <v/>
      </c>
      <c r="CU11" s="19">
        <f>CU9-CU10</f>
        <v/>
      </c>
      <c r="CV11" s="19">
        <f>CV9-CV10</f>
        <v/>
      </c>
      <c r="CW11" s="19">
        <f>CW9-CW10</f>
        <v/>
      </c>
      <c r="CX11" s="19">
        <f>CX9-CX10</f>
        <v/>
      </c>
      <c r="CY11" s="19">
        <f>CY9-CY10</f>
        <v/>
      </c>
      <c r="CZ11" s="19">
        <f>CZ9-CZ10</f>
        <v/>
      </c>
      <c r="DA11" s="19">
        <f>DA9-DA10</f>
        <v/>
      </c>
      <c r="DB11" s="19">
        <f>DB9-DB10</f>
        <v/>
      </c>
    </row>
    <row r="12">
      <c r="D12" s="3" t="inlineStr">
        <is>
          <t>Taxable income</t>
        </is>
      </c>
    </row>
    <row r="13">
      <c r="D13" t="inlineStr">
        <is>
          <t>NILO interest accrued (deductible)</t>
        </is>
      </c>
      <c r="E13" t="inlineStr">
        <is>
          <t>ARD m</t>
        </is>
      </c>
      <c r="G13" s="19">
        <f>SUM(J13:DB13)</f>
        <v/>
      </c>
      <c r="J13" s="19">
        <f>Debt!J97*(1-Time!J20)</f>
        <v/>
      </c>
      <c r="K13" s="19">
        <f>Debt!K97*(1-Time!K20)</f>
        <v/>
      </c>
      <c r="L13" s="19">
        <f>Debt!L97*(1-Time!L20)</f>
        <v/>
      </c>
      <c r="M13" s="19">
        <f>Debt!M97*(1-Time!M20)</f>
        <v/>
      </c>
      <c r="N13" s="19">
        <f>Debt!N97*(1-Time!N20)</f>
        <v/>
      </c>
      <c r="O13" s="19">
        <f>Debt!O97*(1-Time!O20)</f>
        <v/>
      </c>
      <c r="P13" s="19">
        <f>Debt!P97*(1-Time!P20)</f>
        <v/>
      </c>
      <c r="Q13" s="19">
        <f>Debt!Q97*(1-Time!Q20)</f>
        <v/>
      </c>
      <c r="R13" s="19">
        <f>Debt!R97*(1-Time!R20)</f>
        <v/>
      </c>
      <c r="S13" s="19">
        <f>Debt!S97*(1-Time!S20)</f>
        <v/>
      </c>
      <c r="T13" s="19">
        <f>Debt!T97*(1-Time!T20)</f>
        <v/>
      </c>
      <c r="U13" s="19">
        <f>Debt!U97*(1-Time!U20)</f>
        <v/>
      </c>
      <c r="V13" s="19">
        <f>Debt!V97*(1-Time!V20)</f>
        <v/>
      </c>
      <c r="W13" s="19">
        <f>Debt!W97*(1-Time!W20)</f>
        <v/>
      </c>
      <c r="X13" s="19">
        <f>Debt!X97*(1-Time!X20)</f>
        <v/>
      </c>
      <c r="Y13" s="19">
        <f>Debt!Y97*(1-Time!Y20)</f>
        <v/>
      </c>
      <c r="Z13" s="19">
        <f>Debt!Z97*(1-Time!Z20)</f>
        <v/>
      </c>
      <c r="AA13" s="19">
        <f>Debt!AA97*(1-Time!AA20)</f>
        <v/>
      </c>
      <c r="AB13" s="19">
        <f>Debt!AB97*(1-Time!AB20)</f>
        <v/>
      </c>
      <c r="AC13" s="19">
        <f>Debt!AC97*(1-Time!AC20)</f>
        <v/>
      </c>
      <c r="AD13" s="19">
        <f>Debt!AD97*(1-Time!AD20)</f>
        <v/>
      </c>
      <c r="AE13" s="19">
        <f>Debt!AE97*(1-Time!AE20)</f>
        <v/>
      </c>
      <c r="AF13" s="19">
        <f>Debt!AF97*(1-Time!AF20)</f>
        <v/>
      </c>
      <c r="AG13" s="19">
        <f>Debt!AG97*(1-Time!AG20)</f>
        <v/>
      </c>
      <c r="AH13" s="19">
        <f>Debt!AH97*(1-Time!AH20)</f>
        <v/>
      </c>
      <c r="AI13" s="19">
        <f>Debt!AI97*(1-Time!AI20)</f>
        <v/>
      </c>
      <c r="AJ13" s="19">
        <f>Debt!AJ97*(1-Time!AJ20)</f>
        <v/>
      </c>
      <c r="AK13" s="19">
        <f>Debt!AK97*(1-Time!AK20)</f>
        <v/>
      </c>
      <c r="AL13" s="19">
        <f>Debt!AL97*(1-Time!AL20)</f>
        <v/>
      </c>
      <c r="AM13" s="19">
        <f>Debt!AM97*(1-Time!AM20)</f>
        <v/>
      </c>
      <c r="AN13" s="19">
        <f>Debt!AN97*(1-Time!AN20)</f>
        <v/>
      </c>
      <c r="AO13" s="19">
        <f>Debt!AO97*(1-Time!AO20)</f>
        <v/>
      </c>
      <c r="AP13" s="19">
        <f>Debt!AP97*(1-Time!AP20)</f>
        <v/>
      </c>
      <c r="AQ13" s="19">
        <f>Debt!AQ97*(1-Time!AQ20)</f>
        <v/>
      </c>
      <c r="AR13" s="19">
        <f>Debt!AR97*(1-Time!AR20)</f>
        <v/>
      </c>
      <c r="AS13" s="19">
        <f>Debt!AS97*(1-Time!AS20)</f>
        <v/>
      </c>
      <c r="AT13" s="19">
        <f>Debt!AT97*(1-Time!AT20)</f>
        <v/>
      </c>
      <c r="AU13" s="19">
        <f>Debt!AU97*(1-Time!AU20)</f>
        <v/>
      </c>
      <c r="AV13" s="19">
        <f>Debt!AV97*(1-Time!AV20)</f>
        <v/>
      </c>
      <c r="AW13" s="19">
        <f>Debt!AW97*(1-Time!AW20)</f>
        <v/>
      </c>
      <c r="AX13" s="19">
        <f>Debt!AX97*(1-Time!AX20)</f>
        <v/>
      </c>
      <c r="AY13" s="19">
        <f>Debt!AY97*(1-Time!AY20)</f>
        <v/>
      </c>
      <c r="AZ13" s="19">
        <f>Debt!AZ97*(1-Time!AZ20)</f>
        <v/>
      </c>
      <c r="BA13" s="19">
        <f>Debt!BA97*(1-Time!BA20)</f>
        <v/>
      </c>
      <c r="BB13" s="19">
        <f>Debt!BB97*(1-Time!BB20)</f>
        <v/>
      </c>
      <c r="BC13" s="19">
        <f>Debt!BC97*(1-Time!BC20)</f>
        <v/>
      </c>
      <c r="BD13" s="19">
        <f>Debt!BD97*(1-Time!BD20)</f>
        <v/>
      </c>
      <c r="BE13" s="19">
        <f>Debt!BE97*(1-Time!BE20)</f>
        <v/>
      </c>
      <c r="BF13" s="19">
        <f>Debt!BF97*(1-Time!BF20)</f>
        <v/>
      </c>
      <c r="BG13" s="19">
        <f>Debt!BG97*(1-Time!BG20)</f>
        <v/>
      </c>
      <c r="BH13" s="19">
        <f>Debt!BH97*(1-Time!BH20)</f>
        <v/>
      </c>
      <c r="BI13" s="19">
        <f>Debt!BI97*(1-Time!BI20)</f>
        <v/>
      </c>
      <c r="BJ13" s="19">
        <f>Debt!BJ97*(1-Time!BJ20)</f>
        <v/>
      </c>
      <c r="BK13" s="19">
        <f>Debt!BK97*(1-Time!BK20)</f>
        <v/>
      </c>
      <c r="BL13" s="19">
        <f>Debt!BL97*(1-Time!BL20)</f>
        <v/>
      </c>
      <c r="BM13" s="19">
        <f>Debt!BM97*(1-Time!BM20)</f>
        <v/>
      </c>
      <c r="BN13" s="19">
        <f>Debt!BN97*(1-Time!BN20)</f>
        <v/>
      </c>
      <c r="BO13" s="19">
        <f>Debt!BO97*(1-Time!BO20)</f>
        <v/>
      </c>
      <c r="BP13" s="19">
        <f>Debt!BP97*(1-Time!BP20)</f>
        <v/>
      </c>
      <c r="BQ13" s="19">
        <f>Debt!BQ97*(1-Time!BQ20)</f>
        <v/>
      </c>
      <c r="BR13" s="19">
        <f>Debt!BR97*(1-Time!BR20)</f>
        <v/>
      </c>
      <c r="BS13" s="19">
        <f>Debt!BS97*(1-Time!BS20)</f>
        <v/>
      </c>
      <c r="BT13" s="19">
        <f>Debt!BT97*(1-Time!BT20)</f>
        <v/>
      </c>
      <c r="BU13" s="19">
        <f>Debt!BU97*(1-Time!BU20)</f>
        <v/>
      </c>
      <c r="BV13" s="19">
        <f>Debt!BV97*(1-Time!BV20)</f>
        <v/>
      </c>
      <c r="BW13" s="19">
        <f>Debt!BW97*(1-Time!BW20)</f>
        <v/>
      </c>
      <c r="BX13" s="19">
        <f>Debt!BX97*(1-Time!BX20)</f>
        <v/>
      </c>
      <c r="BY13" s="19">
        <f>Debt!BY97*(1-Time!BY20)</f>
        <v/>
      </c>
      <c r="BZ13" s="19">
        <f>Debt!BZ97*(1-Time!BZ20)</f>
        <v/>
      </c>
      <c r="CA13" s="19">
        <f>Debt!CA97*(1-Time!CA20)</f>
        <v/>
      </c>
      <c r="CB13" s="19">
        <f>Debt!CB97*(1-Time!CB20)</f>
        <v/>
      </c>
      <c r="CC13" s="19">
        <f>Debt!CC97*(1-Time!CC20)</f>
        <v/>
      </c>
      <c r="CD13" s="19">
        <f>Debt!CD97*(1-Time!CD20)</f>
        <v/>
      </c>
      <c r="CE13" s="19">
        <f>Debt!CE97*(1-Time!CE20)</f>
        <v/>
      </c>
      <c r="CF13" s="19">
        <f>Debt!CF97*(1-Time!CF20)</f>
        <v/>
      </c>
      <c r="CG13" s="19">
        <f>Debt!CG97*(1-Time!CG20)</f>
        <v/>
      </c>
      <c r="CH13" s="19">
        <f>Debt!CH97*(1-Time!CH20)</f>
        <v/>
      </c>
      <c r="CI13" s="19">
        <f>Debt!CI97*(1-Time!CI20)</f>
        <v/>
      </c>
      <c r="CJ13" s="19">
        <f>Debt!CJ97*(1-Time!CJ20)</f>
        <v/>
      </c>
      <c r="CK13" s="19">
        <f>Debt!CK97*(1-Time!CK20)</f>
        <v/>
      </c>
      <c r="CL13" s="19">
        <f>Debt!CL97*(1-Time!CL20)</f>
        <v/>
      </c>
      <c r="CM13" s="19">
        <f>Debt!CM97*(1-Time!CM20)</f>
        <v/>
      </c>
      <c r="CN13" s="19">
        <f>Debt!CN97*(1-Time!CN20)</f>
        <v/>
      </c>
      <c r="CO13" s="19">
        <f>Debt!CO97*(1-Time!CO20)</f>
        <v/>
      </c>
      <c r="CP13" s="19">
        <f>Debt!CP97*(1-Time!CP20)</f>
        <v/>
      </c>
      <c r="CQ13" s="19">
        <f>Debt!CQ97*(1-Time!CQ20)</f>
        <v/>
      </c>
      <c r="CR13" s="19">
        <f>Debt!CR97*(1-Time!CR20)</f>
        <v/>
      </c>
      <c r="CS13" s="19">
        <f>Debt!CS97*(1-Time!CS20)</f>
        <v/>
      </c>
      <c r="CT13" s="19">
        <f>Debt!CT97*(1-Time!CT20)</f>
        <v/>
      </c>
      <c r="CU13" s="19">
        <f>Debt!CU97*(1-Time!CU20)</f>
        <v/>
      </c>
      <c r="CV13" s="19">
        <f>Debt!CV97*(1-Time!CV20)</f>
        <v/>
      </c>
      <c r="CW13" s="19">
        <f>Debt!CW97*(1-Time!CW20)</f>
        <v/>
      </c>
      <c r="CX13" s="19">
        <f>Debt!CX97*(1-Time!CX20)</f>
        <v/>
      </c>
      <c r="CY13" s="19">
        <f>Debt!CY97*(1-Time!CY20)</f>
        <v/>
      </c>
      <c r="CZ13" s="19">
        <f>Debt!CZ97*(1-Time!CZ20)</f>
        <v/>
      </c>
      <c r="DA13" s="19">
        <f>Debt!DA97*(1-Time!DA20)</f>
        <v/>
      </c>
      <c r="DB13" s="19">
        <f>Debt!DB97*(1-Time!DB20)</f>
        <v/>
      </c>
    </row>
    <row r="14">
      <c r="D14" t="inlineStr">
        <is>
          <t>Shareholder loan interest accrued (deductible)</t>
        </is>
      </c>
      <c r="E14" t="inlineStr">
        <is>
          <t>ARD m</t>
        </is>
      </c>
      <c r="G14" s="19">
        <f>SUM(J14:DB14)</f>
        <v/>
      </c>
      <c r="J14" s="19">
        <f>Waterfall!J54*(1-Time!J20)</f>
        <v/>
      </c>
      <c r="K14" s="19">
        <f>Waterfall!K54*(1-Time!K20)</f>
        <v/>
      </c>
      <c r="L14" s="19">
        <f>Waterfall!L54*(1-Time!L20)</f>
        <v/>
      </c>
      <c r="M14" s="19">
        <f>Waterfall!M54*(1-Time!M20)</f>
        <v/>
      </c>
      <c r="N14" s="19">
        <f>Waterfall!N54*(1-Time!N20)</f>
        <v/>
      </c>
      <c r="O14" s="19">
        <f>Waterfall!O54*(1-Time!O20)</f>
        <v/>
      </c>
      <c r="P14" s="19">
        <f>Waterfall!P54*(1-Time!P20)</f>
        <v/>
      </c>
      <c r="Q14" s="19">
        <f>Waterfall!Q54*(1-Time!Q20)</f>
        <v/>
      </c>
      <c r="R14" s="19">
        <f>Waterfall!R54*(1-Time!R20)</f>
        <v/>
      </c>
      <c r="S14" s="19">
        <f>Waterfall!S54*(1-Time!S20)</f>
        <v/>
      </c>
      <c r="T14" s="19">
        <f>Waterfall!T54*(1-Time!T20)</f>
        <v/>
      </c>
      <c r="U14" s="19">
        <f>Waterfall!U54*(1-Time!U20)</f>
        <v/>
      </c>
      <c r="V14" s="19">
        <f>Waterfall!V54*(1-Time!V20)</f>
        <v/>
      </c>
      <c r="W14" s="19">
        <f>Waterfall!W54*(1-Time!W20)</f>
        <v/>
      </c>
      <c r="X14" s="19">
        <f>Waterfall!X54*(1-Time!X20)</f>
        <v/>
      </c>
      <c r="Y14" s="19">
        <f>Waterfall!Y54*(1-Time!Y20)</f>
        <v/>
      </c>
      <c r="Z14" s="19">
        <f>Waterfall!Z54*(1-Time!Z20)</f>
        <v/>
      </c>
      <c r="AA14" s="19">
        <f>Waterfall!AA54*(1-Time!AA20)</f>
        <v/>
      </c>
      <c r="AB14" s="19">
        <f>Waterfall!AB54*(1-Time!AB20)</f>
        <v/>
      </c>
      <c r="AC14" s="19">
        <f>Waterfall!AC54*(1-Time!AC20)</f>
        <v/>
      </c>
      <c r="AD14" s="19">
        <f>Waterfall!AD54*(1-Time!AD20)</f>
        <v/>
      </c>
      <c r="AE14" s="19">
        <f>Waterfall!AE54*(1-Time!AE20)</f>
        <v/>
      </c>
      <c r="AF14" s="19">
        <f>Waterfall!AF54*(1-Time!AF20)</f>
        <v/>
      </c>
      <c r="AG14" s="19">
        <f>Waterfall!AG54*(1-Time!AG20)</f>
        <v/>
      </c>
      <c r="AH14" s="19">
        <f>Waterfall!AH54*(1-Time!AH20)</f>
        <v/>
      </c>
      <c r="AI14" s="19">
        <f>Waterfall!AI54*(1-Time!AI20)</f>
        <v/>
      </c>
      <c r="AJ14" s="19">
        <f>Waterfall!AJ54*(1-Time!AJ20)</f>
        <v/>
      </c>
      <c r="AK14" s="19">
        <f>Waterfall!AK54*(1-Time!AK20)</f>
        <v/>
      </c>
      <c r="AL14" s="19">
        <f>Waterfall!AL54*(1-Time!AL20)</f>
        <v/>
      </c>
      <c r="AM14" s="19">
        <f>Waterfall!AM54*(1-Time!AM20)</f>
        <v/>
      </c>
      <c r="AN14" s="19">
        <f>Waterfall!AN54*(1-Time!AN20)</f>
        <v/>
      </c>
      <c r="AO14" s="19">
        <f>Waterfall!AO54*(1-Time!AO20)</f>
        <v/>
      </c>
      <c r="AP14" s="19">
        <f>Waterfall!AP54*(1-Time!AP20)</f>
        <v/>
      </c>
      <c r="AQ14" s="19">
        <f>Waterfall!AQ54*(1-Time!AQ20)</f>
        <v/>
      </c>
      <c r="AR14" s="19">
        <f>Waterfall!AR54*(1-Time!AR20)</f>
        <v/>
      </c>
      <c r="AS14" s="19">
        <f>Waterfall!AS54*(1-Time!AS20)</f>
        <v/>
      </c>
      <c r="AT14" s="19">
        <f>Waterfall!AT54*(1-Time!AT20)</f>
        <v/>
      </c>
      <c r="AU14" s="19">
        <f>Waterfall!AU54*(1-Time!AU20)</f>
        <v/>
      </c>
      <c r="AV14" s="19">
        <f>Waterfall!AV54*(1-Time!AV20)</f>
        <v/>
      </c>
      <c r="AW14" s="19">
        <f>Waterfall!AW54*(1-Time!AW20)</f>
        <v/>
      </c>
      <c r="AX14" s="19">
        <f>Waterfall!AX54*(1-Time!AX20)</f>
        <v/>
      </c>
      <c r="AY14" s="19">
        <f>Waterfall!AY54*(1-Time!AY20)</f>
        <v/>
      </c>
      <c r="AZ14" s="19">
        <f>Waterfall!AZ54*(1-Time!AZ20)</f>
        <v/>
      </c>
      <c r="BA14" s="19">
        <f>Waterfall!BA54*(1-Time!BA20)</f>
        <v/>
      </c>
      <c r="BB14" s="19">
        <f>Waterfall!BB54*(1-Time!BB20)</f>
        <v/>
      </c>
      <c r="BC14" s="19">
        <f>Waterfall!BC54*(1-Time!BC20)</f>
        <v/>
      </c>
      <c r="BD14" s="19">
        <f>Waterfall!BD54*(1-Time!BD20)</f>
        <v/>
      </c>
      <c r="BE14" s="19">
        <f>Waterfall!BE54*(1-Time!BE20)</f>
        <v/>
      </c>
      <c r="BF14" s="19">
        <f>Waterfall!BF54*(1-Time!BF20)</f>
        <v/>
      </c>
      <c r="BG14" s="19">
        <f>Waterfall!BG54*(1-Time!BG20)</f>
        <v/>
      </c>
      <c r="BH14" s="19">
        <f>Waterfall!BH54*(1-Time!BH20)</f>
        <v/>
      </c>
      <c r="BI14" s="19">
        <f>Waterfall!BI54*(1-Time!BI20)</f>
        <v/>
      </c>
      <c r="BJ14" s="19">
        <f>Waterfall!BJ54*(1-Time!BJ20)</f>
        <v/>
      </c>
      <c r="BK14" s="19">
        <f>Waterfall!BK54*(1-Time!BK20)</f>
        <v/>
      </c>
      <c r="BL14" s="19">
        <f>Waterfall!BL54*(1-Time!BL20)</f>
        <v/>
      </c>
      <c r="BM14" s="19">
        <f>Waterfall!BM54*(1-Time!BM20)</f>
        <v/>
      </c>
      <c r="BN14" s="19">
        <f>Waterfall!BN54*(1-Time!BN20)</f>
        <v/>
      </c>
      <c r="BO14" s="19">
        <f>Waterfall!BO54*(1-Time!BO20)</f>
        <v/>
      </c>
      <c r="BP14" s="19">
        <f>Waterfall!BP54*(1-Time!BP20)</f>
        <v/>
      </c>
      <c r="BQ14" s="19">
        <f>Waterfall!BQ54*(1-Time!BQ20)</f>
        <v/>
      </c>
      <c r="BR14" s="19">
        <f>Waterfall!BR54*(1-Time!BR20)</f>
        <v/>
      </c>
      <c r="BS14" s="19">
        <f>Waterfall!BS54*(1-Time!BS20)</f>
        <v/>
      </c>
      <c r="BT14" s="19">
        <f>Waterfall!BT54*(1-Time!BT20)</f>
        <v/>
      </c>
      <c r="BU14" s="19">
        <f>Waterfall!BU54*(1-Time!BU20)</f>
        <v/>
      </c>
      <c r="BV14" s="19">
        <f>Waterfall!BV54*(1-Time!BV20)</f>
        <v/>
      </c>
      <c r="BW14" s="19">
        <f>Waterfall!BW54*(1-Time!BW20)</f>
        <v/>
      </c>
      <c r="BX14" s="19">
        <f>Waterfall!BX54*(1-Time!BX20)</f>
        <v/>
      </c>
      <c r="BY14" s="19">
        <f>Waterfall!BY54*(1-Time!BY20)</f>
        <v/>
      </c>
      <c r="BZ14" s="19">
        <f>Waterfall!BZ54*(1-Time!BZ20)</f>
        <v/>
      </c>
      <c r="CA14" s="19">
        <f>Waterfall!CA54*(1-Time!CA20)</f>
        <v/>
      </c>
      <c r="CB14" s="19">
        <f>Waterfall!CB54*(1-Time!CB20)</f>
        <v/>
      </c>
      <c r="CC14" s="19">
        <f>Waterfall!CC54*(1-Time!CC20)</f>
        <v/>
      </c>
      <c r="CD14" s="19">
        <f>Waterfall!CD54*(1-Time!CD20)</f>
        <v/>
      </c>
      <c r="CE14" s="19">
        <f>Waterfall!CE54*(1-Time!CE20)</f>
        <v/>
      </c>
      <c r="CF14" s="19">
        <f>Waterfall!CF54*(1-Time!CF20)</f>
        <v/>
      </c>
      <c r="CG14" s="19">
        <f>Waterfall!CG54*(1-Time!CG20)</f>
        <v/>
      </c>
      <c r="CH14" s="19">
        <f>Waterfall!CH54*(1-Time!CH20)</f>
        <v/>
      </c>
      <c r="CI14" s="19">
        <f>Waterfall!CI54*(1-Time!CI20)</f>
        <v/>
      </c>
      <c r="CJ14" s="19">
        <f>Waterfall!CJ54*(1-Time!CJ20)</f>
        <v/>
      </c>
      <c r="CK14" s="19">
        <f>Waterfall!CK54*(1-Time!CK20)</f>
        <v/>
      </c>
      <c r="CL14" s="19">
        <f>Waterfall!CL54*(1-Time!CL20)</f>
        <v/>
      </c>
      <c r="CM14" s="19">
        <f>Waterfall!CM54*(1-Time!CM20)</f>
        <v/>
      </c>
      <c r="CN14" s="19">
        <f>Waterfall!CN54*(1-Time!CN20)</f>
        <v/>
      </c>
      <c r="CO14" s="19">
        <f>Waterfall!CO54*(1-Time!CO20)</f>
        <v/>
      </c>
      <c r="CP14" s="19">
        <f>Waterfall!CP54*(1-Time!CP20)</f>
        <v/>
      </c>
      <c r="CQ14" s="19">
        <f>Waterfall!CQ54*(1-Time!CQ20)</f>
        <v/>
      </c>
      <c r="CR14" s="19">
        <f>Waterfall!CR54*(1-Time!CR20)</f>
        <v/>
      </c>
      <c r="CS14" s="19">
        <f>Waterfall!CS54*(1-Time!CS20)</f>
        <v/>
      </c>
      <c r="CT14" s="19">
        <f>Waterfall!CT54*(1-Time!CT20)</f>
        <v/>
      </c>
      <c r="CU14" s="19">
        <f>Waterfall!CU54*(1-Time!CU20)</f>
        <v/>
      </c>
      <c r="CV14" s="19">
        <f>Waterfall!CV54*(1-Time!CV20)</f>
        <v/>
      </c>
      <c r="CW14" s="19">
        <f>Waterfall!CW54*(1-Time!CW20)</f>
        <v/>
      </c>
      <c r="CX14" s="19">
        <f>Waterfall!CX54*(1-Time!CX20)</f>
        <v/>
      </c>
      <c r="CY14" s="19">
        <f>Waterfall!CY54*(1-Time!CY20)</f>
        <v/>
      </c>
      <c r="CZ14" s="19">
        <f>Waterfall!CZ54*(1-Time!CZ20)</f>
        <v/>
      </c>
      <c r="DA14" s="19">
        <f>Waterfall!DA54*(1-Time!DA20)</f>
        <v/>
      </c>
      <c r="DB14" s="19">
        <f>Waterfall!DB54*(1-Time!DB20)</f>
        <v/>
      </c>
    </row>
    <row r="15">
      <c r="D15" t="inlineStr">
        <is>
          <t>Taxable income before losses</t>
        </is>
      </c>
      <c r="E15" t="inlineStr">
        <is>
          <t>ARD m</t>
        </is>
      </c>
      <c r="G15" s="19">
        <f>SUM(J15:DB15)</f>
        <v/>
      </c>
      <c r="J15" s="19">
        <f>(Operations!J33-Operations!J37-Reserves!J22-J8-Debt!J64-J13-J14-Debt!J65)*(1-Time!J20)</f>
        <v/>
      </c>
      <c r="K15" s="19">
        <f>(Operations!K33-Operations!K37-Reserves!K22-K8-Debt!K64-K13-K14-Debt!K65)*(1-Time!K20)</f>
        <v/>
      </c>
      <c r="L15" s="19">
        <f>(Operations!L33-Operations!L37-Reserves!L22-L8-Debt!L64-L13-L14-Debt!L65)*(1-Time!L20)</f>
        <v/>
      </c>
      <c r="M15" s="19">
        <f>(Operations!M33-Operations!M37-Reserves!M22-M8-Debt!M64-M13-M14-Debt!M65)*(1-Time!M20)</f>
        <v/>
      </c>
      <c r="N15" s="19">
        <f>(Operations!N33-Operations!N37-Reserves!N22-N8-Debt!N64-N13-N14-Debt!N65)*(1-Time!N20)</f>
        <v/>
      </c>
      <c r="O15" s="19">
        <f>(Operations!O33-Operations!O37-Reserves!O22-O8-Debt!O64-O13-O14-Debt!O65)*(1-Time!O20)</f>
        <v/>
      </c>
      <c r="P15" s="19">
        <f>(Operations!P33-Operations!P37-Reserves!P22-P8-Debt!P64-P13-P14-Debt!P65)*(1-Time!P20)</f>
        <v/>
      </c>
      <c r="Q15" s="19">
        <f>(Operations!Q33-Operations!Q37-Reserves!Q22-Q8-Debt!Q64-Q13-Q14-Debt!Q65)*(1-Time!Q20)</f>
        <v/>
      </c>
      <c r="R15" s="19">
        <f>(Operations!R33-Operations!R37-Reserves!R22-R8-Debt!R64-R13-R14-Debt!R65)*(1-Time!R20)</f>
        <v/>
      </c>
      <c r="S15" s="19">
        <f>(Operations!S33-Operations!S37-Reserves!S22-S8-Debt!S64-S13-S14-Debt!S65)*(1-Time!S20)</f>
        <v/>
      </c>
      <c r="T15" s="19">
        <f>(Operations!T33-Operations!T37-Reserves!T22-T8-Debt!T64-T13-T14-Debt!T65)*(1-Time!T20)</f>
        <v/>
      </c>
      <c r="U15" s="19">
        <f>(Operations!U33-Operations!U37-Reserves!U22-U8-Debt!U64-U13-U14-Debt!U65)*(1-Time!U20)</f>
        <v/>
      </c>
      <c r="V15" s="19">
        <f>(Operations!V33-Operations!V37-Reserves!V22-V8-Debt!V64-V13-V14-Debt!V65)*(1-Time!V20)</f>
        <v/>
      </c>
      <c r="W15" s="19">
        <f>(Operations!W33-Operations!W37-Reserves!W22-W8-Debt!W64-W13-W14-Debt!W65)*(1-Time!W20)</f>
        <v/>
      </c>
      <c r="X15" s="19">
        <f>(Operations!X33-Operations!X37-Reserves!X22-X8-Debt!X64-X13-X14-Debt!X65)*(1-Time!X20)</f>
        <v/>
      </c>
      <c r="Y15" s="19">
        <f>(Operations!Y33-Operations!Y37-Reserves!Y22-Y8-Debt!Y64-Y13-Y14-Debt!Y65)*(1-Time!Y20)</f>
        <v/>
      </c>
      <c r="Z15" s="19">
        <f>(Operations!Z33-Operations!Z37-Reserves!Z22-Z8-Debt!Z64-Z13-Z14-Debt!Z65)*(1-Time!Z20)</f>
        <v/>
      </c>
      <c r="AA15" s="19">
        <f>(Operations!AA33-Operations!AA37-Reserves!AA22-AA8-Debt!AA64-AA13-AA14-Debt!AA65)*(1-Time!AA20)</f>
        <v/>
      </c>
      <c r="AB15" s="19">
        <f>(Operations!AB33-Operations!AB37-Reserves!AB22-AB8-Debt!AB64-AB13-AB14-Debt!AB65)*(1-Time!AB20)</f>
        <v/>
      </c>
      <c r="AC15" s="19">
        <f>(Operations!AC33-Operations!AC37-Reserves!AC22-AC8-Debt!AC64-AC13-AC14-Debt!AC65)*(1-Time!AC20)</f>
        <v/>
      </c>
      <c r="AD15" s="19">
        <f>(Operations!AD33-Operations!AD37-Reserves!AD22-AD8-Debt!AD64-AD13-AD14-Debt!AD65)*(1-Time!AD20)</f>
        <v/>
      </c>
      <c r="AE15" s="19">
        <f>(Operations!AE33-Operations!AE37-Reserves!AE22-AE8-Debt!AE64-AE13-AE14-Debt!AE65)*(1-Time!AE20)</f>
        <v/>
      </c>
      <c r="AF15" s="19">
        <f>(Operations!AF33-Operations!AF37-Reserves!AF22-AF8-Debt!AF64-AF13-AF14-Debt!AF65)*(1-Time!AF20)</f>
        <v/>
      </c>
      <c r="AG15" s="19">
        <f>(Operations!AG33-Operations!AG37-Reserves!AG22-AG8-Debt!AG64-AG13-AG14-Debt!AG65)*(1-Time!AG20)</f>
        <v/>
      </c>
      <c r="AH15" s="19">
        <f>(Operations!AH33-Operations!AH37-Reserves!AH22-AH8-Debt!AH64-AH13-AH14-Debt!AH65)*(1-Time!AH20)</f>
        <v/>
      </c>
      <c r="AI15" s="19">
        <f>(Operations!AI33-Operations!AI37-Reserves!AI22-AI8-Debt!AI64-AI13-AI14-Debt!AI65)*(1-Time!AI20)</f>
        <v/>
      </c>
      <c r="AJ15" s="19">
        <f>(Operations!AJ33-Operations!AJ37-Reserves!AJ22-AJ8-Debt!AJ64-AJ13-AJ14-Debt!AJ65)*(1-Time!AJ20)</f>
        <v/>
      </c>
      <c r="AK15" s="19">
        <f>(Operations!AK33-Operations!AK37-Reserves!AK22-AK8-Debt!AK64-AK13-AK14-Debt!AK65)*(1-Time!AK20)</f>
        <v/>
      </c>
      <c r="AL15" s="19">
        <f>(Operations!AL33-Operations!AL37-Reserves!AL22-AL8-Debt!AL64-AL13-AL14-Debt!AL65)*(1-Time!AL20)</f>
        <v/>
      </c>
      <c r="AM15" s="19">
        <f>(Operations!AM33-Operations!AM37-Reserves!AM22-AM8-Debt!AM64-AM13-AM14-Debt!AM65)*(1-Time!AM20)</f>
        <v/>
      </c>
      <c r="AN15" s="19">
        <f>(Operations!AN33-Operations!AN37-Reserves!AN22-AN8-Debt!AN64-AN13-AN14-Debt!AN65)*(1-Time!AN20)</f>
        <v/>
      </c>
      <c r="AO15" s="19">
        <f>(Operations!AO33-Operations!AO37-Reserves!AO22-AO8-Debt!AO64-AO13-AO14-Debt!AO65)*(1-Time!AO20)</f>
        <v/>
      </c>
      <c r="AP15" s="19">
        <f>(Operations!AP33-Operations!AP37-Reserves!AP22-AP8-Debt!AP64-AP13-AP14-Debt!AP65)*(1-Time!AP20)</f>
        <v/>
      </c>
      <c r="AQ15" s="19">
        <f>(Operations!AQ33-Operations!AQ37-Reserves!AQ22-AQ8-Debt!AQ64-AQ13-AQ14-Debt!AQ65)*(1-Time!AQ20)</f>
        <v/>
      </c>
      <c r="AR15" s="19">
        <f>(Operations!AR33-Operations!AR37-Reserves!AR22-AR8-Debt!AR64-AR13-AR14-Debt!AR65)*(1-Time!AR20)</f>
        <v/>
      </c>
      <c r="AS15" s="19">
        <f>(Operations!AS33-Operations!AS37-Reserves!AS22-AS8-Debt!AS64-AS13-AS14-Debt!AS65)*(1-Time!AS20)</f>
        <v/>
      </c>
      <c r="AT15" s="19">
        <f>(Operations!AT33-Operations!AT37-Reserves!AT22-AT8-Debt!AT64-AT13-AT14-Debt!AT65)*(1-Time!AT20)</f>
        <v/>
      </c>
      <c r="AU15" s="19">
        <f>(Operations!AU33-Operations!AU37-Reserves!AU22-AU8-Debt!AU64-AU13-AU14-Debt!AU65)*(1-Time!AU20)</f>
        <v/>
      </c>
      <c r="AV15" s="19">
        <f>(Operations!AV33-Operations!AV37-Reserves!AV22-AV8-Debt!AV64-AV13-AV14-Debt!AV65)*(1-Time!AV20)</f>
        <v/>
      </c>
      <c r="AW15" s="19">
        <f>(Operations!AW33-Operations!AW37-Reserves!AW22-AW8-Debt!AW64-AW13-AW14-Debt!AW65)*(1-Time!AW20)</f>
        <v/>
      </c>
      <c r="AX15" s="19">
        <f>(Operations!AX33-Operations!AX37-Reserves!AX22-AX8-Debt!AX64-AX13-AX14-Debt!AX65)*(1-Time!AX20)</f>
        <v/>
      </c>
      <c r="AY15" s="19">
        <f>(Operations!AY33-Operations!AY37-Reserves!AY22-AY8-Debt!AY64-AY13-AY14-Debt!AY65)*(1-Time!AY20)</f>
        <v/>
      </c>
      <c r="AZ15" s="19">
        <f>(Operations!AZ33-Operations!AZ37-Reserves!AZ22-AZ8-Debt!AZ64-AZ13-AZ14-Debt!AZ65)*(1-Time!AZ20)</f>
        <v/>
      </c>
      <c r="BA15" s="19">
        <f>(Operations!BA33-Operations!BA37-Reserves!BA22-BA8-Debt!BA64-BA13-BA14-Debt!BA65)*(1-Time!BA20)</f>
        <v/>
      </c>
      <c r="BB15" s="19">
        <f>(Operations!BB33-Operations!BB37-Reserves!BB22-BB8-Debt!BB64-BB13-BB14-Debt!BB65)*(1-Time!BB20)</f>
        <v/>
      </c>
      <c r="BC15" s="19">
        <f>(Operations!BC33-Operations!BC37-Reserves!BC22-BC8-Debt!BC64-BC13-BC14-Debt!BC65)*(1-Time!BC20)</f>
        <v/>
      </c>
      <c r="BD15" s="19">
        <f>(Operations!BD33-Operations!BD37-Reserves!BD22-BD8-Debt!BD64-BD13-BD14-Debt!BD65)*(1-Time!BD20)</f>
        <v/>
      </c>
      <c r="BE15" s="19">
        <f>(Operations!BE33-Operations!BE37-Reserves!BE22-BE8-Debt!BE64-BE13-BE14-Debt!BE65)*(1-Time!BE20)</f>
        <v/>
      </c>
      <c r="BF15" s="19">
        <f>(Operations!BF33-Operations!BF37-Reserves!BF22-BF8-Debt!BF64-BF13-BF14-Debt!BF65)*(1-Time!BF20)</f>
        <v/>
      </c>
      <c r="BG15" s="19">
        <f>(Operations!BG33-Operations!BG37-Reserves!BG22-BG8-Debt!BG64-BG13-BG14-Debt!BG65)*(1-Time!BG20)</f>
        <v/>
      </c>
      <c r="BH15" s="19">
        <f>(Operations!BH33-Operations!BH37-Reserves!BH22-BH8-Debt!BH64-BH13-BH14-Debt!BH65)*(1-Time!BH20)</f>
        <v/>
      </c>
      <c r="BI15" s="19">
        <f>(Operations!BI33-Operations!BI37-Reserves!BI22-BI8-Debt!BI64-BI13-BI14-Debt!BI65)*(1-Time!BI20)</f>
        <v/>
      </c>
      <c r="BJ15" s="19">
        <f>(Operations!BJ33-Operations!BJ37-Reserves!BJ22-BJ8-Debt!BJ64-BJ13-BJ14-Debt!BJ65)*(1-Time!BJ20)</f>
        <v/>
      </c>
      <c r="BK15" s="19">
        <f>(Operations!BK33-Operations!BK37-Reserves!BK22-BK8-Debt!BK64-BK13-BK14-Debt!BK65)*(1-Time!BK20)</f>
        <v/>
      </c>
      <c r="BL15" s="19">
        <f>(Operations!BL33-Operations!BL37-Reserves!BL22-BL8-Debt!BL64-BL13-BL14-Debt!BL65)*(1-Time!BL20)</f>
        <v/>
      </c>
      <c r="BM15" s="19">
        <f>(Operations!BM33-Operations!BM37-Reserves!BM22-BM8-Debt!BM64-BM13-BM14-Debt!BM65)*(1-Time!BM20)</f>
        <v/>
      </c>
      <c r="BN15" s="19">
        <f>(Operations!BN33-Operations!BN37-Reserves!BN22-BN8-Debt!BN64-BN13-BN14-Debt!BN65)*(1-Time!BN20)</f>
        <v/>
      </c>
      <c r="BO15" s="19">
        <f>(Operations!BO33-Operations!BO37-Reserves!BO22-BO8-Debt!BO64-BO13-BO14-Debt!BO65)*(1-Time!BO20)</f>
        <v/>
      </c>
      <c r="BP15" s="19">
        <f>(Operations!BP33-Operations!BP37-Reserves!BP22-BP8-Debt!BP64-BP13-BP14-Debt!BP65)*(1-Time!BP20)</f>
        <v/>
      </c>
      <c r="BQ15" s="19">
        <f>(Operations!BQ33-Operations!BQ37-Reserves!BQ22-BQ8-Debt!BQ64-BQ13-BQ14-Debt!BQ65)*(1-Time!BQ20)</f>
        <v/>
      </c>
      <c r="BR15" s="19">
        <f>(Operations!BR33-Operations!BR37-Reserves!BR22-BR8-Debt!BR64-BR13-BR14-Debt!BR65)*(1-Time!BR20)</f>
        <v/>
      </c>
      <c r="BS15" s="19">
        <f>(Operations!BS33-Operations!BS37-Reserves!BS22-BS8-Debt!BS64-BS13-BS14-Debt!BS65)*(1-Time!BS20)</f>
        <v/>
      </c>
      <c r="BT15" s="19">
        <f>(Operations!BT33-Operations!BT37-Reserves!BT22-BT8-Debt!BT64-BT13-BT14-Debt!BT65)*(1-Time!BT20)</f>
        <v/>
      </c>
      <c r="BU15" s="19">
        <f>(Operations!BU33-Operations!BU37-Reserves!BU22-BU8-Debt!BU64-BU13-BU14-Debt!BU65)*(1-Time!BU20)</f>
        <v/>
      </c>
      <c r="BV15" s="19">
        <f>(Operations!BV33-Operations!BV37-Reserves!BV22-BV8-Debt!BV64-BV13-BV14-Debt!BV65)*(1-Time!BV20)</f>
        <v/>
      </c>
      <c r="BW15" s="19">
        <f>(Operations!BW33-Operations!BW37-Reserves!BW22-BW8-Debt!BW64-BW13-BW14-Debt!BW65)*(1-Time!BW20)</f>
        <v/>
      </c>
      <c r="BX15" s="19">
        <f>(Operations!BX33-Operations!BX37-Reserves!BX22-BX8-Debt!BX64-BX13-BX14-Debt!BX65)*(1-Time!BX20)</f>
        <v/>
      </c>
      <c r="BY15" s="19">
        <f>(Operations!BY33-Operations!BY37-Reserves!BY22-BY8-Debt!BY64-BY13-BY14-Debt!BY65)*(1-Time!BY20)</f>
        <v/>
      </c>
      <c r="BZ15" s="19">
        <f>(Operations!BZ33-Operations!BZ37-Reserves!BZ22-BZ8-Debt!BZ64-BZ13-BZ14-Debt!BZ65)*(1-Time!BZ20)</f>
        <v/>
      </c>
      <c r="CA15" s="19">
        <f>(Operations!CA33-Operations!CA37-Reserves!CA22-CA8-Debt!CA64-CA13-CA14-Debt!CA65)*(1-Time!CA20)</f>
        <v/>
      </c>
      <c r="CB15" s="19">
        <f>(Operations!CB33-Operations!CB37-Reserves!CB22-CB8-Debt!CB64-CB13-CB14-Debt!CB65)*(1-Time!CB20)</f>
        <v/>
      </c>
      <c r="CC15" s="19">
        <f>(Operations!CC33-Operations!CC37-Reserves!CC22-CC8-Debt!CC64-CC13-CC14-Debt!CC65)*(1-Time!CC20)</f>
        <v/>
      </c>
      <c r="CD15" s="19">
        <f>(Operations!CD33-Operations!CD37-Reserves!CD22-CD8-Debt!CD64-CD13-CD14-Debt!CD65)*(1-Time!CD20)</f>
        <v/>
      </c>
      <c r="CE15" s="19">
        <f>(Operations!CE33-Operations!CE37-Reserves!CE22-CE8-Debt!CE64-CE13-CE14-Debt!CE65)*(1-Time!CE20)</f>
        <v/>
      </c>
      <c r="CF15" s="19">
        <f>(Operations!CF33-Operations!CF37-Reserves!CF22-CF8-Debt!CF64-CF13-CF14-Debt!CF65)*(1-Time!CF20)</f>
        <v/>
      </c>
      <c r="CG15" s="19">
        <f>(Operations!CG33-Operations!CG37-Reserves!CG22-CG8-Debt!CG64-CG13-CG14-Debt!CG65)*(1-Time!CG20)</f>
        <v/>
      </c>
      <c r="CH15" s="19">
        <f>(Operations!CH33-Operations!CH37-Reserves!CH22-CH8-Debt!CH64-CH13-CH14-Debt!CH65)*(1-Time!CH20)</f>
        <v/>
      </c>
      <c r="CI15" s="19">
        <f>(Operations!CI33-Operations!CI37-Reserves!CI22-CI8-Debt!CI64-CI13-CI14-Debt!CI65)*(1-Time!CI20)</f>
        <v/>
      </c>
      <c r="CJ15" s="19">
        <f>(Operations!CJ33-Operations!CJ37-Reserves!CJ22-CJ8-Debt!CJ64-CJ13-CJ14-Debt!CJ65)*(1-Time!CJ20)</f>
        <v/>
      </c>
      <c r="CK15" s="19">
        <f>(Operations!CK33-Operations!CK37-Reserves!CK22-CK8-Debt!CK64-CK13-CK14-Debt!CK65)*(1-Time!CK20)</f>
        <v/>
      </c>
      <c r="CL15" s="19">
        <f>(Operations!CL33-Operations!CL37-Reserves!CL22-CL8-Debt!CL64-CL13-CL14-Debt!CL65)*(1-Time!CL20)</f>
        <v/>
      </c>
      <c r="CM15" s="19">
        <f>(Operations!CM33-Operations!CM37-Reserves!CM22-CM8-Debt!CM64-CM13-CM14-Debt!CM65)*(1-Time!CM20)</f>
        <v/>
      </c>
      <c r="CN15" s="19">
        <f>(Operations!CN33-Operations!CN37-Reserves!CN22-CN8-Debt!CN64-CN13-CN14-Debt!CN65)*(1-Time!CN20)</f>
        <v/>
      </c>
      <c r="CO15" s="19">
        <f>(Operations!CO33-Operations!CO37-Reserves!CO22-CO8-Debt!CO64-CO13-CO14-Debt!CO65)*(1-Time!CO20)</f>
        <v/>
      </c>
      <c r="CP15" s="19">
        <f>(Operations!CP33-Operations!CP37-Reserves!CP22-CP8-Debt!CP64-CP13-CP14-Debt!CP65)*(1-Time!CP20)</f>
        <v/>
      </c>
      <c r="CQ15" s="19">
        <f>(Operations!CQ33-Operations!CQ37-Reserves!CQ22-CQ8-Debt!CQ64-CQ13-CQ14-Debt!CQ65)*(1-Time!CQ20)</f>
        <v/>
      </c>
      <c r="CR15" s="19">
        <f>(Operations!CR33-Operations!CR37-Reserves!CR22-CR8-Debt!CR64-CR13-CR14-Debt!CR65)*(1-Time!CR20)</f>
        <v/>
      </c>
      <c r="CS15" s="19">
        <f>(Operations!CS33-Operations!CS37-Reserves!CS22-CS8-Debt!CS64-CS13-CS14-Debt!CS65)*(1-Time!CS20)</f>
        <v/>
      </c>
      <c r="CT15" s="19">
        <f>(Operations!CT33-Operations!CT37-Reserves!CT22-CT8-Debt!CT64-CT13-CT14-Debt!CT65)*(1-Time!CT20)</f>
        <v/>
      </c>
      <c r="CU15" s="19">
        <f>(Operations!CU33-Operations!CU37-Reserves!CU22-CU8-Debt!CU64-CU13-CU14-Debt!CU65)*(1-Time!CU20)</f>
        <v/>
      </c>
      <c r="CV15" s="19">
        <f>(Operations!CV33-Operations!CV37-Reserves!CV22-CV8-Debt!CV64-CV13-CV14-Debt!CV65)*(1-Time!CV20)</f>
        <v/>
      </c>
      <c r="CW15" s="19">
        <f>(Operations!CW33-Operations!CW37-Reserves!CW22-CW8-Debt!CW64-CW13-CW14-Debt!CW65)*(1-Time!CW20)</f>
        <v/>
      </c>
      <c r="CX15" s="19">
        <f>(Operations!CX33-Operations!CX37-Reserves!CX22-CX8-Debt!CX64-CX13-CX14-Debt!CX65)*(1-Time!CX20)</f>
        <v/>
      </c>
      <c r="CY15" s="19">
        <f>(Operations!CY33-Operations!CY37-Reserves!CY22-CY8-Debt!CY64-CY13-CY14-Debt!CY65)*(1-Time!CY20)</f>
        <v/>
      </c>
      <c r="CZ15" s="19">
        <f>(Operations!CZ33-Operations!CZ37-Reserves!CZ22-CZ8-Debt!CZ64-CZ13-CZ14-Debt!CZ65)*(1-Time!CZ20)</f>
        <v/>
      </c>
      <c r="DA15" s="19">
        <f>(Operations!DA33-Operations!DA37-Reserves!DA22-DA8-Debt!DA64-DA13-DA14-Debt!DA65)*(1-Time!DA20)</f>
        <v/>
      </c>
      <c r="DB15" s="19">
        <f>(Operations!DB33-Operations!DB37-Reserves!DB22-DB8-Debt!DB64-DB13-DB14-Debt!DB65)*(1-Time!DB20)</f>
        <v/>
      </c>
    </row>
    <row r="16">
      <c r="D16" t="inlineStr">
        <is>
          <t>Tax losses brought forward</t>
        </is>
      </c>
      <c r="E16" t="inlineStr">
        <is>
          <t>ARD m</t>
        </is>
      </c>
      <c r="J16" s="19">
        <f>I21</f>
        <v/>
      </c>
      <c r="K16" s="19">
        <f>J21</f>
        <v/>
      </c>
      <c r="L16" s="19">
        <f>K21</f>
        <v/>
      </c>
      <c r="M16" s="19">
        <f>L21</f>
        <v/>
      </c>
      <c r="N16" s="19">
        <f>M21</f>
        <v/>
      </c>
      <c r="O16" s="19">
        <f>N21</f>
        <v/>
      </c>
      <c r="P16" s="19">
        <f>O21</f>
        <v/>
      </c>
      <c r="Q16" s="19">
        <f>P21</f>
        <v/>
      </c>
      <c r="R16" s="19">
        <f>Q21</f>
        <v/>
      </c>
      <c r="S16" s="19">
        <f>R21</f>
        <v/>
      </c>
      <c r="T16" s="19">
        <f>S21</f>
        <v/>
      </c>
      <c r="U16" s="19">
        <f>T21</f>
        <v/>
      </c>
      <c r="V16" s="19">
        <f>U21</f>
        <v/>
      </c>
      <c r="W16" s="19">
        <f>V21</f>
        <v/>
      </c>
      <c r="X16" s="19">
        <f>W21</f>
        <v/>
      </c>
      <c r="Y16" s="19">
        <f>X21</f>
        <v/>
      </c>
      <c r="Z16" s="19">
        <f>Y21</f>
        <v/>
      </c>
      <c r="AA16" s="19">
        <f>Z21</f>
        <v/>
      </c>
      <c r="AB16" s="19">
        <f>AA21</f>
        <v/>
      </c>
      <c r="AC16" s="19">
        <f>AB21</f>
        <v/>
      </c>
      <c r="AD16" s="19">
        <f>AC21</f>
        <v/>
      </c>
      <c r="AE16" s="19">
        <f>AD21</f>
        <v/>
      </c>
      <c r="AF16" s="19">
        <f>AE21</f>
        <v/>
      </c>
      <c r="AG16" s="19">
        <f>AF21</f>
        <v/>
      </c>
      <c r="AH16" s="19">
        <f>AG21</f>
        <v/>
      </c>
      <c r="AI16" s="19">
        <f>AH21</f>
        <v/>
      </c>
      <c r="AJ16" s="19">
        <f>AI21</f>
        <v/>
      </c>
      <c r="AK16" s="19">
        <f>AJ21</f>
        <v/>
      </c>
      <c r="AL16" s="19">
        <f>AK21</f>
        <v/>
      </c>
      <c r="AM16" s="19">
        <f>AL21</f>
        <v/>
      </c>
      <c r="AN16" s="19">
        <f>AM21</f>
        <v/>
      </c>
      <c r="AO16" s="19">
        <f>AN21</f>
        <v/>
      </c>
      <c r="AP16" s="19">
        <f>AO21</f>
        <v/>
      </c>
      <c r="AQ16" s="19">
        <f>AP21</f>
        <v/>
      </c>
      <c r="AR16" s="19">
        <f>AQ21</f>
        <v/>
      </c>
      <c r="AS16" s="19">
        <f>AR21</f>
        <v/>
      </c>
      <c r="AT16" s="19">
        <f>AS21</f>
        <v/>
      </c>
      <c r="AU16" s="19">
        <f>AT21</f>
        <v/>
      </c>
      <c r="AV16" s="19">
        <f>AU21</f>
        <v/>
      </c>
      <c r="AW16" s="19">
        <f>AV21</f>
        <v/>
      </c>
      <c r="AX16" s="19">
        <f>AW21</f>
        <v/>
      </c>
      <c r="AY16" s="19">
        <f>AX21</f>
        <v/>
      </c>
      <c r="AZ16" s="19">
        <f>AY21</f>
        <v/>
      </c>
      <c r="BA16" s="19">
        <f>AZ21</f>
        <v/>
      </c>
      <c r="BB16" s="19">
        <f>BA21</f>
        <v/>
      </c>
      <c r="BC16" s="19">
        <f>BB21</f>
        <v/>
      </c>
      <c r="BD16" s="19">
        <f>BC21</f>
        <v/>
      </c>
      <c r="BE16" s="19">
        <f>BD21</f>
        <v/>
      </c>
      <c r="BF16" s="19">
        <f>BE21</f>
        <v/>
      </c>
      <c r="BG16" s="19">
        <f>BF21</f>
        <v/>
      </c>
      <c r="BH16" s="19">
        <f>BG21</f>
        <v/>
      </c>
      <c r="BI16" s="19">
        <f>BH21</f>
        <v/>
      </c>
      <c r="BJ16" s="19">
        <f>BI21</f>
        <v/>
      </c>
      <c r="BK16" s="19">
        <f>BJ21</f>
        <v/>
      </c>
      <c r="BL16" s="19">
        <f>BK21</f>
        <v/>
      </c>
      <c r="BM16" s="19">
        <f>BL21</f>
        <v/>
      </c>
      <c r="BN16" s="19">
        <f>BM21</f>
        <v/>
      </c>
      <c r="BO16" s="19">
        <f>BN21</f>
        <v/>
      </c>
      <c r="BP16" s="19">
        <f>BO21</f>
        <v/>
      </c>
      <c r="BQ16" s="19">
        <f>BP21</f>
        <v/>
      </c>
      <c r="BR16" s="19">
        <f>BQ21</f>
        <v/>
      </c>
      <c r="BS16" s="19">
        <f>BR21</f>
        <v/>
      </c>
      <c r="BT16" s="19">
        <f>BS21</f>
        <v/>
      </c>
      <c r="BU16" s="19">
        <f>BT21</f>
        <v/>
      </c>
      <c r="BV16" s="19">
        <f>BU21</f>
        <v/>
      </c>
      <c r="BW16" s="19">
        <f>BV21</f>
        <v/>
      </c>
      <c r="BX16" s="19">
        <f>BW21</f>
        <v/>
      </c>
      <c r="BY16" s="19">
        <f>BX21</f>
        <v/>
      </c>
      <c r="BZ16" s="19">
        <f>BY21</f>
        <v/>
      </c>
      <c r="CA16" s="19">
        <f>BZ21</f>
        <v/>
      </c>
      <c r="CB16" s="19">
        <f>CA21</f>
        <v/>
      </c>
      <c r="CC16" s="19">
        <f>CB21</f>
        <v/>
      </c>
      <c r="CD16" s="19">
        <f>CC21</f>
        <v/>
      </c>
      <c r="CE16" s="19">
        <f>CD21</f>
        <v/>
      </c>
      <c r="CF16" s="19">
        <f>CE21</f>
        <v/>
      </c>
      <c r="CG16" s="19">
        <f>CF21</f>
        <v/>
      </c>
      <c r="CH16" s="19">
        <f>CG21</f>
        <v/>
      </c>
      <c r="CI16" s="19">
        <f>CH21</f>
        <v/>
      </c>
      <c r="CJ16" s="19">
        <f>CI21</f>
        <v/>
      </c>
      <c r="CK16" s="19">
        <f>CJ21</f>
        <v/>
      </c>
      <c r="CL16" s="19">
        <f>CK21</f>
        <v/>
      </c>
      <c r="CM16" s="19">
        <f>CL21</f>
        <v/>
      </c>
      <c r="CN16" s="19">
        <f>CM21</f>
        <v/>
      </c>
      <c r="CO16" s="19">
        <f>CN21</f>
        <v/>
      </c>
      <c r="CP16" s="19">
        <f>CO21</f>
        <v/>
      </c>
      <c r="CQ16" s="19">
        <f>CP21</f>
        <v/>
      </c>
      <c r="CR16" s="19">
        <f>CQ21</f>
        <v/>
      </c>
      <c r="CS16" s="19">
        <f>CR21</f>
        <v/>
      </c>
      <c r="CT16" s="19">
        <f>CS21</f>
        <v/>
      </c>
      <c r="CU16" s="19">
        <f>CT21</f>
        <v/>
      </c>
      <c r="CV16" s="19">
        <f>CU21</f>
        <v/>
      </c>
      <c r="CW16" s="19">
        <f>CV21</f>
        <v/>
      </c>
      <c r="CX16" s="19">
        <f>CW21</f>
        <v/>
      </c>
      <c r="CY16" s="19">
        <f>CX21</f>
        <v/>
      </c>
      <c r="CZ16" s="19">
        <f>CY21</f>
        <v/>
      </c>
      <c r="DA16" s="19">
        <f>CZ21</f>
        <v/>
      </c>
      <c r="DB16" s="19">
        <f>DA21</f>
        <v/>
      </c>
    </row>
    <row r="17">
      <c r="D17" t="inlineStr">
        <is>
          <t>Losses used</t>
        </is>
      </c>
      <c r="E17" t="inlineStr">
        <is>
          <t>ARD m</t>
        </is>
      </c>
      <c r="G17" s="19">
        <f>SUM(J17:DB17)</f>
        <v/>
      </c>
      <c r="J17" s="19">
        <f>MIN(J16,MAX(0,J15))</f>
        <v/>
      </c>
      <c r="K17" s="19">
        <f>MIN(K16,MAX(0,K15))</f>
        <v/>
      </c>
      <c r="L17" s="19">
        <f>MIN(L16,MAX(0,L15))</f>
        <v/>
      </c>
      <c r="M17" s="19">
        <f>MIN(M16,MAX(0,M15))</f>
        <v/>
      </c>
      <c r="N17" s="19">
        <f>MIN(N16,MAX(0,N15))</f>
        <v/>
      </c>
      <c r="O17" s="19">
        <f>MIN(O16,MAX(0,O15))</f>
        <v/>
      </c>
      <c r="P17" s="19">
        <f>MIN(P16,MAX(0,P15))</f>
        <v/>
      </c>
      <c r="Q17" s="19">
        <f>MIN(Q16,MAX(0,Q15))</f>
        <v/>
      </c>
      <c r="R17" s="19">
        <f>MIN(R16,MAX(0,R15))</f>
        <v/>
      </c>
      <c r="S17" s="19">
        <f>MIN(S16,MAX(0,S15))</f>
        <v/>
      </c>
      <c r="T17" s="19">
        <f>MIN(T16,MAX(0,T15))</f>
        <v/>
      </c>
      <c r="U17" s="19">
        <f>MIN(U16,MAX(0,U15))</f>
        <v/>
      </c>
      <c r="V17" s="19">
        <f>MIN(V16,MAX(0,V15))</f>
        <v/>
      </c>
      <c r="W17" s="19">
        <f>MIN(W16,MAX(0,W15))</f>
        <v/>
      </c>
      <c r="X17" s="19">
        <f>MIN(X16,MAX(0,X15))</f>
        <v/>
      </c>
      <c r="Y17" s="19">
        <f>MIN(Y16,MAX(0,Y15))</f>
        <v/>
      </c>
      <c r="Z17" s="19">
        <f>MIN(Z16,MAX(0,Z15))</f>
        <v/>
      </c>
      <c r="AA17" s="19">
        <f>MIN(AA16,MAX(0,AA15))</f>
        <v/>
      </c>
      <c r="AB17" s="19">
        <f>MIN(AB16,MAX(0,AB15))</f>
        <v/>
      </c>
      <c r="AC17" s="19">
        <f>MIN(AC16,MAX(0,AC15))</f>
        <v/>
      </c>
      <c r="AD17" s="19">
        <f>MIN(AD16,MAX(0,AD15))</f>
        <v/>
      </c>
      <c r="AE17" s="19">
        <f>MIN(AE16,MAX(0,AE15))</f>
        <v/>
      </c>
      <c r="AF17" s="19">
        <f>MIN(AF16,MAX(0,AF15))</f>
        <v/>
      </c>
      <c r="AG17" s="19">
        <f>MIN(AG16,MAX(0,AG15))</f>
        <v/>
      </c>
      <c r="AH17" s="19">
        <f>MIN(AH16,MAX(0,AH15))</f>
        <v/>
      </c>
      <c r="AI17" s="19">
        <f>MIN(AI16,MAX(0,AI15))</f>
        <v/>
      </c>
      <c r="AJ17" s="19">
        <f>MIN(AJ16,MAX(0,AJ15))</f>
        <v/>
      </c>
      <c r="AK17" s="19">
        <f>MIN(AK16,MAX(0,AK15))</f>
        <v/>
      </c>
      <c r="AL17" s="19">
        <f>MIN(AL16,MAX(0,AL15))</f>
        <v/>
      </c>
      <c r="AM17" s="19">
        <f>MIN(AM16,MAX(0,AM15))</f>
        <v/>
      </c>
      <c r="AN17" s="19">
        <f>MIN(AN16,MAX(0,AN15))</f>
        <v/>
      </c>
      <c r="AO17" s="19">
        <f>MIN(AO16,MAX(0,AO15))</f>
        <v/>
      </c>
      <c r="AP17" s="19">
        <f>MIN(AP16,MAX(0,AP15))</f>
        <v/>
      </c>
      <c r="AQ17" s="19">
        <f>MIN(AQ16,MAX(0,AQ15))</f>
        <v/>
      </c>
      <c r="AR17" s="19">
        <f>MIN(AR16,MAX(0,AR15))</f>
        <v/>
      </c>
      <c r="AS17" s="19">
        <f>MIN(AS16,MAX(0,AS15))</f>
        <v/>
      </c>
      <c r="AT17" s="19">
        <f>MIN(AT16,MAX(0,AT15))</f>
        <v/>
      </c>
      <c r="AU17" s="19">
        <f>MIN(AU16,MAX(0,AU15))</f>
        <v/>
      </c>
      <c r="AV17" s="19">
        <f>MIN(AV16,MAX(0,AV15))</f>
        <v/>
      </c>
      <c r="AW17" s="19">
        <f>MIN(AW16,MAX(0,AW15))</f>
        <v/>
      </c>
      <c r="AX17" s="19">
        <f>MIN(AX16,MAX(0,AX15))</f>
        <v/>
      </c>
      <c r="AY17" s="19">
        <f>MIN(AY16,MAX(0,AY15))</f>
        <v/>
      </c>
      <c r="AZ17" s="19">
        <f>MIN(AZ16,MAX(0,AZ15))</f>
        <v/>
      </c>
      <c r="BA17" s="19">
        <f>MIN(BA16,MAX(0,BA15))</f>
        <v/>
      </c>
      <c r="BB17" s="19">
        <f>MIN(BB16,MAX(0,BB15))</f>
        <v/>
      </c>
      <c r="BC17" s="19">
        <f>MIN(BC16,MAX(0,BC15))</f>
        <v/>
      </c>
      <c r="BD17" s="19">
        <f>MIN(BD16,MAX(0,BD15))</f>
        <v/>
      </c>
      <c r="BE17" s="19">
        <f>MIN(BE16,MAX(0,BE15))</f>
        <v/>
      </c>
      <c r="BF17" s="19">
        <f>MIN(BF16,MAX(0,BF15))</f>
        <v/>
      </c>
      <c r="BG17" s="19">
        <f>MIN(BG16,MAX(0,BG15))</f>
        <v/>
      </c>
      <c r="BH17" s="19">
        <f>MIN(BH16,MAX(0,BH15))</f>
        <v/>
      </c>
      <c r="BI17" s="19">
        <f>MIN(BI16,MAX(0,BI15))</f>
        <v/>
      </c>
      <c r="BJ17" s="19">
        <f>MIN(BJ16,MAX(0,BJ15))</f>
        <v/>
      </c>
      <c r="BK17" s="19">
        <f>MIN(BK16,MAX(0,BK15))</f>
        <v/>
      </c>
      <c r="BL17" s="19">
        <f>MIN(BL16,MAX(0,BL15))</f>
        <v/>
      </c>
      <c r="BM17" s="19">
        <f>MIN(BM16,MAX(0,BM15))</f>
        <v/>
      </c>
      <c r="BN17" s="19">
        <f>MIN(BN16,MAX(0,BN15))</f>
        <v/>
      </c>
      <c r="BO17" s="19">
        <f>MIN(BO16,MAX(0,BO15))</f>
        <v/>
      </c>
      <c r="BP17" s="19">
        <f>MIN(BP16,MAX(0,BP15))</f>
        <v/>
      </c>
      <c r="BQ17" s="19">
        <f>MIN(BQ16,MAX(0,BQ15))</f>
        <v/>
      </c>
      <c r="BR17" s="19">
        <f>MIN(BR16,MAX(0,BR15))</f>
        <v/>
      </c>
      <c r="BS17" s="19">
        <f>MIN(BS16,MAX(0,BS15))</f>
        <v/>
      </c>
      <c r="BT17" s="19">
        <f>MIN(BT16,MAX(0,BT15))</f>
        <v/>
      </c>
      <c r="BU17" s="19">
        <f>MIN(BU16,MAX(0,BU15))</f>
        <v/>
      </c>
      <c r="BV17" s="19">
        <f>MIN(BV16,MAX(0,BV15))</f>
        <v/>
      </c>
      <c r="BW17" s="19">
        <f>MIN(BW16,MAX(0,BW15))</f>
        <v/>
      </c>
      <c r="BX17" s="19">
        <f>MIN(BX16,MAX(0,BX15))</f>
        <v/>
      </c>
      <c r="BY17" s="19">
        <f>MIN(BY16,MAX(0,BY15))</f>
        <v/>
      </c>
      <c r="BZ17" s="19">
        <f>MIN(BZ16,MAX(0,BZ15))</f>
        <v/>
      </c>
      <c r="CA17" s="19">
        <f>MIN(CA16,MAX(0,CA15))</f>
        <v/>
      </c>
      <c r="CB17" s="19">
        <f>MIN(CB16,MAX(0,CB15))</f>
        <v/>
      </c>
      <c r="CC17" s="19">
        <f>MIN(CC16,MAX(0,CC15))</f>
        <v/>
      </c>
      <c r="CD17" s="19">
        <f>MIN(CD16,MAX(0,CD15))</f>
        <v/>
      </c>
      <c r="CE17" s="19">
        <f>MIN(CE16,MAX(0,CE15))</f>
        <v/>
      </c>
      <c r="CF17" s="19">
        <f>MIN(CF16,MAX(0,CF15))</f>
        <v/>
      </c>
      <c r="CG17" s="19">
        <f>MIN(CG16,MAX(0,CG15))</f>
        <v/>
      </c>
      <c r="CH17" s="19">
        <f>MIN(CH16,MAX(0,CH15))</f>
        <v/>
      </c>
      <c r="CI17" s="19">
        <f>MIN(CI16,MAX(0,CI15))</f>
        <v/>
      </c>
      <c r="CJ17" s="19">
        <f>MIN(CJ16,MAX(0,CJ15))</f>
        <v/>
      </c>
      <c r="CK17" s="19">
        <f>MIN(CK16,MAX(0,CK15))</f>
        <v/>
      </c>
      <c r="CL17" s="19">
        <f>MIN(CL16,MAX(0,CL15))</f>
        <v/>
      </c>
      <c r="CM17" s="19">
        <f>MIN(CM16,MAX(0,CM15))</f>
        <v/>
      </c>
      <c r="CN17" s="19">
        <f>MIN(CN16,MAX(0,CN15))</f>
        <v/>
      </c>
      <c r="CO17" s="19">
        <f>MIN(CO16,MAX(0,CO15))</f>
        <v/>
      </c>
      <c r="CP17" s="19">
        <f>MIN(CP16,MAX(0,CP15))</f>
        <v/>
      </c>
      <c r="CQ17" s="19">
        <f>MIN(CQ16,MAX(0,CQ15))</f>
        <v/>
      </c>
      <c r="CR17" s="19">
        <f>MIN(CR16,MAX(0,CR15))</f>
        <v/>
      </c>
      <c r="CS17" s="19">
        <f>MIN(CS16,MAX(0,CS15))</f>
        <v/>
      </c>
      <c r="CT17" s="19">
        <f>MIN(CT16,MAX(0,CT15))</f>
        <v/>
      </c>
      <c r="CU17" s="19">
        <f>MIN(CU16,MAX(0,CU15))</f>
        <v/>
      </c>
      <c r="CV17" s="19">
        <f>MIN(CV16,MAX(0,CV15))</f>
        <v/>
      </c>
      <c r="CW17" s="19">
        <f>MIN(CW16,MAX(0,CW15))</f>
        <v/>
      </c>
      <c r="CX17" s="19">
        <f>MIN(CX16,MAX(0,CX15))</f>
        <v/>
      </c>
      <c r="CY17" s="19">
        <f>MIN(CY16,MAX(0,CY15))</f>
        <v/>
      </c>
      <c r="CZ17" s="19">
        <f>MIN(CZ16,MAX(0,CZ15))</f>
        <v/>
      </c>
      <c r="DA17" s="19">
        <f>MIN(DA16,MAX(0,DA15))</f>
        <v/>
      </c>
      <c r="DB17" s="19">
        <f>MIN(DB16,MAX(0,DB15))</f>
        <v/>
      </c>
    </row>
    <row r="18">
      <c r="D18" t="inlineStr">
        <is>
          <t>Losses added</t>
        </is>
      </c>
      <c r="E18" t="inlineStr">
        <is>
          <t>ARD m</t>
        </is>
      </c>
      <c r="G18" s="19">
        <f>SUM(J18:DB18)</f>
        <v/>
      </c>
      <c r="J18" s="19">
        <f>MAX(0,-J15)</f>
        <v/>
      </c>
      <c r="K18" s="19">
        <f>MAX(0,-K15)</f>
        <v/>
      </c>
      <c r="L18" s="19">
        <f>MAX(0,-L15)</f>
        <v/>
      </c>
      <c r="M18" s="19">
        <f>MAX(0,-M15)</f>
        <v/>
      </c>
      <c r="N18" s="19">
        <f>MAX(0,-N15)</f>
        <v/>
      </c>
      <c r="O18" s="19">
        <f>MAX(0,-O15)</f>
        <v/>
      </c>
      <c r="P18" s="19">
        <f>MAX(0,-P15)</f>
        <v/>
      </c>
      <c r="Q18" s="19">
        <f>MAX(0,-Q15)</f>
        <v/>
      </c>
      <c r="R18" s="19">
        <f>MAX(0,-R15)</f>
        <v/>
      </c>
      <c r="S18" s="19">
        <f>MAX(0,-S15)</f>
        <v/>
      </c>
      <c r="T18" s="19">
        <f>MAX(0,-T15)</f>
        <v/>
      </c>
      <c r="U18" s="19">
        <f>MAX(0,-U15)</f>
        <v/>
      </c>
      <c r="V18" s="19">
        <f>MAX(0,-V15)</f>
        <v/>
      </c>
      <c r="W18" s="19">
        <f>MAX(0,-W15)</f>
        <v/>
      </c>
      <c r="X18" s="19">
        <f>MAX(0,-X15)</f>
        <v/>
      </c>
      <c r="Y18" s="19">
        <f>MAX(0,-Y15)</f>
        <v/>
      </c>
      <c r="Z18" s="19">
        <f>MAX(0,-Z15)</f>
        <v/>
      </c>
      <c r="AA18" s="19">
        <f>MAX(0,-AA15)</f>
        <v/>
      </c>
      <c r="AB18" s="19">
        <f>MAX(0,-AB15)</f>
        <v/>
      </c>
      <c r="AC18" s="19">
        <f>MAX(0,-AC15)</f>
        <v/>
      </c>
      <c r="AD18" s="19">
        <f>MAX(0,-AD15)</f>
        <v/>
      </c>
      <c r="AE18" s="19">
        <f>MAX(0,-AE15)</f>
        <v/>
      </c>
      <c r="AF18" s="19">
        <f>MAX(0,-AF15)</f>
        <v/>
      </c>
      <c r="AG18" s="19">
        <f>MAX(0,-AG15)</f>
        <v/>
      </c>
      <c r="AH18" s="19">
        <f>MAX(0,-AH15)</f>
        <v/>
      </c>
      <c r="AI18" s="19">
        <f>MAX(0,-AI15)</f>
        <v/>
      </c>
      <c r="AJ18" s="19">
        <f>MAX(0,-AJ15)</f>
        <v/>
      </c>
      <c r="AK18" s="19">
        <f>MAX(0,-AK15)</f>
        <v/>
      </c>
      <c r="AL18" s="19">
        <f>MAX(0,-AL15)</f>
        <v/>
      </c>
      <c r="AM18" s="19">
        <f>MAX(0,-AM15)</f>
        <v/>
      </c>
      <c r="AN18" s="19">
        <f>MAX(0,-AN15)</f>
        <v/>
      </c>
      <c r="AO18" s="19">
        <f>MAX(0,-AO15)</f>
        <v/>
      </c>
      <c r="AP18" s="19">
        <f>MAX(0,-AP15)</f>
        <v/>
      </c>
      <c r="AQ18" s="19">
        <f>MAX(0,-AQ15)</f>
        <v/>
      </c>
      <c r="AR18" s="19">
        <f>MAX(0,-AR15)</f>
        <v/>
      </c>
      <c r="AS18" s="19">
        <f>MAX(0,-AS15)</f>
        <v/>
      </c>
      <c r="AT18" s="19">
        <f>MAX(0,-AT15)</f>
        <v/>
      </c>
      <c r="AU18" s="19">
        <f>MAX(0,-AU15)</f>
        <v/>
      </c>
      <c r="AV18" s="19">
        <f>MAX(0,-AV15)</f>
        <v/>
      </c>
      <c r="AW18" s="19">
        <f>MAX(0,-AW15)</f>
        <v/>
      </c>
      <c r="AX18" s="19">
        <f>MAX(0,-AX15)</f>
        <v/>
      </c>
      <c r="AY18" s="19">
        <f>MAX(0,-AY15)</f>
        <v/>
      </c>
      <c r="AZ18" s="19">
        <f>MAX(0,-AZ15)</f>
        <v/>
      </c>
      <c r="BA18" s="19">
        <f>MAX(0,-BA15)</f>
        <v/>
      </c>
      <c r="BB18" s="19">
        <f>MAX(0,-BB15)</f>
        <v/>
      </c>
      <c r="BC18" s="19">
        <f>MAX(0,-BC15)</f>
        <v/>
      </c>
      <c r="BD18" s="19">
        <f>MAX(0,-BD15)</f>
        <v/>
      </c>
      <c r="BE18" s="19">
        <f>MAX(0,-BE15)</f>
        <v/>
      </c>
      <c r="BF18" s="19">
        <f>MAX(0,-BF15)</f>
        <v/>
      </c>
      <c r="BG18" s="19">
        <f>MAX(0,-BG15)</f>
        <v/>
      </c>
      <c r="BH18" s="19">
        <f>MAX(0,-BH15)</f>
        <v/>
      </c>
      <c r="BI18" s="19">
        <f>MAX(0,-BI15)</f>
        <v/>
      </c>
      <c r="BJ18" s="19">
        <f>MAX(0,-BJ15)</f>
        <v/>
      </c>
      <c r="BK18" s="19">
        <f>MAX(0,-BK15)</f>
        <v/>
      </c>
      <c r="BL18" s="19">
        <f>MAX(0,-BL15)</f>
        <v/>
      </c>
      <c r="BM18" s="19">
        <f>MAX(0,-BM15)</f>
        <v/>
      </c>
      <c r="BN18" s="19">
        <f>MAX(0,-BN15)</f>
        <v/>
      </c>
      <c r="BO18" s="19">
        <f>MAX(0,-BO15)</f>
        <v/>
      </c>
      <c r="BP18" s="19">
        <f>MAX(0,-BP15)</f>
        <v/>
      </c>
      <c r="BQ18" s="19">
        <f>MAX(0,-BQ15)</f>
        <v/>
      </c>
      <c r="BR18" s="19">
        <f>MAX(0,-BR15)</f>
        <v/>
      </c>
      <c r="BS18" s="19">
        <f>MAX(0,-BS15)</f>
        <v/>
      </c>
      <c r="BT18" s="19">
        <f>MAX(0,-BT15)</f>
        <v/>
      </c>
      <c r="BU18" s="19">
        <f>MAX(0,-BU15)</f>
        <v/>
      </c>
      <c r="BV18" s="19">
        <f>MAX(0,-BV15)</f>
        <v/>
      </c>
      <c r="BW18" s="19">
        <f>MAX(0,-BW15)</f>
        <v/>
      </c>
      <c r="BX18" s="19">
        <f>MAX(0,-BX15)</f>
        <v/>
      </c>
      <c r="BY18" s="19">
        <f>MAX(0,-BY15)</f>
        <v/>
      </c>
      <c r="BZ18" s="19">
        <f>MAX(0,-BZ15)</f>
        <v/>
      </c>
      <c r="CA18" s="19">
        <f>MAX(0,-CA15)</f>
        <v/>
      </c>
      <c r="CB18" s="19">
        <f>MAX(0,-CB15)</f>
        <v/>
      </c>
      <c r="CC18" s="19">
        <f>MAX(0,-CC15)</f>
        <v/>
      </c>
      <c r="CD18" s="19">
        <f>MAX(0,-CD15)</f>
        <v/>
      </c>
      <c r="CE18" s="19">
        <f>MAX(0,-CE15)</f>
        <v/>
      </c>
      <c r="CF18" s="19">
        <f>MAX(0,-CF15)</f>
        <v/>
      </c>
      <c r="CG18" s="19">
        <f>MAX(0,-CG15)</f>
        <v/>
      </c>
      <c r="CH18" s="19">
        <f>MAX(0,-CH15)</f>
        <v/>
      </c>
      <c r="CI18" s="19">
        <f>MAX(0,-CI15)</f>
        <v/>
      </c>
      <c r="CJ18" s="19">
        <f>MAX(0,-CJ15)</f>
        <v/>
      </c>
      <c r="CK18" s="19">
        <f>MAX(0,-CK15)</f>
        <v/>
      </c>
      <c r="CL18" s="19">
        <f>MAX(0,-CL15)</f>
        <v/>
      </c>
      <c r="CM18" s="19">
        <f>MAX(0,-CM15)</f>
        <v/>
      </c>
      <c r="CN18" s="19">
        <f>MAX(0,-CN15)</f>
        <v/>
      </c>
      <c r="CO18" s="19">
        <f>MAX(0,-CO15)</f>
        <v/>
      </c>
      <c r="CP18" s="19">
        <f>MAX(0,-CP15)</f>
        <v/>
      </c>
      <c r="CQ18" s="19">
        <f>MAX(0,-CQ15)</f>
        <v/>
      </c>
      <c r="CR18" s="19">
        <f>MAX(0,-CR15)</f>
        <v/>
      </c>
      <c r="CS18" s="19">
        <f>MAX(0,-CS15)</f>
        <v/>
      </c>
      <c r="CT18" s="19">
        <f>MAX(0,-CT15)</f>
        <v/>
      </c>
      <c r="CU18" s="19">
        <f>MAX(0,-CU15)</f>
        <v/>
      </c>
      <c r="CV18" s="19">
        <f>MAX(0,-CV15)</f>
        <v/>
      </c>
      <c r="CW18" s="19">
        <f>MAX(0,-CW15)</f>
        <v/>
      </c>
      <c r="CX18" s="19">
        <f>MAX(0,-CX15)</f>
        <v/>
      </c>
      <c r="CY18" s="19">
        <f>MAX(0,-CY15)</f>
        <v/>
      </c>
      <c r="CZ18" s="19">
        <f>MAX(0,-CZ15)</f>
        <v/>
      </c>
      <c r="DA18" s="19">
        <f>MAX(0,-DA15)</f>
        <v/>
      </c>
      <c r="DB18" s="19">
        <f>MAX(0,-DB15)</f>
        <v/>
      </c>
    </row>
    <row r="19">
      <c r="D19" t="inlineStr">
        <is>
          <t>Forgiven commercial debt (cancelled claims plus shareholder loans)</t>
        </is>
      </c>
      <c r="E19" t="inlineStr">
        <is>
          <t>ARD m</t>
        </is>
      </c>
      <c r="G19" s="19">
        <f>SUM(J19:DB19)</f>
        <v/>
      </c>
      <c r="J19" s="19">
        <f>Time!J35*(Debt!J79+Debt!J80)</f>
        <v/>
      </c>
      <c r="K19" s="19">
        <f>Time!K35*(Debt!K79+Debt!K80)</f>
        <v/>
      </c>
      <c r="L19" s="19">
        <f>Time!L35*(Debt!L79+Debt!L80)</f>
        <v/>
      </c>
      <c r="M19" s="19">
        <f>Time!M35*(Debt!M79+Debt!M80)</f>
        <v/>
      </c>
      <c r="N19" s="19">
        <f>Time!N35*(Debt!N79+Debt!N80)</f>
        <v/>
      </c>
      <c r="O19" s="19">
        <f>Time!O35*(Debt!O79+Debt!O80)</f>
        <v/>
      </c>
      <c r="P19" s="19">
        <f>Time!P35*(Debt!P79+Debt!P80)</f>
        <v/>
      </c>
      <c r="Q19" s="19">
        <f>Time!Q35*(Debt!Q79+Debt!Q80)</f>
        <v/>
      </c>
      <c r="R19" s="19">
        <f>Time!R35*(Debt!R79+Debt!R80)</f>
        <v/>
      </c>
      <c r="S19" s="19">
        <f>Time!S35*(Debt!S79+Debt!S80)</f>
        <v/>
      </c>
      <c r="T19" s="19">
        <f>Time!T35*(Debt!T79+Debt!T80)</f>
        <v/>
      </c>
      <c r="U19" s="19">
        <f>Time!U35*(Debt!U79+Debt!U80)</f>
        <v/>
      </c>
      <c r="V19" s="19">
        <f>Time!V35*(Debt!V79+Debt!V80)</f>
        <v/>
      </c>
      <c r="W19" s="19">
        <f>Time!W35*(Debt!W79+Debt!W80)</f>
        <v/>
      </c>
      <c r="X19" s="19">
        <f>Time!X35*(Debt!X79+Debt!X80)</f>
        <v/>
      </c>
      <c r="Y19" s="19">
        <f>Time!Y35*(Debt!Y79+Debt!Y80)</f>
        <v/>
      </c>
      <c r="Z19" s="19">
        <f>Time!Z35*(Debt!Z79+Debt!Z80)</f>
        <v/>
      </c>
      <c r="AA19" s="19">
        <f>Time!AA35*(Debt!AA79+Debt!AA80)</f>
        <v/>
      </c>
      <c r="AB19" s="19">
        <f>Time!AB35*(Debt!AB79+Debt!AB80)</f>
        <v/>
      </c>
      <c r="AC19" s="19">
        <f>Time!AC35*(Debt!AC79+Debt!AC80)</f>
        <v/>
      </c>
      <c r="AD19" s="19">
        <f>Time!AD35*(Debt!AD79+Debt!AD80)</f>
        <v/>
      </c>
      <c r="AE19" s="19">
        <f>Time!AE35*(Debt!AE79+Debt!AE80)</f>
        <v/>
      </c>
      <c r="AF19" s="19">
        <f>Time!AF35*(Debt!AF79+Debt!AF80)</f>
        <v/>
      </c>
      <c r="AG19" s="19">
        <f>Time!AG35*(Debt!AG79+Debt!AG80)</f>
        <v/>
      </c>
      <c r="AH19" s="19">
        <f>Time!AH35*(Debt!AH79+Debt!AH80)</f>
        <v/>
      </c>
      <c r="AI19" s="19">
        <f>Time!AI35*(Debt!AI79+Debt!AI80)</f>
        <v/>
      </c>
      <c r="AJ19" s="19">
        <f>Time!AJ35*(Debt!AJ79+Debt!AJ80)</f>
        <v/>
      </c>
      <c r="AK19" s="19">
        <f>Time!AK35*(Debt!AK79+Debt!AK80)</f>
        <v/>
      </c>
      <c r="AL19" s="19">
        <f>Time!AL35*(Debt!AL79+Debt!AL80)</f>
        <v/>
      </c>
      <c r="AM19" s="19">
        <f>Time!AM35*(Debt!AM79+Debt!AM80)</f>
        <v/>
      </c>
      <c r="AN19" s="19">
        <f>Time!AN35*(Debt!AN79+Debt!AN80)</f>
        <v/>
      </c>
      <c r="AO19" s="19">
        <f>Time!AO35*(Debt!AO79+Debt!AO80)</f>
        <v/>
      </c>
      <c r="AP19" s="19">
        <f>Time!AP35*(Debt!AP79+Debt!AP80)</f>
        <v/>
      </c>
      <c r="AQ19" s="19">
        <f>Time!AQ35*(Debt!AQ79+Debt!AQ80)</f>
        <v/>
      </c>
      <c r="AR19" s="19">
        <f>Time!AR35*(Debt!AR79+Debt!AR80)</f>
        <v/>
      </c>
      <c r="AS19" s="19">
        <f>Time!AS35*(Debt!AS79+Debt!AS80)</f>
        <v/>
      </c>
      <c r="AT19" s="19">
        <f>Time!AT35*(Debt!AT79+Debt!AT80)</f>
        <v/>
      </c>
      <c r="AU19" s="19">
        <f>Time!AU35*(Debt!AU79+Debt!AU80)</f>
        <v/>
      </c>
      <c r="AV19" s="19">
        <f>Time!AV35*(Debt!AV79+Debt!AV80)</f>
        <v/>
      </c>
      <c r="AW19" s="19">
        <f>Time!AW35*(Debt!AW79+Debt!AW80)</f>
        <v/>
      </c>
      <c r="AX19" s="19">
        <f>Time!AX35*(Debt!AX79+Debt!AX80)</f>
        <v/>
      </c>
      <c r="AY19" s="19">
        <f>Time!AY35*(Debt!AY79+Debt!AY80)</f>
        <v/>
      </c>
      <c r="AZ19" s="19">
        <f>Time!AZ35*(Debt!AZ79+Debt!AZ80)</f>
        <v/>
      </c>
      <c r="BA19" s="19">
        <f>Time!BA35*(Debt!BA79+Debt!BA80)</f>
        <v/>
      </c>
      <c r="BB19" s="19">
        <f>Time!BB35*(Debt!BB79+Debt!BB80)</f>
        <v/>
      </c>
      <c r="BC19" s="19">
        <f>Time!BC35*(Debt!BC79+Debt!BC80)</f>
        <v/>
      </c>
      <c r="BD19" s="19">
        <f>Time!BD35*(Debt!BD79+Debt!BD80)</f>
        <v/>
      </c>
      <c r="BE19" s="19">
        <f>Time!BE35*(Debt!BE79+Debt!BE80)</f>
        <v/>
      </c>
      <c r="BF19" s="19">
        <f>Time!BF35*(Debt!BF79+Debt!BF80)</f>
        <v/>
      </c>
      <c r="BG19" s="19">
        <f>Time!BG35*(Debt!BG79+Debt!BG80)</f>
        <v/>
      </c>
      <c r="BH19" s="19">
        <f>Time!BH35*(Debt!BH79+Debt!BH80)</f>
        <v/>
      </c>
      <c r="BI19" s="19">
        <f>Time!BI35*(Debt!BI79+Debt!BI80)</f>
        <v/>
      </c>
      <c r="BJ19" s="19">
        <f>Time!BJ35*(Debt!BJ79+Debt!BJ80)</f>
        <v/>
      </c>
      <c r="BK19" s="19">
        <f>Time!BK35*(Debt!BK79+Debt!BK80)</f>
        <v/>
      </c>
      <c r="BL19" s="19">
        <f>Time!BL35*(Debt!BL79+Debt!BL80)</f>
        <v/>
      </c>
      <c r="BM19" s="19">
        <f>Time!BM35*(Debt!BM79+Debt!BM80)</f>
        <v/>
      </c>
      <c r="BN19" s="19">
        <f>Time!BN35*(Debt!BN79+Debt!BN80)</f>
        <v/>
      </c>
      <c r="BO19" s="19">
        <f>Time!BO35*(Debt!BO79+Debt!BO80)</f>
        <v/>
      </c>
      <c r="BP19" s="19">
        <f>Time!BP35*(Debt!BP79+Debt!BP80)</f>
        <v/>
      </c>
      <c r="BQ19" s="19">
        <f>Time!BQ35*(Debt!BQ79+Debt!BQ80)</f>
        <v/>
      </c>
      <c r="BR19" s="19">
        <f>Time!BR35*(Debt!BR79+Debt!BR80)</f>
        <v/>
      </c>
      <c r="BS19" s="19">
        <f>Time!BS35*(Debt!BS79+Debt!BS80)</f>
        <v/>
      </c>
      <c r="BT19" s="19">
        <f>Time!BT35*(Debt!BT79+Debt!BT80)</f>
        <v/>
      </c>
      <c r="BU19" s="19">
        <f>Time!BU35*(Debt!BU79+Debt!BU80)</f>
        <v/>
      </c>
      <c r="BV19" s="19">
        <f>Time!BV35*(Debt!BV79+Debt!BV80)</f>
        <v/>
      </c>
      <c r="BW19" s="19">
        <f>Time!BW35*(Debt!BW79+Debt!BW80)</f>
        <v/>
      </c>
      <c r="BX19" s="19">
        <f>Time!BX35*(Debt!BX79+Debt!BX80)</f>
        <v/>
      </c>
      <c r="BY19" s="19">
        <f>Time!BY35*(Debt!BY79+Debt!BY80)</f>
        <v/>
      </c>
      <c r="BZ19" s="19">
        <f>Time!BZ35*(Debt!BZ79+Debt!BZ80)</f>
        <v/>
      </c>
      <c r="CA19" s="19">
        <f>Time!CA35*(Debt!CA79+Debt!CA80)</f>
        <v/>
      </c>
      <c r="CB19" s="19">
        <f>Time!CB35*(Debt!CB79+Debt!CB80)</f>
        <v/>
      </c>
      <c r="CC19" s="19">
        <f>Time!CC35*(Debt!CC79+Debt!CC80)</f>
        <v/>
      </c>
      <c r="CD19" s="19">
        <f>Time!CD35*(Debt!CD79+Debt!CD80)</f>
        <v/>
      </c>
      <c r="CE19" s="19">
        <f>Time!CE35*(Debt!CE79+Debt!CE80)</f>
        <v/>
      </c>
      <c r="CF19" s="19">
        <f>Time!CF35*(Debt!CF79+Debt!CF80)</f>
        <v/>
      </c>
      <c r="CG19" s="19">
        <f>Time!CG35*(Debt!CG79+Debt!CG80)</f>
        <v/>
      </c>
      <c r="CH19" s="19">
        <f>Time!CH35*(Debt!CH79+Debt!CH80)</f>
        <v/>
      </c>
      <c r="CI19" s="19">
        <f>Time!CI35*(Debt!CI79+Debt!CI80)</f>
        <v/>
      </c>
      <c r="CJ19" s="19">
        <f>Time!CJ35*(Debt!CJ79+Debt!CJ80)</f>
        <v/>
      </c>
      <c r="CK19" s="19">
        <f>Time!CK35*(Debt!CK79+Debt!CK80)</f>
        <v/>
      </c>
      <c r="CL19" s="19">
        <f>Time!CL35*(Debt!CL79+Debt!CL80)</f>
        <v/>
      </c>
      <c r="CM19" s="19">
        <f>Time!CM35*(Debt!CM79+Debt!CM80)</f>
        <v/>
      </c>
      <c r="CN19" s="19">
        <f>Time!CN35*(Debt!CN79+Debt!CN80)</f>
        <v/>
      </c>
      <c r="CO19" s="19">
        <f>Time!CO35*(Debt!CO79+Debt!CO80)</f>
        <v/>
      </c>
      <c r="CP19" s="19">
        <f>Time!CP35*(Debt!CP79+Debt!CP80)</f>
        <v/>
      </c>
      <c r="CQ19" s="19">
        <f>Time!CQ35*(Debt!CQ79+Debt!CQ80)</f>
        <v/>
      </c>
      <c r="CR19" s="19">
        <f>Time!CR35*(Debt!CR79+Debt!CR80)</f>
        <v/>
      </c>
      <c r="CS19" s="19">
        <f>Time!CS35*(Debt!CS79+Debt!CS80)</f>
        <v/>
      </c>
      <c r="CT19" s="19">
        <f>Time!CT35*(Debt!CT79+Debt!CT80)</f>
        <v/>
      </c>
      <c r="CU19" s="19">
        <f>Time!CU35*(Debt!CU79+Debt!CU80)</f>
        <v/>
      </c>
      <c r="CV19" s="19">
        <f>Time!CV35*(Debt!CV79+Debt!CV80)</f>
        <v/>
      </c>
      <c r="CW19" s="19">
        <f>Time!CW35*(Debt!CW79+Debt!CW80)</f>
        <v/>
      </c>
      <c r="CX19" s="19">
        <f>Time!CX35*(Debt!CX79+Debt!CX80)</f>
        <v/>
      </c>
      <c r="CY19" s="19">
        <f>Time!CY35*(Debt!CY79+Debt!CY80)</f>
        <v/>
      </c>
      <c r="CZ19" s="19">
        <f>Time!CZ35*(Debt!CZ79+Debt!CZ80)</f>
        <v/>
      </c>
      <c r="DA19" s="19">
        <f>Time!DA35*(Debt!DA79+Debt!DA80)</f>
        <v/>
      </c>
      <c r="DB19" s="19">
        <f>Time!DB35*(Debt!DB79+Debt!DB80)</f>
        <v/>
      </c>
    </row>
    <row r="20">
      <c r="D20" t="inlineStr">
        <is>
          <t>Forgiveness applied to losses</t>
        </is>
      </c>
      <c r="E20" t="inlineStr">
        <is>
          <t>ARD m</t>
        </is>
      </c>
      <c r="G20" s="19">
        <f>SUM(J20:DB20)</f>
        <v/>
      </c>
      <c r="J20" s="19">
        <f>MIN(J19,J16-J17+J18)</f>
        <v/>
      </c>
      <c r="K20" s="19">
        <f>MIN(K19,K16-K17+K18)</f>
        <v/>
      </c>
      <c r="L20" s="19">
        <f>MIN(L19,L16-L17+L18)</f>
        <v/>
      </c>
      <c r="M20" s="19">
        <f>MIN(M19,M16-M17+M18)</f>
        <v/>
      </c>
      <c r="N20" s="19">
        <f>MIN(N19,N16-N17+N18)</f>
        <v/>
      </c>
      <c r="O20" s="19">
        <f>MIN(O19,O16-O17+O18)</f>
        <v/>
      </c>
      <c r="P20" s="19">
        <f>MIN(P19,P16-P17+P18)</f>
        <v/>
      </c>
      <c r="Q20" s="19">
        <f>MIN(Q19,Q16-Q17+Q18)</f>
        <v/>
      </c>
      <c r="R20" s="19">
        <f>MIN(R19,R16-R17+R18)</f>
        <v/>
      </c>
      <c r="S20" s="19">
        <f>MIN(S19,S16-S17+S18)</f>
        <v/>
      </c>
      <c r="T20" s="19">
        <f>MIN(T19,T16-T17+T18)</f>
        <v/>
      </c>
      <c r="U20" s="19">
        <f>MIN(U19,U16-U17+U18)</f>
        <v/>
      </c>
      <c r="V20" s="19">
        <f>MIN(V19,V16-V17+V18)</f>
        <v/>
      </c>
      <c r="W20" s="19">
        <f>MIN(W19,W16-W17+W18)</f>
        <v/>
      </c>
      <c r="X20" s="19">
        <f>MIN(X19,X16-X17+X18)</f>
        <v/>
      </c>
      <c r="Y20" s="19">
        <f>MIN(Y19,Y16-Y17+Y18)</f>
        <v/>
      </c>
      <c r="Z20" s="19">
        <f>MIN(Z19,Z16-Z17+Z18)</f>
        <v/>
      </c>
      <c r="AA20" s="19">
        <f>MIN(AA19,AA16-AA17+AA18)</f>
        <v/>
      </c>
      <c r="AB20" s="19">
        <f>MIN(AB19,AB16-AB17+AB18)</f>
        <v/>
      </c>
      <c r="AC20" s="19">
        <f>MIN(AC19,AC16-AC17+AC18)</f>
        <v/>
      </c>
      <c r="AD20" s="19">
        <f>MIN(AD19,AD16-AD17+AD18)</f>
        <v/>
      </c>
      <c r="AE20" s="19">
        <f>MIN(AE19,AE16-AE17+AE18)</f>
        <v/>
      </c>
      <c r="AF20" s="19">
        <f>MIN(AF19,AF16-AF17+AF18)</f>
        <v/>
      </c>
      <c r="AG20" s="19">
        <f>MIN(AG19,AG16-AG17+AG18)</f>
        <v/>
      </c>
      <c r="AH20" s="19">
        <f>MIN(AH19,AH16-AH17+AH18)</f>
        <v/>
      </c>
      <c r="AI20" s="19">
        <f>MIN(AI19,AI16-AI17+AI18)</f>
        <v/>
      </c>
      <c r="AJ20" s="19">
        <f>MIN(AJ19,AJ16-AJ17+AJ18)</f>
        <v/>
      </c>
      <c r="AK20" s="19">
        <f>MIN(AK19,AK16-AK17+AK18)</f>
        <v/>
      </c>
      <c r="AL20" s="19">
        <f>MIN(AL19,AL16-AL17+AL18)</f>
        <v/>
      </c>
      <c r="AM20" s="19">
        <f>MIN(AM19,AM16-AM17+AM18)</f>
        <v/>
      </c>
      <c r="AN20" s="19">
        <f>MIN(AN19,AN16-AN17+AN18)</f>
        <v/>
      </c>
      <c r="AO20" s="19">
        <f>MIN(AO19,AO16-AO17+AO18)</f>
        <v/>
      </c>
      <c r="AP20" s="19">
        <f>MIN(AP19,AP16-AP17+AP18)</f>
        <v/>
      </c>
      <c r="AQ20" s="19">
        <f>MIN(AQ19,AQ16-AQ17+AQ18)</f>
        <v/>
      </c>
      <c r="AR20" s="19">
        <f>MIN(AR19,AR16-AR17+AR18)</f>
        <v/>
      </c>
      <c r="AS20" s="19">
        <f>MIN(AS19,AS16-AS17+AS18)</f>
        <v/>
      </c>
      <c r="AT20" s="19">
        <f>MIN(AT19,AT16-AT17+AT18)</f>
        <v/>
      </c>
      <c r="AU20" s="19">
        <f>MIN(AU19,AU16-AU17+AU18)</f>
        <v/>
      </c>
      <c r="AV20" s="19">
        <f>MIN(AV19,AV16-AV17+AV18)</f>
        <v/>
      </c>
      <c r="AW20" s="19">
        <f>MIN(AW19,AW16-AW17+AW18)</f>
        <v/>
      </c>
      <c r="AX20" s="19">
        <f>MIN(AX19,AX16-AX17+AX18)</f>
        <v/>
      </c>
      <c r="AY20" s="19">
        <f>MIN(AY19,AY16-AY17+AY18)</f>
        <v/>
      </c>
      <c r="AZ20" s="19">
        <f>MIN(AZ19,AZ16-AZ17+AZ18)</f>
        <v/>
      </c>
      <c r="BA20" s="19">
        <f>MIN(BA19,BA16-BA17+BA18)</f>
        <v/>
      </c>
      <c r="BB20" s="19">
        <f>MIN(BB19,BB16-BB17+BB18)</f>
        <v/>
      </c>
      <c r="BC20" s="19">
        <f>MIN(BC19,BC16-BC17+BC18)</f>
        <v/>
      </c>
      <c r="BD20" s="19">
        <f>MIN(BD19,BD16-BD17+BD18)</f>
        <v/>
      </c>
      <c r="BE20" s="19">
        <f>MIN(BE19,BE16-BE17+BE18)</f>
        <v/>
      </c>
      <c r="BF20" s="19">
        <f>MIN(BF19,BF16-BF17+BF18)</f>
        <v/>
      </c>
      <c r="BG20" s="19">
        <f>MIN(BG19,BG16-BG17+BG18)</f>
        <v/>
      </c>
      <c r="BH20" s="19">
        <f>MIN(BH19,BH16-BH17+BH18)</f>
        <v/>
      </c>
      <c r="BI20" s="19">
        <f>MIN(BI19,BI16-BI17+BI18)</f>
        <v/>
      </c>
      <c r="BJ20" s="19">
        <f>MIN(BJ19,BJ16-BJ17+BJ18)</f>
        <v/>
      </c>
      <c r="BK20" s="19">
        <f>MIN(BK19,BK16-BK17+BK18)</f>
        <v/>
      </c>
      <c r="BL20" s="19">
        <f>MIN(BL19,BL16-BL17+BL18)</f>
        <v/>
      </c>
      <c r="BM20" s="19">
        <f>MIN(BM19,BM16-BM17+BM18)</f>
        <v/>
      </c>
      <c r="BN20" s="19">
        <f>MIN(BN19,BN16-BN17+BN18)</f>
        <v/>
      </c>
      <c r="BO20" s="19">
        <f>MIN(BO19,BO16-BO17+BO18)</f>
        <v/>
      </c>
      <c r="BP20" s="19">
        <f>MIN(BP19,BP16-BP17+BP18)</f>
        <v/>
      </c>
      <c r="BQ20" s="19">
        <f>MIN(BQ19,BQ16-BQ17+BQ18)</f>
        <v/>
      </c>
      <c r="BR20" s="19">
        <f>MIN(BR19,BR16-BR17+BR18)</f>
        <v/>
      </c>
      <c r="BS20" s="19">
        <f>MIN(BS19,BS16-BS17+BS18)</f>
        <v/>
      </c>
      <c r="BT20" s="19">
        <f>MIN(BT19,BT16-BT17+BT18)</f>
        <v/>
      </c>
      <c r="BU20" s="19">
        <f>MIN(BU19,BU16-BU17+BU18)</f>
        <v/>
      </c>
      <c r="BV20" s="19">
        <f>MIN(BV19,BV16-BV17+BV18)</f>
        <v/>
      </c>
      <c r="BW20" s="19">
        <f>MIN(BW19,BW16-BW17+BW18)</f>
        <v/>
      </c>
      <c r="BX20" s="19">
        <f>MIN(BX19,BX16-BX17+BX18)</f>
        <v/>
      </c>
      <c r="BY20" s="19">
        <f>MIN(BY19,BY16-BY17+BY18)</f>
        <v/>
      </c>
      <c r="BZ20" s="19">
        <f>MIN(BZ19,BZ16-BZ17+BZ18)</f>
        <v/>
      </c>
      <c r="CA20" s="19">
        <f>MIN(CA19,CA16-CA17+CA18)</f>
        <v/>
      </c>
      <c r="CB20" s="19">
        <f>MIN(CB19,CB16-CB17+CB18)</f>
        <v/>
      </c>
      <c r="CC20" s="19">
        <f>MIN(CC19,CC16-CC17+CC18)</f>
        <v/>
      </c>
      <c r="CD20" s="19">
        <f>MIN(CD19,CD16-CD17+CD18)</f>
        <v/>
      </c>
      <c r="CE20" s="19">
        <f>MIN(CE19,CE16-CE17+CE18)</f>
        <v/>
      </c>
      <c r="CF20" s="19">
        <f>MIN(CF19,CF16-CF17+CF18)</f>
        <v/>
      </c>
      <c r="CG20" s="19">
        <f>MIN(CG19,CG16-CG17+CG18)</f>
        <v/>
      </c>
      <c r="CH20" s="19">
        <f>MIN(CH19,CH16-CH17+CH18)</f>
        <v/>
      </c>
      <c r="CI20" s="19">
        <f>MIN(CI19,CI16-CI17+CI18)</f>
        <v/>
      </c>
      <c r="CJ20" s="19">
        <f>MIN(CJ19,CJ16-CJ17+CJ18)</f>
        <v/>
      </c>
      <c r="CK20" s="19">
        <f>MIN(CK19,CK16-CK17+CK18)</f>
        <v/>
      </c>
      <c r="CL20" s="19">
        <f>MIN(CL19,CL16-CL17+CL18)</f>
        <v/>
      </c>
      <c r="CM20" s="19">
        <f>MIN(CM19,CM16-CM17+CM18)</f>
        <v/>
      </c>
      <c r="CN20" s="19">
        <f>MIN(CN19,CN16-CN17+CN18)</f>
        <v/>
      </c>
      <c r="CO20" s="19">
        <f>MIN(CO19,CO16-CO17+CO18)</f>
        <v/>
      </c>
      <c r="CP20" s="19">
        <f>MIN(CP19,CP16-CP17+CP18)</f>
        <v/>
      </c>
      <c r="CQ20" s="19">
        <f>MIN(CQ19,CQ16-CQ17+CQ18)</f>
        <v/>
      </c>
      <c r="CR20" s="19">
        <f>MIN(CR19,CR16-CR17+CR18)</f>
        <v/>
      </c>
      <c r="CS20" s="19">
        <f>MIN(CS19,CS16-CS17+CS18)</f>
        <v/>
      </c>
      <c r="CT20" s="19">
        <f>MIN(CT19,CT16-CT17+CT18)</f>
        <v/>
      </c>
      <c r="CU20" s="19">
        <f>MIN(CU19,CU16-CU17+CU18)</f>
        <v/>
      </c>
      <c r="CV20" s="19">
        <f>MIN(CV19,CV16-CV17+CV18)</f>
        <v/>
      </c>
      <c r="CW20" s="19">
        <f>MIN(CW19,CW16-CW17+CW18)</f>
        <v/>
      </c>
      <c r="CX20" s="19">
        <f>MIN(CX19,CX16-CX17+CX18)</f>
        <v/>
      </c>
      <c r="CY20" s="19">
        <f>MIN(CY19,CY16-CY17+CY18)</f>
        <v/>
      </c>
      <c r="CZ20" s="19">
        <f>MIN(CZ19,CZ16-CZ17+CZ18)</f>
        <v/>
      </c>
      <c r="DA20" s="19">
        <f>MIN(DA19,DA16-DA17+DA18)</f>
        <v/>
      </c>
      <c r="DB20" s="19">
        <f>MIN(DB19,DB16-DB17+DB18)</f>
        <v/>
      </c>
    </row>
    <row r="21">
      <c r="D21" t="inlineStr">
        <is>
          <t>Tax losses carried forward</t>
        </is>
      </c>
      <c r="E21" t="inlineStr">
        <is>
          <t>ARD m</t>
        </is>
      </c>
      <c r="J21" s="19">
        <f>J16-J17+J18-J20</f>
        <v/>
      </c>
      <c r="K21" s="19">
        <f>K16-K17+K18-K20</f>
        <v/>
      </c>
      <c r="L21" s="19">
        <f>L16-L17+L18-L20</f>
        <v/>
      </c>
      <c r="M21" s="19">
        <f>M16-M17+M18-M20</f>
        <v/>
      </c>
      <c r="N21" s="19">
        <f>N16-N17+N18-N20</f>
        <v/>
      </c>
      <c r="O21" s="19">
        <f>O16-O17+O18-O20</f>
        <v/>
      </c>
      <c r="P21" s="19">
        <f>P16-P17+P18-P20</f>
        <v/>
      </c>
      <c r="Q21" s="19">
        <f>Q16-Q17+Q18-Q20</f>
        <v/>
      </c>
      <c r="R21" s="19">
        <f>R16-R17+R18-R20</f>
        <v/>
      </c>
      <c r="S21" s="19">
        <f>S16-S17+S18-S20</f>
        <v/>
      </c>
      <c r="T21" s="19">
        <f>T16-T17+T18-T20</f>
        <v/>
      </c>
      <c r="U21" s="19">
        <f>U16-U17+U18-U20</f>
        <v/>
      </c>
      <c r="V21" s="19">
        <f>V16-V17+V18-V20</f>
        <v/>
      </c>
      <c r="W21" s="19">
        <f>W16-W17+W18-W20</f>
        <v/>
      </c>
      <c r="X21" s="19">
        <f>X16-X17+X18-X20</f>
        <v/>
      </c>
      <c r="Y21" s="19">
        <f>Y16-Y17+Y18-Y20</f>
        <v/>
      </c>
      <c r="Z21" s="19">
        <f>Z16-Z17+Z18-Z20</f>
        <v/>
      </c>
      <c r="AA21" s="19">
        <f>AA16-AA17+AA18-AA20</f>
        <v/>
      </c>
      <c r="AB21" s="19">
        <f>AB16-AB17+AB18-AB20</f>
        <v/>
      </c>
      <c r="AC21" s="19">
        <f>AC16-AC17+AC18-AC20</f>
        <v/>
      </c>
      <c r="AD21" s="19">
        <f>AD16-AD17+AD18-AD20</f>
        <v/>
      </c>
      <c r="AE21" s="19">
        <f>AE16-AE17+AE18-AE20</f>
        <v/>
      </c>
      <c r="AF21" s="19">
        <f>AF16-AF17+AF18-AF20</f>
        <v/>
      </c>
      <c r="AG21" s="19">
        <f>AG16-AG17+AG18-AG20</f>
        <v/>
      </c>
      <c r="AH21" s="19">
        <f>AH16-AH17+AH18-AH20</f>
        <v/>
      </c>
      <c r="AI21" s="19">
        <f>AI16-AI17+AI18-AI20</f>
        <v/>
      </c>
      <c r="AJ21" s="19">
        <f>AJ16-AJ17+AJ18-AJ20</f>
        <v/>
      </c>
      <c r="AK21" s="19">
        <f>AK16-AK17+AK18-AK20</f>
        <v/>
      </c>
      <c r="AL21" s="19">
        <f>AL16-AL17+AL18-AL20</f>
        <v/>
      </c>
      <c r="AM21" s="19">
        <f>AM16-AM17+AM18-AM20</f>
        <v/>
      </c>
      <c r="AN21" s="19">
        <f>AN16-AN17+AN18-AN20</f>
        <v/>
      </c>
      <c r="AO21" s="19">
        <f>AO16-AO17+AO18-AO20</f>
        <v/>
      </c>
      <c r="AP21" s="19">
        <f>AP16-AP17+AP18-AP20</f>
        <v/>
      </c>
      <c r="AQ21" s="19">
        <f>AQ16-AQ17+AQ18-AQ20</f>
        <v/>
      </c>
      <c r="AR21" s="19">
        <f>AR16-AR17+AR18-AR20</f>
        <v/>
      </c>
      <c r="AS21" s="19">
        <f>AS16-AS17+AS18-AS20</f>
        <v/>
      </c>
      <c r="AT21" s="19">
        <f>AT16-AT17+AT18-AT20</f>
        <v/>
      </c>
      <c r="AU21" s="19">
        <f>AU16-AU17+AU18-AU20</f>
        <v/>
      </c>
      <c r="AV21" s="19">
        <f>AV16-AV17+AV18-AV20</f>
        <v/>
      </c>
      <c r="AW21" s="19">
        <f>AW16-AW17+AW18-AW20</f>
        <v/>
      </c>
      <c r="AX21" s="19">
        <f>AX16-AX17+AX18-AX20</f>
        <v/>
      </c>
      <c r="AY21" s="19">
        <f>AY16-AY17+AY18-AY20</f>
        <v/>
      </c>
      <c r="AZ21" s="19">
        <f>AZ16-AZ17+AZ18-AZ20</f>
        <v/>
      </c>
      <c r="BA21" s="19">
        <f>BA16-BA17+BA18-BA20</f>
        <v/>
      </c>
      <c r="BB21" s="19">
        <f>BB16-BB17+BB18-BB20</f>
        <v/>
      </c>
      <c r="BC21" s="19">
        <f>BC16-BC17+BC18-BC20</f>
        <v/>
      </c>
      <c r="BD21" s="19">
        <f>BD16-BD17+BD18-BD20</f>
        <v/>
      </c>
      <c r="BE21" s="19">
        <f>BE16-BE17+BE18-BE20</f>
        <v/>
      </c>
      <c r="BF21" s="19">
        <f>BF16-BF17+BF18-BF20</f>
        <v/>
      </c>
      <c r="BG21" s="19">
        <f>BG16-BG17+BG18-BG20</f>
        <v/>
      </c>
      <c r="BH21" s="19">
        <f>BH16-BH17+BH18-BH20</f>
        <v/>
      </c>
      <c r="BI21" s="19">
        <f>BI16-BI17+BI18-BI20</f>
        <v/>
      </c>
      <c r="BJ21" s="19">
        <f>BJ16-BJ17+BJ18-BJ20</f>
        <v/>
      </c>
      <c r="BK21" s="19">
        <f>BK16-BK17+BK18-BK20</f>
        <v/>
      </c>
      <c r="BL21" s="19">
        <f>BL16-BL17+BL18-BL20</f>
        <v/>
      </c>
      <c r="BM21" s="19">
        <f>BM16-BM17+BM18-BM20</f>
        <v/>
      </c>
      <c r="BN21" s="19">
        <f>BN16-BN17+BN18-BN20</f>
        <v/>
      </c>
      <c r="BO21" s="19">
        <f>BO16-BO17+BO18-BO20</f>
        <v/>
      </c>
      <c r="BP21" s="19">
        <f>BP16-BP17+BP18-BP20</f>
        <v/>
      </c>
      <c r="BQ21" s="19">
        <f>BQ16-BQ17+BQ18-BQ20</f>
        <v/>
      </c>
      <c r="BR21" s="19">
        <f>BR16-BR17+BR18-BR20</f>
        <v/>
      </c>
      <c r="BS21" s="19">
        <f>BS16-BS17+BS18-BS20</f>
        <v/>
      </c>
      <c r="BT21" s="19">
        <f>BT16-BT17+BT18-BT20</f>
        <v/>
      </c>
      <c r="BU21" s="19">
        <f>BU16-BU17+BU18-BU20</f>
        <v/>
      </c>
      <c r="BV21" s="19">
        <f>BV16-BV17+BV18-BV20</f>
        <v/>
      </c>
      <c r="BW21" s="19">
        <f>BW16-BW17+BW18-BW20</f>
        <v/>
      </c>
      <c r="BX21" s="19">
        <f>BX16-BX17+BX18-BX20</f>
        <v/>
      </c>
      <c r="BY21" s="19">
        <f>BY16-BY17+BY18-BY20</f>
        <v/>
      </c>
      <c r="BZ21" s="19">
        <f>BZ16-BZ17+BZ18-BZ20</f>
        <v/>
      </c>
      <c r="CA21" s="19">
        <f>CA16-CA17+CA18-CA20</f>
        <v/>
      </c>
      <c r="CB21" s="19">
        <f>CB16-CB17+CB18-CB20</f>
        <v/>
      </c>
      <c r="CC21" s="19">
        <f>CC16-CC17+CC18-CC20</f>
        <v/>
      </c>
      <c r="CD21" s="19">
        <f>CD16-CD17+CD18-CD20</f>
        <v/>
      </c>
      <c r="CE21" s="19">
        <f>CE16-CE17+CE18-CE20</f>
        <v/>
      </c>
      <c r="CF21" s="19">
        <f>CF16-CF17+CF18-CF20</f>
        <v/>
      </c>
      <c r="CG21" s="19">
        <f>CG16-CG17+CG18-CG20</f>
        <v/>
      </c>
      <c r="CH21" s="19">
        <f>CH16-CH17+CH18-CH20</f>
        <v/>
      </c>
      <c r="CI21" s="19">
        <f>CI16-CI17+CI18-CI20</f>
        <v/>
      </c>
      <c r="CJ21" s="19">
        <f>CJ16-CJ17+CJ18-CJ20</f>
        <v/>
      </c>
      <c r="CK21" s="19">
        <f>CK16-CK17+CK18-CK20</f>
        <v/>
      </c>
      <c r="CL21" s="19">
        <f>CL16-CL17+CL18-CL20</f>
        <v/>
      </c>
      <c r="CM21" s="19">
        <f>CM16-CM17+CM18-CM20</f>
        <v/>
      </c>
      <c r="CN21" s="19">
        <f>CN16-CN17+CN18-CN20</f>
        <v/>
      </c>
      <c r="CO21" s="19">
        <f>CO16-CO17+CO18-CO20</f>
        <v/>
      </c>
      <c r="CP21" s="19">
        <f>CP16-CP17+CP18-CP20</f>
        <v/>
      </c>
      <c r="CQ21" s="19">
        <f>CQ16-CQ17+CQ18-CQ20</f>
        <v/>
      </c>
      <c r="CR21" s="19">
        <f>CR16-CR17+CR18-CR20</f>
        <v/>
      </c>
      <c r="CS21" s="19">
        <f>CS16-CS17+CS18-CS20</f>
        <v/>
      </c>
      <c r="CT21" s="19">
        <f>CT16-CT17+CT18-CT20</f>
        <v/>
      </c>
      <c r="CU21" s="19">
        <f>CU16-CU17+CU18-CU20</f>
        <v/>
      </c>
      <c r="CV21" s="19">
        <f>CV16-CV17+CV18-CV20</f>
        <v/>
      </c>
      <c r="CW21" s="19">
        <f>CW16-CW17+CW18-CW20</f>
        <v/>
      </c>
      <c r="CX21" s="19">
        <f>CX16-CX17+CX18-CX20</f>
        <v/>
      </c>
      <c r="CY21" s="19">
        <f>CY16-CY17+CY18-CY20</f>
        <v/>
      </c>
      <c r="CZ21" s="19">
        <f>CZ16-CZ17+CZ18-CZ20</f>
        <v/>
      </c>
      <c r="DA21" s="19">
        <f>DA16-DA17+DA18-DA20</f>
        <v/>
      </c>
      <c r="DB21" s="19">
        <f>DB16-DB17+DB18-DB20</f>
        <v/>
      </c>
    </row>
    <row r="22">
      <c r="D22" t="inlineStr">
        <is>
          <t>Taxable income after losses</t>
        </is>
      </c>
      <c r="E22" t="inlineStr">
        <is>
          <t>ARD m</t>
        </is>
      </c>
      <c r="G22" s="19">
        <f>SUM(J22:DB22)</f>
        <v/>
      </c>
      <c r="J22" s="19">
        <f>MAX(0,J15)-J17</f>
        <v/>
      </c>
      <c r="K22" s="19">
        <f>MAX(0,K15)-K17</f>
        <v/>
      </c>
      <c r="L22" s="19">
        <f>MAX(0,L15)-L17</f>
        <v/>
      </c>
      <c r="M22" s="19">
        <f>MAX(0,M15)-M17</f>
        <v/>
      </c>
      <c r="N22" s="19">
        <f>MAX(0,N15)-N17</f>
        <v/>
      </c>
      <c r="O22" s="19">
        <f>MAX(0,O15)-O17</f>
        <v/>
      </c>
      <c r="P22" s="19">
        <f>MAX(0,P15)-P17</f>
        <v/>
      </c>
      <c r="Q22" s="19">
        <f>MAX(0,Q15)-Q17</f>
        <v/>
      </c>
      <c r="R22" s="19">
        <f>MAX(0,R15)-R17</f>
        <v/>
      </c>
      <c r="S22" s="19">
        <f>MAX(0,S15)-S17</f>
        <v/>
      </c>
      <c r="T22" s="19">
        <f>MAX(0,T15)-T17</f>
        <v/>
      </c>
      <c r="U22" s="19">
        <f>MAX(0,U15)-U17</f>
        <v/>
      </c>
      <c r="V22" s="19">
        <f>MAX(0,V15)-V17</f>
        <v/>
      </c>
      <c r="W22" s="19">
        <f>MAX(0,W15)-W17</f>
        <v/>
      </c>
      <c r="X22" s="19">
        <f>MAX(0,X15)-X17</f>
        <v/>
      </c>
      <c r="Y22" s="19">
        <f>MAX(0,Y15)-Y17</f>
        <v/>
      </c>
      <c r="Z22" s="19">
        <f>MAX(0,Z15)-Z17</f>
        <v/>
      </c>
      <c r="AA22" s="19">
        <f>MAX(0,AA15)-AA17</f>
        <v/>
      </c>
      <c r="AB22" s="19">
        <f>MAX(0,AB15)-AB17</f>
        <v/>
      </c>
      <c r="AC22" s="19">
        <f>MAX(0,AC15)-AC17</f>
        <v/>
      </c>
      <c r="AD22" s="19">
        <f>MAX(0,AD15)-AD17</f>
        <v/>
      </c>
      <c r="AE22" s="19">
        <f>MAX(0,AE15)-AE17</f>
        <v/>
      </c>
      <c r="AF22" s="19">
        <f>MAX(0,AF15)-AF17</f>
        <v/>
      </c>
      <c r="AG22" s="19">
        <f>MAX(0,AG15)-AG17</f>
        <v/>
      </c>
      <c r="AH22" s="19">
        <f>MAX(0,AH15)-AH17</f>
        <v/>
      </c>
      <c r="AI22" s="19">
        <f>MAX(0,AI15)-AI17</f>
        <v/>
      </c>
      <c r="AJ22" s="19">
        <f>MAX(0,AJ15)-AJ17</f>
        <v/>
      </c>
      <c r="AK22" s="19">
        <f>MAX(0,AK15)-AK17</f>
        <v/>
      </c>
      <c r="AL22" s="19">
        <f>MAX(0,AL15)-AL17</f>
        <v/>
      </c>
      <c r="AM22" s="19">
        <f>MAX(0,AM15)-AM17</f>
        <v/>
      </c>
      <c r="AN22" s="19">
        <f>MAX(0,AN15)-AN17</f>
        <v/>
      </c>
      <c r="AO22" s="19">
        <f>MAX(0,AO15)-AO17</f>
        <v/>
      </c>
      <c r="AP22" s="19">
        <f>MAX(0,AP15)-AP17</f>
        <v/>
      </c>
      <c r="AQ22" s="19">
        <f>MAX(0,AQ15)-AQ17</f>
        <v/>
      </c>
      <c r="AR22" s="19">
        <f>MAX(0,AR15)-AR17</f>
        <v/>
      </c>
      <c r="AS22" s="19">
        <f>MAX(0,AS15)-AS17</f>
        <v/>
      </c>
      <c r="AT22" s="19">
        <f>MAX(0,AT15)-AT17</f>
        <v/>
      </c>
      <c r="AU22" s="19">
        <f>MAX(0,AU15)-AU17</f>
        <v/>
      </c>
      <c r="AV22" s="19">
        <f>MAX(0,AV15)-AV17</f>
        <v/>
      </c>
      <c r="AW22" s="19">
        <f>MAX(0,AW15)-AW17</f>
        <v/>
      </c>
      <c r="AX22" s="19">
        <f>MAX(0,AX15)-AX17</f>
        <v/>
      </c>
      <c r="AY22" s="19">
        <f>MAX(0,AY15)-AY17</f>
        <v/>
      </c>
      <c r="AZ22" s="19">
        <f>MAX(0,AZ15)-AZ17</f>
        <v/>
      </c>
      <c r="BA22" s="19">
        <f>MAX(0,BA15)-BA17</f>
        <v/>
      </c>
      <c r="BB22" s="19">
        <f>MAX(0,BB15)-BB17</f>
        <v/>
      </c>
      <c r="BC22" s="19">
        <f>MAX(0,BC15)-BC17</f>
        <v/>
      </c>
      <c r="BD22" s="19">
        <f>MAX(0,BD15)-BD17</f>
        <v/>
      </c>
      <c r="BE22" s="19">
        <f>MAX(0,BE15)-BE17</f>
        <v/>
      </c>
      <c r="BF22" s="19">
        <f>MAX(0,BF15)-BF17</f>
        <v/>
      </c>
      <c r="BG22" s="19">
        <f>MAX(0,BG15)-BG17</f>
        <v/>
      </c>
      <c r="BH22" s="19">
        <f>MAX(0,BH15)-BH17</f>
        <v/>
      </c>
      <c r="BI22" s="19">
        <f>MAX(0,BI15)-BI17</f>
        <v/>
      </c>
      <c r="BJ22" s="19">
        <f>MAX(0,BJ15)-BJ17</f>
        <v/>
      </c>
      <c r="BK22" s="19">
        <f>MAX(0,BK15)-BK17</f>
        <v/>
      </c>
      <c r="BL22" s="19">
        <f>MAX(0,BL15)-BL17</f>
        <v/>
      </c>
      <c r="BM22" s="19">
        <f>MAX(0,BM15)-BM17</f>
        <v/>
      </c>
      <c r="BN22" s="19">
        <f>MAX(0,BN15)-BN17</f>
        <v/>
      </c>
      <c r="BO22" s="19">
        <f>MAX(0,BO15)-BO17</f>
        <v/>
      </c>
      <c r="BP22" s="19">
        <f>MAX(0,BP15)-BP17</f>
        <v/>
      </c>
      <c r="BQ22" s="19">
        <f>MAX(0,BQ15)-BQ17</f>
        <v/>
      </c>
      <c r="BR22" s="19">
        <f>MAX(0,BR15)-BR17</f>
        <v/>
      </c>
      <c r="BS22" s="19">
        <f>MAX(0,BS15)-BS17</f>
        <v/>
      </c>
      <c r="BT22" s="19">
        <f>MAX(0,BT15)-BT17</f>
        <v/>
      </c>
      <c r="BU22" s="19">
        <f>MAX(0,BU15)-BU17</f>
        <v/>
      </c>
      <c r="BV22" s="19">
        <f>MAX(0,BV15)-BV17</f>
        <v/>
      </c>
      <c r="BW22" s="19">
        <f>MAX(0,BW15)-BW17</f>
        <v/>
      </c>
      <c r="BX22" s="19">
        <f>MAX(0,BX15)-BX17</f>
        <v/>
      </c>
      <c r="BY22" s="19">
        <f>MAX(0,BY15)-BY17</f>
        <v/>
      </c>
      <c r="BZ22" s="19">
        <f>MAX(0,BZ15)-BZ17</f>
        <v/>
      </c>
      <c r="CA22" s="19">
        <f>MAX(0,CA15)-CA17</f>
        <v/>
      </c>
      <c r="CB22" s="19">
        <f>MAX(0,CB15)-CB17</f>
        <v/>
      </c>
      <c r="CC22" s="19">
        <f>MAX(0,CC15)-CC17</f>
        <v/>
      </c>
      <c r="CD22" s="19">
        <f>MAX(0,CD15)-CD17</f>
        <v/>
      </c>
      <c r="CE22" s="19">
        <f>MAX(0,CE15)-CE17</f>
        <v/>
      </c>
      <c r="CF22" s="19">
        <f>MAX(0,CF15)-CF17</f>
        <v/>
      </c>
      <c r="CG22" s="19">
        <f>MAX(0,CG15)-CG17</f>
        <v/>
      </c>
      <c r="CH22" s="19">
        <f>MAX(0,CH15)-CH17</f>
        <v/>
      </c>
      <c r="CI22" s="19">
        <f>MAX(0,CI15)-CI17</f>
        <v/>
      </c>
      <c r="CJ22" s="19">
        <f>MAX(0,CJ15)-CJ17</f>
        <v/>
      </c>
      <c r="CK22" s="19">
        <f>MAX(0,CK15)-CK17</f>
        <v/>
      </c>
      <c r="CL22" s="19">
        <f>MAX(0,CL15)-CL17</f>
        <v/>
      </c>
      <c r="CM22" s="19">
        <f>MAX(0,CM15)-CM17</f>
        <v/>
      </c>
      <c r="CN22" s="19">
        <f>MAX(0,CN15)-CN17</f>
        <v/>
      </c>
      <c r="CO22" s="19">
        <f>MAX(0,CO15)-CO17</f>
        <v/>
      </c>
      <c r="CP22" s="19">
        <f>MAX(0,CP15)-CP17</f>
        <v/>
      </c>
      <c r="CQ22" s="19">
        <f>MAX(0,CQ15)-CQ17</f>
        <v/>
      </c>
      <c r="CR22" s="19">
        <f>MAX(0,CR15)-CR17</f>
        <v/>
      </c>
      <c r="CS22" s="19">
        <f>MAX(0,CS15)-CS17</f>
        <v/>
      </c>
      <c r="CT22" s="19">
        <f>MAX(0,CT15)-CT17</f>
        <v/>
      </c>
      <c r="CU22" s="19">
        <f>MAX(0,CU15)-CU17</f>
        <v/>
      </c>
      <c r="CV22" s="19">
        <f>MAX(0,CV15)-CV17</f>
        <v/>
      </c>
      <c r="CW22" s="19">
        <f>MAX(0,CW15)-CW17</f>
        <v/>
      </c>
      <c r="CX22" s="19">
        <f>MAX(0,CX15)-CX17</f>
        <v/>
      </c>
      <c r="CY22" s="19">
        <f>MAX(0,CY15)-CY17</f>
        <v/>
      </c>
      <c r="CZ22" s="19">
        <f>MAX(0,CZ15)-CZ17</f>
        <v/>
      </c>
      <c r="DA22" s="19">
        <f>MAX(0,DA15)-DA17</f>
        <v/>
      </c>
      <c r="DB22" s="19">
        <f>MAX(0,DB15)-DB17</f>
        <v/>
      </c>
    </row>
    <row r="23">
      <c r="D23" t="inlineStr">
        <is>
          <t>Tax paid</t>
        </is>
      </c>
      <c r="E23" t="inlineStr">
        <is>
          <t>ARD m</t>
        </is>
      </c>
      <c r="G23" s="19">
        <f>SUM(J23:DB23)</f>
        <v/>
      </c>
      <c r="J23" s="19">
        <f>Inputs!$F$159*J22</f>
        <v/>
      </c>
      <c r="K23" s="19">
        <f>Inputs!$F$159*K22</f>
        <v/>
      </c>
      <c r="L23" s="19">
        <f>Inputs!$F$159*L22</f>
        <v/>
      </c>
      <c r="M23" s="19">
        <f>Inputs!$F$159*M22</f>
        <v/>
      </c>
      <c r="N23" s="19">
        <f>Inputs!$F$159*N22</f>
        <v/>
      </c>
      <c r="O23" s="19">
        <f>Inputs!$F$159*O22</f>
        <v/>
      </c>
      <c r="P23" s="19">
        <f>Inputs!$F$159*P22</f>
        <v/>
      </c>
      <c r="Q23" s="19">
        <f>Inputs!$F$159*Q22</f>
        <v/>
      </c>
      <c r="R23" s="19">
        <f>Inputs!$F$159*R22</f>
        <v/>
      </c>
      <c r="S23" s="19">
        <f>Inputs!$F$159*S22</f>
        <v/>
      </c>
      <c r="T23" s="19">
        <f>Inputs!$F$159*T22</f>
        <v/>
      </c>
      <c r="U23" s="19">
        <f>Inputs!$F$159*U22</f>
        <v/>
      </c>
      <c r="V23" s="19">
        <f>Inputs!$F$159*V22</f>
        <v/>
      </c>
      <c r="W23" s="19">
        <f>Inputs!$F$159*W22</f>
        <v/>
      </c>
      <c r="X23" s="19">
        <f>Inputs!$F$159*X22</f>
        <v/>
      </c>
      <c r="Y23" s="19">
        <f>Inputs!$F$159*Y22</f>
        <v/>
      </c>
      <c r="Z23" s="19">
        <f>Inputs!$F$159*Z22</f>
        <v/>
      </c>
      <c r="AA23" s="19">
        <f>Inputs!$F$159*AA22</f>
        <v/>
      </c>
      <c r="AB23" s="19">
        <f>Inputs!$F$159*AB22</f>
        <v/>
      </c>
      <c r="AC23" s="19">
        <f>Inputs!$F$159*AC22</f>
        <v/>
      </c>
      <c r="AD23" s="19">
        <f>Inputs!$F$159*AD22</f>
        <v/>
      </c>
      <c r="AE23" s="19">
        <f>Inputs!$F$159*AE22</f>
        <v/>
      </c>
      <c r="AF23" s="19">
        <f>Inputs!$F$159*AF22</f>
        <v/>
      </c>
      <c r="AG23" s="19">
        <f>Inputs!$F$159*AG22</f>
        <v/>
      </c>
      <c r="AH23" s="19">
        <f>Inputs!$F$159*AH22</f>
        <v/>
      </c>
      <c r="AI23" s="19">
        <f>Inputs!$F$159*AI22</f>
        <v/>
      </c>
      <c r="AJ23" s="19">
        <f>Inputs!$F$159*AJ22</f>
        <v/>
      </c>
      <c r="AK23" s="19">
        <f>Inputs!$F$159*AK22</f>
        <v/>
      </c>
      <c r="AL23" s="19">
        <f>Inputs!$F$159*AL22</f>
        <v/>
      </c>
      <c r="AM23" s="19">
        <f>Inputs!$F$159*AM22</f>
        <v/>
      </c>
      <c r="AN23" s="19">
        <f>Inputs!$F$159*AN22</f>
        <v/>
      </c>
      <c r="AO23" s="19">
        <f>Inputs!$F$159*AO22</f>
        <v/>
      </c>
      <c r="AP23" s="19">
        <f>Inputs!$F$159*AP22</f>
        <v/>
      </c>
      <c r="AQ23" s="19">
        <f>Inputs!$F$159*AQ22</f>
        <v/>
      </c>
      <c r="AR23" s="19">
        <f>Inputs!$F$159*AR22</f>
        <v/>
      </c>
      <c r="AS23" s="19">
        <f>Inputs!$F$159*AS22</f>
        <v/>
      </c>
      <c r="AT23" s="19">
        <f>Inputs!$F$159*AT22</f>
        <v/>
      </c>
      <c r="AU23" s="19">
        <f>Inputs!$F$159*AU22</f>
        <v/>
      </c>
      <c r="AV23" s="19">
        <f>Inputs!$F$159*AV22</f>
        <v/>
      </c>
      <c r="AW23" s="19">
        <f>Inputs!$F$159*AW22</f>
        <v/>
      </c>
      <c r="AX23" s="19">
        <f>Inputs!$F$159*AX22</f>
        <v/>
      </c>
      <c r="AY23" s="19">
        <f>Inputs!$F$159*AY22</f>
        <v/>
      </c>
      <c r="AZ23" s="19">
        <f>Inputs!$F$159*AZ22</f>
        <v/>
      </c>
      <c r="BA23" s="19">
        <f>Inputs!$F$159*BA22</f>
        <v/>
      </c>
      <c r="BB23" s="19">
        <f>Inputs!$F$159*BB22</f>
        <v/>
      </c>
      <c r="BC23" s="19">
        <f>Inputs!$F$159*BC22</f>
        <v/>
      </c>
      <c r="BD23" s="19">
        <f>Inputs!$F$159*BD22</f>
        <v/>
      </c>
      <c r="BE23" s="19">
        <f>Inputs!$F$159*BE22</f>
        <v/>
      </c>
      <c r="BF23" s="19">
        <f>Inputs!$F$159*BF22</f>
        <v/>
      </c>
      <c r="BG23" s="19">
        <f>Inputs!$F$159*BG22</f>
        <v/>
      </c>
      <c r="BH23" s="19">
        <f>Inputs!$F$159*BH22</f>
        <v/>
      </c>
      <c r="BI23" s="19">
        <f>Inputs!$F$159*BI22</f>
        <v/>
      </c>
      <c r="BJ23" s="19">
        <f>Inputs!$F$159*BJ22</f>
        <v/>
      </c>
      <c r="BK23" s="19">
        <f>Inputs!$F$159*BK22</f>
        <v/>
      </c>
      <c r="BL23" s="19">
        <f>Inputs!$F$159*BL22</f>
        <v/>
      </c>
      <c r="BM23" s="19">
        <f>Inputs!$F$159*BM22</f>
        <v/>
      </c>
      <c r="BN23" s="19">
        <f>Inputs!$F$159*BN22</f>
        <v/>
      </c>
      <c r="BO23" s="19">
        <f>Inputs!$F$159*BO22</f>
        <v/>
      </c>
      <c r="BP23" s="19">
        <f>Inputs!$F$159*BP22</f>
        <v/>
      </c>
      <c r="BQ23" s="19">
        <f>Inputs!$F$159*BQ22</f>
        <v/>
      </c>
      <c r="BR23" s="19">
        <f>Inputs!$F$159*BR22</f>
        <v/>
      </c>
      <c r="BS23" s="19">
        <f>Inputs!$F$159*BS22</f>
        <v/>
      </c>
      <c r="BT23" s="19">
        <f>Inputs!$F$159*BT22</f>
        <v/>
      </c>
      <c r="BU23" s="19">
        <f>Inputs!$F$159*BU22</f>
        <v/>
      </c>
      <c r="BV23" s="19">
        <f>Inputs!$F$159*BV22</f>
        <v/>
      </c>
      <c r="BW23" s="19">
        <f>Inputs!$F$159*BW22</f>
        <v/>
      </c>
      <c r="BX23" s="19">
        <f>Inputs!$F$159*BX22</f>
        <v/>
      </c>
      <c r="BY23" s="19">
        <f>Inputs!$F$159*BY22</f>
        <v/>
      </c>
      <c r="BZ23" s="19">
        <f>Inputs!$F$159*BZ22</f>
        <v/>
      </c>
      <c r="CA23" s="19">
        <f>Inputs!$F$159*CA22</f>
        <v/>
      </c>
      <c r="CB23" s="19">
        <f>Inputs!$F$159*CB22</f>
        <v/>
      </c>
      <c r="CC23" s="19">
        <f>Inputs!$F$159*CC22</f>
        <v/>
      </c>
      <c r="CD23" s="19">
        <f>Inputs!$F$159*CD22</f>
        <v/>
      </c>
      <c r="CE23" s="19">
        <f>Inputs!$F$159*CE22</f>
        <v/>
      </c>
      <c r="CF23" s="19">
        <f>Inputs!$F$159*CF22</f>
        <v/>
      </c>
      <c r="CG23" s="19">
        <f>Inputs!$F$159*CG22</f>
        <v/>
      </c>
      <c r="CH23" s="19">
        <f>Inputs!$F$159*CH22</f>
        <v/>
      </c>
      <c r="CI23" s="19">
        <f>Inputs!$F$159*CI22</f>
        <v/>
      </c>
      <c r="CJ23" s="19">
        <f>Inputs!$F$159*CJ22</f>
        <v/>
      </c>
      <c r="CK23" s="19">
        <f>Inputs!$F$159*CK22</f>
        <v/>
      </c>
      <c r="CL23" s="19">
        <f>Inputs!$F$159*CL22</f>
        <v/>
      </c>
      <c r="CM23" s="19">
        <f>Inputs!$F$159*CM22</f>
        <v/>
      </c>
      <c r="CN23" s="19">
        <f>Inputs!$F$159*CN22</f>
        <v/>
      </c>
      <c r="CO23" s="19">
        <f>Inputs!$F$159*CO22</f>
        <v/>
      </c>
      <c r="CP23" s="19">
        <f>Inputs!$F$159*CP22</f>
        <v/>
      </c>
      <c r="CQ23" s="19">
        <f>Inputs!$F$159*CQ22</f>
        <v/>
      </c>
      <c r="CR23" s="19">
        <f>Inputs!$F$159*CR22</f>
        <v/>
      </c>
      <c r="CS23" s="19">
        <f>Inputs!$F$159*CS22</f>
        <v/>
      </c>
      <c r="CT23" s="19">
        <f>Inputs!$F$159*CT22</f>
        <v/>
      </c>
      <c r="CU23" s="19">
        <f>Inputs!$F$159*CU22</f>
        <v/>
      </c>
      <c r="CV23" s="19">
        <f>Inputs!$F$159*CV22</f>
        <v/>
      </c>
      <c r="CW23" s="19">
        <f>Inputs!$F$159*CW22</f>
        <v/>
      </c>
      <c r="CX23" s="19">
        <f>Inputs!$F$159*CX22</f>
        <v/>
      </c>
      <c r="CY23" s="19">
        <f>Inputs!$F$159*CY22</f>
        <v/>
      </c>
      <c r="CZ23" s="19">
        <f>Inputs!$F$159*CZ22</f>
        <v/>
      </c>
      <c r="DA23" s="19">
        <f>Inputs!$F$159*DA22</f>
        <v/>
      </c>
      <c r="DB23" s="19">
        <f>Inputs!$F$159*DB22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D1:DB42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Funding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Commitments</t>
        </is>
      </c>
    </row>
    <row r="6">
      <c r="D6" t="inlineStr">
        <is>
          <t>Bank mini-perm commitment</t>
        </is>
      </c>
      <c r="E6" t="inlineStr">
        <is>
          <t>ARD m</t>
        </is>
      </c>
      <c r="F6" s="19">
        <f>Inputs!$F$97*Debt!$F$26</f>
        <v/>
      </c>
    </row>
    <row r="7">
      <c r="D7" t="inlineStr">
        <is>
          <t>Bond face value (fully funded at close into escrow)</t>
        </is>
      </c>
      <c r="E7" t="inlineStr">
        <is>
          <t>ARD m</t>
        </is>
      </c>
      <c r="F7" s="19">
        <f>Inputs!$F$98*Debt!$F$26</f>
        <v/>
      </c>
    </row>
    <row r="8">
      <c r="D8" s="3" t="inlineStr">
        <is>
          <t>Uses of funds</t>
        </is>
      </c>
    </row>
    <row r="9">
      <c r="D9" t="inlineStr">
        <is>
          <t>Construction costs</t>
        </is>
      </c>
      <c r="E9" t="inlineStr">
        <is>
          <t>ARD m</t>
        </is>
      </c>
      <c r="G9" s="19">
        <f>SUM(J9:DB9)</f>
        <v/>
      </c>
      <c r="J9" s="29">
        <f>Construction!J13</f>
        <v/>
      </c>
      <c r="K9" s="29">
        <f>Construction!K13</f>
        <v/>
      </c>
      <c r="L9" s="29">
        <f>Construction!L13</f>
        <v/>
      </c>
      <c r="M9" s="29">
        <f>Construction!M13</f>
        <v/>
      </c>
      <c r="N9" s="29">
        <f>Construction!N13</f>
        <v/>
      </c>
      <c r="O9" s="29">
        <f>Construction!O13</f>
        <v/>
      </c>
      <c r="P9" s="29">
        <f>Construction!P13</f>
        <v/>
      </c>
      <c r="Q9" s="29">
        <f>Construction!Q13</f>
        <v/>
      </c>
      <c r="R9" s="29">
        <f>Construction!R13</f>
        <v/>
      </c>
      <c r="S9" s="29">
        <f>Construction!S13</f>
        <v/>
      </c>
      <c r="T9" s="29">
        <f>Construction!T13</f>
        <v/>
      </c>
      <c r="U9" s="29">
        <f>Construction!U13</f>
        <v/>
      </c>
      <c r="V9" s="29">
        <f>Construction!V13</f>
        <v/>
      </c>
      <c r="W9" s="29">
        <f>Construction!W13</f>
        <v/>
      </c>
      <c r="X9" s="29">
        <f>Construction!X13</f>
        <v/>
      </c>
      <c r="Y9" s="29">
        <f>Construction!Y13</f>
        <v/>
      </c>
      <c r="Z9" s="29">
        <f>Construction!Z13</f>
        <v/>
      </c>
      <c r="AA9" s="29">
        <f>Construction!AA13</f>
        <v/>
      </c>
      <c r="AB9" s="29">
        <f>Construction!AB13</f>
        <v/>
      </c>
      <c r="AC9" s="29">
        <f>Construction!AC13</f>
        <v/>
      </c>
      <c r="AD9" s="29">
        <f>Construction!AD13</f>
        <v/>
      </c>
      <c r="AE9" s="29">
        <f>Construction!AE13</f>
        <v/>
      </c>
      <c r="AF9" s="29">
        <f>Construction!AF13</f>
        <v/>
      </c>
      <c r="AG9" s="29">
        <f>Construction!AG13</f>
        <v/>
      </c>
      <c r="AH9" s="29">
        <f>Construction!AH13</f>
        <v/>
      </c>
      <c r="AI9" s="29">
        <f>Construction!AI13</f>
        <v/>
      </c>
      <c r="AJ9" s="29">
        <f>Construction!AJ13</f>
        <v/>
      </c>
      <c r="AK9" s="29">
        <f>Construction!AK13</f>
        <v/>
      </c>
      <c r="AL9" s="29">
        <f>Construction!AL13</f>
        <v/>
      </c>
      <c r="AM9" s="29">
        <f>Construction!AM13</f>
        <v/>
      </c>
      <c r="AN9" s="29">
        <f>Construction!AN13</f>
        <v/>
      </c>
      <c r="AO9" s="29">
        <f>Construction!AO13</f>
        <v/>
      </c>
      <c r="AP9" s="29">
        <f>Construction!AP13</f>
        <v/>
      </c>
      <c r="AQ9" s="29">
        <f>Construction!AQ13</f>
        <v/>
      </c>
      <c r="AR9" s="29">
        <f>Construction!AR13</f>
        <v/>
      </c>
      <c r="AS9" s="29">
        <f>Construction!AS13</f>
        <v/>
      </c>
      <c r="AT9" s="29">
        <f>Construction!AT13</f>
        <v/>
      </c>
      <c r="AU9" s="29">
        <f>Construction!AU13</f>
        <v/>
      </c>
      <c r="AV9" s="29">
        <f>Construction!AV13</f>
        <v/>
      </c>
      <c r="AW9" s="29">
        <f>Construction!AW13</f>
        <v/>
      </c>
      <c r="AX9" s="29">
        <f>Construction!AX13</f>
        <v/>
      </c>
      <c r="AY9" s="29">
        <f>Construction!AY13</f>
        <v/>
      </c>
      <c r="AZ9" s="29">
        <f>Construction!AZ13</f>
        <v/>
      </c>
      <c r="BA9" s="29">
        <f>Construction!BA13</f>
        <v/>
      </c>
      <c r="BB9" s="29">
        <f>Construction!BB13</f>
        <v/>
      </c>
      <c r="BC9" s="29">
        <f>Construction!BC13</f>
        <v/>
      </c>
      <c r="BD9" s="29">
        <f>Construction!BD13</f>
        <v/>
      </c>
      <c r="BE9" s="29">
        <f>Construction!BE13</f>
        <v/>
      </c>
      <c r="BF9" s="29">
        <f>Construction!BF13</f>
        <v/>
      </c>
      <c r="BG9" s="29">
        <f>Construction!BG13</f>
        <v/>
      </c>
      <c r="BH9" s="29">
        <f>Construction!BH13</f>
        <v/>
      </c>
      <c r="BI9" s="29">
        <f>Construction!BI13</f>
        <v/>
      </c>
      <c r="BJ9" s="29">
        <f>Construction!BJ13</f>
        <v/>
      </c>
      <c r="BK9" s="29">
        <f>Construction!BK13</f>
        <v/>
      </c>
      <c r="BL9" s="29">
        <f>Construction!BL13</f>
        <v/>
      </c>
      <c r="BM9" s="29">
        <f>Construction!BM13</f>
        <v/>
      </c>
      <c r="BN9" s="29">
        <f>Construction!BN13</f>
        <v/>
      </c>
      <c r="BO9" s="29">
        <f>Construction!BO13</f>
        <v/>
      </c>
      <c r="BP9" s="29">
        <f>Construction!BP13</f>
        <v/>
      </c>
      <c r="BQ9" s="29">
        <f>Construction!BQ13</f>
        <v/>
      </c>
      <c r="BR9" s="29">
        <f>Construction!BR13</f>
        <v/>
      </c>
      <c r="BS9" s="29">
        <f>Construction!BS13</f>
        <v/>
      </c>
      <c r="BT9" s="29">
        <f>Construction!BT13</f>
        <v/>
      </c>
      <c r="BU9" s="29">
        <f>Construction!BU13</f>
        <v/>
      </c>
      <c r="BV9" s="29">
        <f>Construction!BV13</f>
        <v/>
      </c>
      <c r="BW9" s="29">
        <f>Construction!BW13</f>
        <v/>
      </c>
      <c r="BX9" s="29">
        <f>Construction!BX13</f>
        <v/>
      </c>
      <c r="BY9" s="29">
        <f>Construction!BY13</f>
        <v/>
      </c>
      <c r="BZ9" s="29">
        <f>Construction!BZ13</f>
        <v/>
      </c>
      <c r="CA9" s="29">
        <f>Construction!CA13</f>
        <v/>
      </c>
      <c r="CB9" s="29">
        <f>Construction!CB13</f>
        <v/>
      </c>
      <c r="CC9" s="29">
        <f>Construction!CC13</f>
        <v/>
      </c>
      <c r="CD9" s="29">
        <f>Construction!CD13</f>
        <v/>
      </c>
      <c r="CE9" s="29">
        <f>Construction!CE13</f>
        <v/>
      </c>
      <c r="CF9" s="29">
        <f>Construction!CF13</f>
        <v/>
      </c>
      <c r="CG9" s="29">
        <f>Construction!CG13</f>
        <v/>
      </c>
      <c r="CH9" s="29">
        <f>Construction!CH13</f>
        <v/>
      </c>
      <c r="CI9" s="29">
        <f>Construction!CI13</f>
        <v/>
      </c>
      <c r="CJ9" s="29">
        <f>Construction!CJ13</f>
        <v/>
      </c>
      <c r="CK9" s="29">
        <f>Construction!CK13</f>
        <v/>
      </c>
      <c r="CL9" s="29">
        <f>Construction!CL13</f>
        <v/>
      </c>
      <c r="CM9" s="29">
        <f>Construction!CM13</f>
        <v/>
      </c>
      <c r="CN9" s="29">
        <f>Construction!CN13</f>
        <v/>
      </c>
      <c r="CO9" s="29">
        <f>Construction!CO13</f>
        <v/>
      </c>
      <c r="CP9" s="29">
        <f>Construction!CP13</f>
        <v/>
      </c>
      <c r="CQ9" s="29">
        <f>Construction!CQ13</f>
        <v/>
      </c>
      <c r="CR9" s="29">
        <f>Construction!CR13</f>
        <v/>
      </c>
      <c r="CS9" s="29">
        <f>Construction!CS13</f>
        <v/>
      </c>
      <c r="CT9" s="29">
        <f>Construction!CT13</f>
        <v/>
      </c>
      <c r="CU9" s="29">
        <f>Construction!CU13</f>
        <v/>
      </c>
      <c r="CV9" s="29">
        <f>Construction!CV13</f>
        <v/>
      </c>
      <c r="CW9" s="29">
        <f>Construction!CW13</f>
        <v/>
      </c>
      <c r="CX9" s="29">
        <f>Construction!CX13</f>
        <v/>
      </c>
      <c r="CY9" s="29">
        <f>Construction!CY13</f>
        <v/>
      </c>
      <c r="CZ9" s="29">
        <f>Construction!CZ13</f>
        <v/>
      </c>
      <c r="DA9" s="29">
        <f>Construction!DA13</f>
        <v/>
      </c>
      <c r="DB9" s="29">
        <f>Construction!DB13</f>
        <v/>
      </c>
    </row>
    <row r="10">
      <c r="D10" t="inlineStr">
        <is>
          <t>Upfront fees (bank, bond issue, NILO, bridge)</t>
        </is>
      </c>
      <c r="E10" t="inlineStr">
        <is>
          <t>ARD m</t>
        </is>
      </c>
      <c r="G10" s="19">
        <f>SUM(J10:DB10)</f>
        <v/>
      </c>
      <c r="J10" s="19">
        <f>IF(Time!J6=1,Inputs!$F$109*$F$6+Inputs!$F$113*$F$7+Inputs!$F$122*Debt!$F$28+Inputs!$F$85*Inputs!$F$228,0)</f>
        <v/>
      </c>
      <c r="K10" s="19">
        <f>IF(Time!K6=1,Inputs!$F$109*$F$6+Inputs!$F$113*$F$7+Inputs!$F$122*Debt!$F$28+Inputs!$F$85*Inputs!$F$228,0)</f>
        <v/>
      </c>
      <c r="L10" s="19">
        <f>IF(Time!L6=1,Inputs!$F$109*$F$6+Inputs!$F$113*$F$7+Inputs!$F$122*Debt!$F$28+Inputs!$F$85*Inputs!$F$228,0)</f>
        <v/>
      </c>
      <c r="M10" s="19">
        <f>IF(Time!M6=1,Inputs!$F$109*$F$6+Inputs!$F$113*$F$7+Inputs!$F$122*Debt!$F$28+Inputs!$F$85*Inputs!$F$228,0)</f>
        <v/>
      </c>
      <c r="N10" s="19">
        <f>IF(Time!N6=1,Inputs!$F$109*$F$6+Inputs!$F$113*$F$7+Inputs!$F$122*Debt!$F$28+Inputs!$F$85*Inputs!$F$228,0)</f>
        <v/>
      </c>
      <c r="O10" s="19">
        <f>IF(Time!O6=1,Inputs!$F$109*$F$6+Inputs!$F$113*$F$7+Inputs!$F$122*Debt!$F$28+Inputs!$F$85*Inputs!$F$228,0)</f>
        <v/>
      </c>
      <c r="P10" s="19">
        <f>IF(Time!P6=1,Inputs!$F$109*$F$6+Inputs!$F$113*$F$7+Inputs!$F$122*Debt!$F$28+Inputs!$F$85*Inputs!$F$228,0)</f>
        <v/>
      </c>
      <c r="Q10" s="19">
        <f>IF(Time!Q6=1,Inputs!$F$109*$F$6+Inputs!$F$113*$F$7+Inputs!$F$122*Debt!$F$28+Inputs!$F$85*Inputs!$F$228,0)</f>
        <v/>
      </c>
      <c r="R10" s="19">
        <f>IF(Time!R6=1,Inputs!$F$109*$F$6+Inputs!$F$113*$F$7+Inputs!$F$122*Debt!$F$28+Inputs!$F$85*Inputs!$F$228,0)</f>
        <v/>
      </c>
      <c r="S10" s="19">
        <f>IF(Time!S6=1,Inputs!$F$109*$F$6+Inputs!$F$113*$F$7+Inputs!$F$122*Debt!$F$28+Inputs!$F$85*Inputs!$F$228,0)</f>
        <v/>
      </c>
      <c r="T10" s="19">
        <f>IF(Time!T6=1,Inputs!$F$109*$F$6+Inputs!$F$113*$F$7+Inputs!$F$122*Debt!$F$28+Inputs!$F$85*Inputs!$F$228,0)</f>
        <v/>
      </c>
      <c r="U10" s="19">
        <f>IF(Time!U6=1,Inputs!$F$109*$F$6+Inputs!$F$113*$F$7+Inputs!$F$122*Debt!$F$28+Inputs!$F$85*Inputs!$F$228,0)</f>
        <v/>
      </c>
      <c r="V10" s="19">
        <f>IF(Time!V6=1,Inputs!$F$109*$F$6+Inputs!$F$113*$F$7+Inputs!$F$122*Debt!$F$28+Inputs!$F$85*Inputs!$F$228,0)</f>
        <v/>
      </c>
      <c r="W10" s="19">
        <f>IF(Time!W6=1,Inputs!$F$109*$F$6+Inputs!$F$113*$F$7+Inputs!$F$122*Debt!$F$28+Inputs!$F$85*Inputs!$F$228,0)</f>
        <v/>
      </c>
      <c r="X10" s="19">
        <f>IF(Time!X6=1,Inputs!$F$109*$F$6+Inputs!$F$113*$F$7+Inputs!$F$122*Debt!$F$28+Inputs!$F$85*Inputs!$F$228,0)</f>
        <v/>
      </c>
      <c r="Y10" s="19">
        <f>IF(Time!Y6=1,Inputs!$F$109*$F$6+Inputs!$F$113*$F$7+Inputs!$F$122*Debt!$F$28+Inputs!$F$85*Inputs!$F$228,0)</f>
        <v/>
      </c>
      <c r="Z10" s="19">
        <f>IF(Time!Z6=1,Inputs!$F$109*$F$6+Inputs!$F$113*$F$7+Inputs!$F$122*Debt!$F$28+Inputs!$F$85*Inputs!$F$228,0)</f>
        <v/>
      </c>
      <c r="AA10" s="19">
        <f>IF(Time!AA6=1,Inputs!$F$109*$F$6+Inputs!$F$113*$F$7+Inputs!$F$122*Debt!$F$28+Inputs!$F$85*Inputs!$F$228,0)</f>
        <v/>
      </c>
      <c r="AB10" s="19">
        <f>IF(Time!AB6=1,Inputs!$F$109*$F$6+Inputs!$F$113*$F$7+Inputs!$F$122*Debt!$F$28+Inputs!$F$85*Inputs!$F$228,0)</f>
        <v/>
      </c>
      <c r="AC10" s="19">
        <f>IF(Time!AC6=1,Inputs!$F$109*$F$6+Inputs!$F$113*$F$7+Inputs!$F$122*Debt!$F$28+Inputs!$F$85*Inputs!$F$228,0)</f>
        <v/>
      </c>
      <c r="AD10" s="19">
        <f>IF(Time!AD6=1,Inputs!$F$109*$F$6+Inputs!$F$113*$F$7+Inputs!$F$122*Debt!$F$28+Inputs!$F$85*Inputs!$F$228,0)</f>
        <v/>
      </c>
      <c r="AE10" s="19">
        <f>IF(Time!AE6=1,Inputs!$F$109*$F$6+Inputs!$F$113*$F$7+Inputs!$F$122*Debt!$F$28+Inputs!$F$85*Inputs!$F$228,0)</f>
        <v/>
      </c>
      <c r="AF10" s="19">
        <f>IF(Time!AF6=1,Inputs!$F$109*$F$6+Inputs!$F$113*$F$7+Inputs!$F$122*Debt!$F$28+Inputs!$F$85*Inputs!$F$228,0)</f>
        <v/>
      </c>
      <c r="AG10" s="19">
        <f>IF(Time!AG6=1,Inputs!$F$109*$F$6+Inputs!$F$113*$F$7+Inputs!$F$122*Debt!$F$28+Inputs!$F$85*Inputs!$F$228,0)</f>
        <v/>
      </c>
      <c r="AH10" s="19">
        <f>IF(Time!AH6=1,Inputs!$F$109*$F$6+Inputs!$F$113*$F$7+Inputs!$F$122*Debt!$F$28+Inputs!$F$85*Inputs!$F$228,0)</f>
        <v/>
      </c>
      <c r="AI10" s="19">
        <f>IF(Time!AI6=1,Inputs!$F$109*$F$6+Inputs!$F$113*$F$7+Inputs!$F$122*Debt!$F$28+Inputs!$F$85*Inputs!$F$228,0)</f>
        <v/>
      </c>
      <c r="AJ10" s="19">
        <f>IF(Time!AJ6=1,Inputs!$F$109*$F$6+Inputs!$F$113*$F$7+Inputs!$F$122*Debt!$F$28+Inputs!$F$85*Inputs!$F$228,0)</f>
        <v/>
      </c>
      <c r="AK10" s="19">
        <f>IF(Time!AK6=1,Inputs!$F$109*$F$6+Inputs!$F$113*$F$7+Inputs!$F$122*Debt!$F$28+Inputs!$F$85*Inputs!$F$228,0)</f>
        <v/>
      </c>
      <c r="AL10" s="19">
        <f>IF(Time!AL6=1,Inputs!$F$109*$F$6+Inputs!$F$113*$F$7+Inputs!$F$122*Debt!$F$28+Inputs!$F$85*Inputs!$F$228,0)</f>
        <v/>
      </c>
      <c r="AM10" s="19">
        <f>IF(Time!AM6=1,Inputs!$F$109*$F$6+Inputs!$F$113*$F$7+Inputs!$F$122*Debt!$F$28+Inputs!$F$85*Inputs!$F$228,0)</f>
        <v/>
      </c>
      <c r="AN10" s="19">
        <f>IF(Time!AN6=1,Inputs!$F$109*$F$6+Inputs!$F$113*$F$7+Inputs!$F$122*Debt!$F$28+Inputs!$F$85*Inputs!$F$228,0)</f>
        <v/>
      </c>
      <c r="AO10" s="19">
        <f>IF(Time!AO6=1,Inputs!$F$109*$F$6+Inputs!$F$113*$F$7+Inputs!$F$122*Debt!$F$28+Inputs!$F$85*Inputs!$F$228,0)</f>
        <v/>
      </c>
      <c r="AP10" s="19">
        <f>IF(Time!AP6=1,Inputs!$F$109*$F$6+Inputs!$F$113*$F$7+Inputs!$F$122*Debt!$F$28+Inputs!$F$85*Inputs!$F$228,0)</f>
        <v/>
      </c>
      <c r="AQ10" s="19">
        <f>IF(Time!AQ6=1,Inputs!$F$109*$F$6+Inputs!$F$113*$F$7+Inputs!$F$122*Debt!$F$28+Inputs!$F$85*Inputs!$F$228,0)</f>
        <v/>
      </c>
      <c r="AR10" s="19">
        <f>IF(Time!AR6=1,Inputs!$F$109*$F$6+Inputs!$F$113*$F$7+Inputs!$F$122*Debt!$F$28+Inputs!$F$85*Inputs!$F$228,0)</f>
        <v/>
      </c>
      <c r="AS10" s="19">
        <f>IF(Time!AS6=1,Inputs!$F$109*$F$6+Inputs!$F$113*$F$7+Inputs!$F$122*Debt!$F$28+Inputs!$F$85*Inputs!$F$228,0)</f>
        <v/>
      </c>
      <c r="AT10" s="19">
        <f>IF(Time!AT6=1,Inputs!$F$109*$F$6+Inputs!$F$113*$F$7+Inputs!$F$122*Debt!$F$28+Inputs!$F$85*Inputs!$F$228,0)</f>
        <v/>
      </c>
      <c r="AU10" s="19">
        <f>IF(Time!AU6=1,Inputs!$F$109*$F$6+Inputs!$F$113*$F$7+Inputs!$F$122*Debt!$F$28+Inputs!$F$85*Inputs!$F$228,0)</f>
        <v/>
      </c>
      <c r="AV10" s="19">
        <f>IF(Time!AV6=1,Inputs!$F$109*$F$6+Inputs!$F$113*$F$7+Inputs!$F$122*Debt!$F$28+Inputs!$F$85*Inputs!$F$228,0)</f>
        <v/>
      </c>
      <c r="AW10" s="19">
        <f>IF(Time!AW6=1,Inputs!$F$109*$F$6+Inputs!$F$113*$F$7+Inputs!$F$122*Debt!$F$28+Inputs!$F$85*Inputs!$F$228,0)</f>
        <v/>
      </c>
      <c r="AX10" s="19">
        <f>IF(Time!AX6=1,Inputs!$F$109*$F$6+Inputs!$F$113*$F$7+Inputs!$F$122*Debt!$F$28+Inputs!$F$85*Inputs!$F$228,0)</f>
        <v/>
      </c>
      <c r="AY10" s="19">
        <f>IF(Time!AY6=1,Inputs!$F$109*$F$6+Inputs!$F$113*$F$7+Inputs!$F$122*Debt!$F$28+Inputs!$F$85*Inputs!$F$228,0)</f>
        <v/>
      </c>
      <c r="AZ10" s="19">
        <f>IF(Time!AZ6=1,Inputs!$F$109*$F$6+Inputs!$F$113*$F$7+Inputs!$F$122*Debt!$F$28+Inputs!$F$85*Inputs!$F$228,0)</f>
        <v/>
      </c>
      <c r="BA10" s="19">
        <f>IF(Time!BA6=1,Inputs!$F$109*$F$6+Inputs!$F$113*$F$7+Inputs!$F$122*Debt!$F$28+Inputs!$F$85*Inputs!$F$228,0)</f>
        <v/>
      </c>
      <c r="BB10" s="19">
        <f>IF(Time!BB6=1,Inputs!$F$109*$F$6+Inputs!$F$113*$F$7+Inputs!$F$122*Debt!$F$28+Inputs!$F$85*Inputs!$F$228,0)</f>
        <v/>
      </c>
      <c r="BC10" s="19">
        <f>IF(Time!BC6=1,Inputs!$F$109*$F$6+Inputs!$F$113*$F$7+Inputs!$F$122*Debt!$F$28+Inputs!$F$85*Inputs!$F$228,0)</f>
        <v/>
      </c>
      <c r="BD10" s="19">
        <f>IF(Time!BD6=1,Inputs!$F$109*$F$6+Inputs!$F$113*$F$7+Inputs!$F$122*Debt!$F$28+Inputs!$F$85*Inputs!$F$228,0)</f>
        <v/>
      </c>
      <c r="BE10" s="19">
        <f>IF(Time!BE6=1,Inputs!$F$109*$F$6+Inputs!$F$113*$F$7+Inputs!$F$122*Debt!$F$28+Inputs!$F$85*Inputs!$F$228,0)</f>
        <v/>
      </c>
      <c r="BF10" s="19">
        <f>IF(Time!BF6=1,Inputs!$F$109*$F$6+Inputs!$F$113*$F$7+Inputs!$F$122*Debt!$F$28+Inputs!$F$85*Inputs!$F$228,0)</f>
        <v/>
      </c>
      <c r="BG10" s="19">
        <f>IF(Time!BG6=1,Inputs!$F$109*$F$6+Inputs!$F$113*$F$7+Inputs!$F$122*Debt!$F$28+Inputs!$F$85*Inputs!$F$228,0)</f>
        <v/>
      </c>
      <c r="BH10" s="19">
        <f>IF(Time!BH6=1,Inputs!$F$109*$F$6+Inputs!$F$113*$F$7+Inputs!$F$122*Debt!$F$28+Inputs!$F$85*Inputs!$F$228,0)</f>
        <v/>
      </c>
      <c r="BI10" s="19">
        <f>IF(Time!BI6=1,Inputs!$F$109*$F$6+Inputs!$F$113*$F$7+Inputs!$F$122*Debt!$F$28+Inputs!$F$85*Inputs!$F$228,0)</f>
        <v/>
      </c>
      <c r="BJ10" s="19">
        <f>IF(Time!BJ6=1,Inputs!$F$109*$F$6+Inputs!$F$113*$F$7+Inputs!$F$122*Debt!$F$28+Inputs!$F$85*Inputs!$F$228,0)</f>
        <v/>
      </c>
      <c r="BK10" s="19">
        <f>IF(Time!BK6=1,Inputs!$F$109*$F$6+Inputs!$F$113*$F$7+Inputs!$F$122*Debt!$F$28+Inputs!$F$85*Inputs!$F$228,0)</f>
        <v/>
      </c>
      <c r="BL10" s="19">
        <f>IF(Time!BL6=1,Inputs!$F$109*$F$6+Inputs!$F$113*$F$7+Inputs!$F$122*Debt!$F$28+Inputs!$F$85*Inputs!$F$228,0)</f>
        <v/>
      </c>
      <c r="BM10" s="19">
        <f>IF(Time!BM6=1,Inputs!$F$109*$F$6+Inputs!$F$113*$F$7+Inputs!$F$122*Debt!$F$28+Inputs!$F$85*Inputs!$F$228,0)</f>
        <v/>
      </c>
      <c r="BN10" s="19">
        <f>IF(Time!BN6=1,Inputs!$F$109*$F$6+Inputs!$F$113*$F$7+Inputs!$F$122*Debt!$F$28+Inputs!$F$85*Inputs!$F$228,0)</f>
        <v/>
      </c>
      <c r="BO10" s="19">
        <f>IF(Time!BO6=1,Inputs!$F$109*$F$6+Inputs!$F$113*$F$7+Inputs!$F$122*Debt!$F$28+Inputs!$F$85*Inputs!$F$228,0)</f>
        <v/>
      </c>
      <c r="BP10" s="19">
        <f>IF(Time!BP6=1,Inputs!$F$109*$F$6+Inputs!$F$113*$F$7+Inputs!$F$122*Debt!$F$28+Inputs!$F$85*Inputs!$F$228,0)</f>
        <v/>
      </c>
      <c r="BQ10" s="19">
        <f>IF(Time!BQ6=1,Inputs!$F$109*$F$6+Inputs!$F$113*$F$7+Inputs!$F$122*Debt!$F$28+Inputs!$F$85*Inputs!$F$228,0)</f>
        <v/>
      </c>
      <c r="BR10" s="19">
        <f>IF(Time!BR6=1,Inputs!$F$109*$F$6+Inputs!$F$113*$F$7+Inputs!$F$122*Debt!$F$28+Inputs!$F$85*Inputs!$F$228,0)</f>
        <v/>
      </c>
      <c r="BS10" s="19">
        <f>IF(Time!BS6=1,Inputs!$F$109*$F$6+Inputs!$F$113*$F$7+Inputs!$F$122*Debt!$F$28+Inputs!$F$85*Inputs!$F$228,0)</f>
        <v/>
      </c>
      <c r="BT10" s="19">
        <f>IF(Time!BT6=1,Inputs!$F$109*$F$6+Inputs!$F$113*$F$7+Inputs!$F$122*Debt!$F$28+Inputs!$F$85*Inputs!$F$228,0)</f>
        <v/>
      </c>
      <c r="BU10" s="19">
        <f>IF(Time!BU6=1,Inputs!$F$109*$F$6+Inputs!$F$113*$F$7+Inputs!$F$122*Debt!$F$28+Inputs!$F$85*Inputs!$F$228,0)</f>
        <v/>
      </c>
      <c r="BV10" s="19">
        <f>IF(Time!BV6=1,Inputs!$F$109*$F$6+Inputs!$F$113*$F$7+Inputs!$F$122*Debt!$F$28+Inputs!$F$85*Inputs!$F$228,0)</f>
        <v/>
      </c>
      <c r="BW10" s="19">
        <f>IF(Time!BW6=1,Inputs!$F$109*$F$6+Inputs!$F$113*$F$7+Inputs!$F$122*Debt!$F$28+Inputs!$F$85*Inputs!$F$228,0)</f>
        <v/>
      </c>
      <c r="BX10" s="19">
        <f>IF(Time!BX6=1,Inputs!$F$109*$F$6+Inputs!$F$113*$F$7+Inputs!$F$122*Debt!$F$28+Inputs!$F$85*Inputs!$F$228,0)</f>
        <v/>
      </c>
      <c r="BY10" s="19">
        <f>IF(Time!BY6=1,Inputs!$F$109*$F$6+Inputs!$F$113*$F$7+Inputs!$F$122*Debt!$F$28+Inputs!$F$85*Inputs!$F$228,0)</f>
        <v/>
      </c>
      <c r="BZ10" s="19">
        <f>IF(Time!BZ6=1,Inputs!$F$109*$F$6+Inputs!$F$113*$F$7+Inputs!$F$122*Debt!$F$28+Inputs!$F$85*Inputs!$F$228,0)</f>
        <v/>
      </c>
      <c r="CA10" s="19">
        <f>IF(Time!CA6=1,Inputs!$F$109*$F$6+Inputs!$F$113*$F$7+Inputs!$F$122*Debt!$F$28+Inputs!$F$85*Inputs!$F$228,0)</f>
        <v/>
      </c>
      <c r="CB10" s="19">
        <f>IF(Time!CB6=1,Inputs!$F$109*$F$6+Inputs!$F$113*$F$7+Inputs!$F$122*Debt!$F$28+Inputs!$F$85*Inputs!$F$228,0)</f>
        <v/>
      </c>
      <c r="CC10" s="19">
        <f>IF(Time!CC6=1,Inputs!$F$109*$F$6+Inputs!$F$113*$F$7+Inputs!$F$122*Debt!$F$28+Inputs!$F$85*Inputs!$F$228,0)</f>
        <v/>
      </c>
      <c r="CD10" s="19">
        <f>IF(Time!CD6=1,Inputs!$F$109*$F$6+Inputs!$F$113*$F$7+Inputs!$F$122*Debt!$F$28+Inputs!$F$85*Inputs!$F$228,0)</f>
        <v/>
      </c>
      <c r="CE10" s="19">
        <f>IF(Time!CE6=1,Inputs!$F$109*$F$6+Inputs!$F$113*$F$7+Inputs!$F$122*Debt!$F$28+Inputs!$F$85*Inputs!$F$228,0)</f>
        <v/>
      </c>
      <c r="CF10" s="19">
        <f>IF(Time!CF6=1,Inputs!$F$109*$F$6+Inputs!$F$113*$F$7+Inputs!$F$122*Debt!$F$28+Inputs!$F$85*Inputs!$F$228,0)</f>
        <v/>
      </c>
      <c r="CG10" s="19">
        <f>IF(Time!CG6=1,Inputs!$F$109*$F$6+Inputs!$F$113*$F$7+Inputs!$F$122*Debt!$F$28+Inputs!$F$85*Inputs!$F$228,0)</f>
        <v/>
      </c>
      <c r="CH10" s="19">
        <f>IF(Time!CH6=1,Inputs!$F$109*$F$6+Inputs!$F$113*$F$7+Inputs!$F$122*Debt!$F$28+Inputs!$F$85*Inputs!$F$228,0)</f>
        <v/>
      </c>
      <c r="CI10" s="19">
        <f>IF(Time!CI6=1,Inputs!$F$109*$F$6+Inputs!$F$113*$F$7+Inputs!$F$122*Debt!$F$28+Inputs!$F$85*Inputs!$F$228,0)</f>
        <v/>
      </c>
      <c r="CJ10" s="19">
        <f>IF(Time!CJ6=1,Inputs!$F$109*$F$6+Inputs!$F$113*$F$7+Inputs!$F$122*Debt!$F$28+Inputs!$F$85*Inputs!$F$228,0)</f>
        <v/>
      </c>
      <c r="CK10" s="19">
        <f>IF(Time!CK6=1,Inputs!$F$109*$F$6+Inputs!$F$113*$F$7+Inputs!$F$122*Debt!$F$28+Inputs!$F$85*Inputs!$F$228,0)</f>
        <v/>
      </c>
      <c r="CL10" s="19">
        <f>IF(Time!CL6=1,Inputs!$F$109*$F$6+Inputs!$F$113*$F$7+Inputs!$F$122*Debt!$F$28+Inputs!$F$85*Inputs!$F$228,0)</f>
        <v/>
      </c>
      <c r="CM10" s="19">
        <f>IF(Time!CM6=1,Inputs!$F$109*$F$6+Inputs!$F$113*$F$7+Inputs!$F$122*Debt!$F$28+Inputs!$F$85*Inputs!$F$228,0)</f>
        <v/>
      </c>
      <c r="CN10" s="19">
        <f>IF(Time!CN6=1,Inputs!$F$109*$F$6+Inputs!$F$113*$F$7+Inputs!$F$122*Debt!$F$28+Inputs!$F$85*Inputs!$F$228,0)</f>
        <v/>
      </c>
      <c r="CO10" s="19">
        <f>IF(Time!CO6=1,Inputs!$F$109*$F$6+Inputs!$F$113*$F$7+Inputs!$F$122*Debt!$F$28+Inputs!$F$85*Inputs!$F$228,0)</f>
        <v/>
      </c>
      <c r="CP10" s="19">
        <f>IF(Time!CP6=1,Inputs!$F$109*$F$6+Inputs!$F$113*$F$7+Inputs!$F$122*Debt!$F$28+Inputs!$F$85*Inputs!$F$228,0)</f>
        <v/>
      </c>
      <c r="CQ10" s="19">
        <f>IF(Time!CQ6=1,Inputs!$F$109*$F$6+Inputs!$F$113*$F$7+Inputs!$F$122*Debt!$F$28+Inputs!$F$85*Inputs!$F$228,0)</f>
        <v/>
      </c>
      <c r="CR10" s="19">
        <f>IF(Time!CR6=1,Inputs!$F$109*$F$6+Inputs!$F$113*$F$7+Inputs!$F$122*Debt!$F$28+Inputs!$F$85*Inputs!$F$228,0)</f>
        <v/>
      </c>
      <c r="CS10" s="19">
        <f>IF(Time!CS6=1,Inputs!$F$109*$F$6+Inputs!$F$113*$F$7+Inputs!$F$122*Debt!$F$28+Inputs!$F$85*Inputs!$F$228,0)</f>
        <v/>
      </c>
      <c r="CT10" s="19">
        <f>IF(Time!CT6=1,Inputs!$F$109*$F$6+Inputs!$F$113*$F$7+Inputs!$F$122*Debt!$F$28+Inputs!$F$85*Inputs!$F$228,0)</f>
        <v/>
      </c>
      <c r="CU10" s="19">
        <f>IF(Time!CU6=1,Inputs!$F$109*$F$6+Inputs!$F$113*$F$7+Inputs!$F$122*Debt!$F$28+Inputs!$F$85*Inputs!$F$228,0)</f>
        <v/>
      </c>
      <c r="CV10" s="19">
        <f>IF(Time!CV6=1,Inputs!$F$109*$F$6+Inputs!$F$113*$F$7+Inputs!$F$122*Debt!$F$28+Inputs!$F$85*Inputs!$F$228,0)</f>
        <v/>
      </c>
      <c r="CW10" s="19">
        <f>IF(Time!CW6=1,Inputs!$F$109*$F$6+Inputs!$F$113*$F$7+Inputs!$F$122*Debt!$F$28+Inputs!$F$85*Inputs!$F$228,0)</f>
        <v/>
      </c>
      <c r="CX10" s="19">
        <f>IF(Time!CX6=1,Inputs!$F$109*$F$6+Inputs!$F$113*$F$7+Inputs!$F$122*Debt!$F$28+Inputs!$F$85*Inputs!$F$228,0)</f>
        <v/>
      </c>
      <c r="CY10" s="19">
        <f>IF(Time!CY6=1,Inputs!$F$109*$F$6+Inputs!$F$113*$F$7+Inputs!$F$122*Debt!$F$28+Inputs!$F$85*Inputs!$F$228,0)</f>
        <v/>
      </c>
      <c r="CZ10" s="19">
        <f>IF(Time!CZ6=1,Inputs!$F$109*$F$6+Inputs!$F$113*$F$7+Inputs!$F$122*Debt!$F$28+Inputs!$F$85*Inputs!$F$228,0)</f>
        <v/>
      </c>
      <c r="DA10" s="19">
        <f>IF(Time!DA6=1,Inputs!$F$109*$F$6+Inputs!$F$113*$F$7+Inputs!$F$122*Debt!$F$28+Inputs!$F$85*Inputs!$F$228,0)</f>
        <v/>
      </c>
      <c r="DB10" s="19">
        <f>IF(Time!DB6=1,Inputs!$F$109*$F$6+Inputs!$F$113*$F$7+Inputs!$F$122*Debt!$F$28+Inputs!$F$85*Inputs!$F$228,0)</f>
        <v/>
      </c>
    </row>
    <row r="11">
      <c r="D11" t="inlineStr">
        <is>
          <t>Bank interest during construction</t>
        </is>
      </c>
      <c r="E11" t="inlineStr">
        <is>
          <t>ARD m</t>
        </is>
      </c>
      <c r="G11" s="19">
        <f>SUM(J11:DB11)</f>
        <v/>
      </c>
      <c r="J11" s="19">
        <f>Debt!J43*Time!J20</f>
        <v/>
      </c>
      <c r="K11" s="19">
        <f>Debt!K43*Time!K20</f>
        <v/>
      </c>
      <c r="L11" s="19">
        <f>Debt!L43*Time!L20</f>
        <v/>
      </c>
      <c r="M11" s="19">
        <f>Debt!M43*Time!M20</f>
        <v/>
      </c>
      <c r="N11" s="19">
        <f>Debt!N43*Time!N20</f>
        <v/>
      </c>
      <c r="O11" s="19">
        <f>Debt!O43*Time!O20</f>
        <v/>
      </c>
      <c r="P11" s="19">
        <f>Debt!P43*Time!P20</f>
        <v/>
      </c>
      <c r="Q11" s="19">
        <f>Debt!Q43*Time!Q20</f>
        <v/>
      </c>
      <c r="R11" s="19">
        <f>Debt!R43*Time!R20</f>
        <v/>
      </c>
      <c r="S11" s="19">
        <f>Debt!S43*Time!S20</f>
        <v/>
      </c>
      <c r="T11" s="19">
        <f>Debt!T43*Time!T20</f>
        <v/>
      </c>
      <c r="U11" s="19">
        <f>Debt!U43*Time!U20</f>
        <v/>
      </c>
      <c r="V11" s="19">
        <f>Debt!V43*Time!V20</f>
        <v/>
      </c>
      <c r="W11" s="19">
        <f>Debt!W43*Time!W20</f>
        <v/>
      </c>
      <c r="X11" s="19">
        <f>Debt!X43*Time!X20</f>
        <v/>
      </c>
      <c r="Y11" s="19">
        <f>Debt!Y43*Time!Y20</f>
        <v/>
      </c>
      <c r="Z11" s="19">
        <f>Debt!Z43*Time!Z20</f>
        <v/>
      </c>
      <c r="AA11" s="19">
        <f>Debt!AA43*Time!AA20</f>
        <v/>
      </c>
      <c r="AB11" s="19">
        <f>Debt!AB43*Time!AB20</f>
        <v/>
      </c>
      <c r="AC11" s="19">
        <f>Debt!AC43*Time!AC20</f>
        <v/>
      </c>
      <c r="AD11" s="19">
        <f>Debt!AD43*Time!AD20</f>
        <v/>
      </c>
      <c r="AE11" s="19">
        <f>Debt!AE43*Time!AE20</f>
        <v/>
      </c>
      <c r="AF11" s="19">
        <f>Debt!AF43*Time!AF20</f>
        <v/>
      </c>
      <c r="AG11" s="19">
        <f>Debt!AG43*Time!AG20</f>
        <v/>
      </c>
      <c r="AH11" s="19">
        <f>Debt!AH43*Time!AH20</f>
        <v/>
      </c>
      <c r="AI11" s="19">
        <f>Debt!AI43*Time!AI20</f>
        <v/>
      </c>
      <c r="AJ11" s="19">
        <f>Debt!AJ43*Time!AJ20</f>
        <v/>
      </c>
      <c r="AK11" s="19">
        <f>Debt!AK43*Time!AK20</f>
        <v/>
      </c>
      <c r="AL11" s="19">
        <f>Debt!AL43*Time!AL20</f>
        <v/>
      </c>
      <c r="AM11" s="19">
        <f>Debt!AM43*Time!AM20</f>
        <v/>
      </c>
      <c r="AN11" s="19">
        <f>Debt!AN43*Time!AN20</f>
        <v/>
      </c>
      <c r="AO11" s="19">
        <f>Debt!AO43*Time!AO20</f>
        <v/>
      </c>
      <c r="AP11" s="19">
        <f>Debt!AP43*Time!AP20</f>
        <v/>
      </c>
      <c r="AQ11" s="19">
        <f>Debt!AQ43*Time!AQ20</f>
        <v/>
      </c>
      <c r="AR11" s="19">
        <f>Debt!AR43*Time!AR20</f>
        <v/>
      </c>
      <c r="AS11" s="19">
        <f>Debt!AS43*Time!AS20</f>
        <v/>
      </c>
      <c r="AT11" s="19">
        <f>Debt!AT43*Time!AT20</f>
        <v/>
      </c>
      <c r="AU11" s="19">
        <f>Debt!AU43*Time!AU20</f>
        <v/>
      </c>
      <c r="AV11" s="19">
        <f>Debt!AV43*Time!AV20</f>
        <v/>
      </c>
      <c r="AW11" s="19">
        <f>Debt!AW43*Time!AW20</f>
        <v/>
      </c>
      <c r="AX11" s="19">
        <f>Debt!AX43*Time!AX20</f>
        <v/>
      </c>
      <c r="AY11" s="19">
        <f>Debt!AY43*Time!AY20</f>
        <v/>
      </c>
      <c r="AZ11" s="19">
        <f>Debt!AZ43*Time!AZ20</f>
        <v/>
      </c>
      <c r="BA11" s="19">
        <f>Debt!BA43*Time!BA20</f>
        <v/>
      </c>
      <c r="BB11" s="19">
        <f>Debt!BB43*Time!BB20</f>
        <v/>
      </c>
      <c r="BC11" s="19">
        <f>Debt!BC43*Time!BC20</f>
        <v/>
      </c>
      <c r="BD11" s="19">
        <f>Debt!BD43*Time!BD20</f>
        <v/>
      </c>
      <c r="BE11" s="19">
        <f>Debt!BE43*Time!BE20</f>
        <v/>
      </c>
      <c r="BF11" s="19">
        <f>Debt!BF43*Time!BF20</f>
        <v/>
      </c>
      <c r="BG11" s="19">
        <f>Debt!BG43*Time!BG20</f>
        <v/>
      </c>
      <c r="BH11" s="19">
        <f>Debt!BH43*Time!BH20</f>
        <v/>
      </c>
      <c r="BI11" s="19">
        <f>Debt!BI43*Time!BI20</f>
        <v/>
      </c>
      <c r="BJ11" s="19">
        <f>Debt!BJ43*Time!BJ20</f>
        <v/>
      </c>
      <c r="BK11" s="19">
        <f>Debt!BK43*Time!BK20</f>
        <v/>
      </c>
      <c r="BL11" s="19">
        <f>Debt!BL43*Time!BL20</f>
        <v/>
      </c>
      <c r="BM11" s="19">
        <f>Debt!BM43*Time!BM20</f>
        <v/>
      </c>
      <c r="BN11" s="19">
        <f>Debt!BN43*Time!BN20</f>
        <v/>
      </c>
      <c r="BO11" s="19">
        <f>Debt!BO43*Time!BO20</f>
        <v/>
      </c>
      <c r="BP11" s="19">
        <f>Debt!BP43*Time!BP20</f>
        <v/>
      </c>
      <c r="BQ11" s="19">
        <f>Debt!BQ43*Time!BQ20</f>
        <v/>
      </c>
      <c r="BR11" s="19">
        <f>Debt!BR43*Time!BR20</f>
        <v/>
      </c>
      <c r="BS11" s="19">
        <f>Debt!BS43*Time!BS20</f>
        <v/>
      </c>
      <c r="BT11" s="19">
        <f>Debt!BT43*Time!BT20</f>
        <v/>
      </c>
      <c r="BU11" s="19">
        <f>Debt!BU43*Time!BU20</f>
        <v/>
      </c>
      <c r="BV11" s="19">
        <f>Debt!BV43*Time!BV20</f>
        <v/>
      </c>
      <c r="BW11" s="19">
        <f>Debt!BW43*Time!BW20</f>
        <v/>
      </c>
      <c r="BX11" s="19">
        <f>Debt!BX43*Time!BX20</f>
        <v/>
      </c>
      <c r="BY11" s="19">
        <f>Debt!BY43*Time!BY20</f>
        <v/>
      </c>
      <c r="BZ11" s="19">
        <f>Debt!BZ43*Time!BZ20</f>
        <v/>
      </c>
      <c r="CA11" s="19">
        <f>Debt!CA43*Time!CA20</f>
        <v/>
      </c>
      <c r="CB11" s="19">
        <f>Debt!CB43*Time!CB20</f>
        <v/>
      </c>
      <c r="CC11" s="19">
        <f>Debt!CC43*Time!CC20</f>
        <v/>
      </c>
      <c r="CD11" s="19">
        <f>Debt!CD43*Time!CD20</f>
        <v/>
      </c>
      <c r="CE11" s="19">
        <f>Debt!CE43*Time!CE20</f>
        <v/>
      </c>
      <c r="CF11" s="19">
        <f>Debt!CF43*Time!CF20</f>
        <v/>
      </c>
      <c r="CG11" s="19">
        <f>Debt!CG43*Time!CG20</f>
        <v/>
      </c>
      <c r="CH11" s="19">
        <f>Debt!CH43*Time!CH20</f>
        <v/>
      </c>
      <c r="CI11" s="19">
        <f>Debt!CI43*Time!CI20</f>
        <v/>
      </c>
      <c r="CJ11" s="19">
        <f>Debt!CJ43*Time!CJ20</f>
        <v/>
      </c>
      <c r="CK11" s="19">
        <f>Debt!CK43*Time!CK20</f>
        <v/>
      </c>
      <c r="CL11" s="19">
        <f>Debt!CL43*Time!CL20</f>
        <v/>
      </c>
      <c r="CM11" s="19">
        <f>Debt!CM43*Time!CM20</f>
        <v/>
      </c>
      <c r="CN11" s="19">
        <f>Debt!CN43*Time!CN20</f>
        <v/>
      </c>
      <c r="CO11" s="19">
        <f>Debt!CO43*Time!CO20</f>
        <v/>
      </c>
      <c r="CP11" s="19">
        <f>Debt!CP43*Time!CP20</f>
        <v/>
      </c>
      <c r="CQ11" s="19">
        <f>Debt!CQ43*Time!CQ20</f>
        <v/>
      </c>
      <c r="CR11" s="19">
        <f>Debt!CR43*Time!CR20</f>
        <v/>
      </c>
      <c r="CS11" s="19">
        <f>Debt!CS43*Time!CS20</f>
        <v/>
      </c>
      <c r="CT11" s="19">
        <f>Debt!CT43*Time!CT20</f>
        <v/>
      </c>
      <c r="CU11" s="19">
        <f>Debt!CU43*Time!CU20</f>
        <v/>
      </c>
      <c r="CV11" s="19">
        <f>Debt!CV43*Time!CV20</f>
        <v/>
      </c>
      <c r="CW11" s="19">
        <f>Debt!CW43*Time!CW20</f>
        <v/>
      </c>
      <c r="CX11" s="19">
        <f>Debt!CX43*Time!CX20</f>
        <v/>
      </c>
      <c r="CY11" s="19">
        <f>Debt!CY43*Time!CY20</f>
        <v/>
      </c>
      <c r="CZ11" s="19">
        <f>Debt!CZ43*Time!CZ20</f>
        <v/>
      </c>
      <c r="DA11" s="19">
        <f>Debt!DA43*Time!DA20</f>
        <v/>
      </c>
      <c r="DB11" s="19">
        <f>Debt!DB43*Time!DB20</f>
        <v/>
      </c>
    </row>
    <row r="12">
      <c r="D12" t="inlineStr">
        <is>
          <t>Bank commitment fee</t>
        </is>
      </c>
      <c r="E12" t="inlineStr">
        <is>
          <t>ARD m</t>
        </is>
      </c>
      <c r="G12" s="19">
        <f>SUM(J12:DB12)</f>
        <v/>
      </c>
      <c r="J12" s="19">
        <f>Inputs!$F$110*($F$6-Debt!J42)*Time!J9/Inputs!$F$46*Time!J20</f>
        <v/>
      </c>
      <c r="K12" s="19">
        <f>Inputs!$F$110*($F$6-Debt!K42)*Time!K9/Inputs!$F$46*Time!K20</f>
        <v/>
      </c>
      <c r="L12" s="19">
        <f>Inputs!$F$110*($F$6-Debt!L42)*Time!L9/Inputs!$F$46*Time!L20</f>
        <v/>
      </c>
      <c r="M12" s="19">
        <f>Inputs!$F$110*($F$6-Debt!M42)*Time!M9/Inputs!$F$46*Time!M20</f>
        <v/>
      </c>
      <c r="N12" s="19">
        <f>Inputs!$F$110*($F$6-Debt!N42)*Time!N9/Inputs!$F$46*Time!N20</f>
        <v/>
      </c>
      <c r="O12" s="19">
        <f>Inputs!$F$110*($F$6-Debt!O42)*Time!O9/Inputs!$F$46*Time!O20</f>
        <v/>
      </c>
      <c r="P12" s="19">
        <f>Inputs!$F$110*($F$6-Debt!P42)*Time!P9/Inputs!$F$46*Time!P20</f>
        <v/>
      </c>
      <c r="Q12" s="19">
        <f>Inputs!$F$110*($F$6-Debt!Q42)*Time!Q9/Inputs!$F$46*Time!Q20</f>
        <v/>
      </c>
      <c r="R12" s="19">
        <f>Inputs!$F$110*($F$6-Debt!R42)*Time!R9/Inputs!$F$46*Time!R20</f>
        <v/>
      </c>
      <c r="S12" s="19">
        <f>Inputs!$F$110*($F$6-Debt!S42)*Time!S9/Inputs!$F$46*Time!S20</f>
        <v/>
      </c>
      <c r="T12" s="19">
        <f>Inputs!$F$110*($F$6-Debt!T42)*Time!T9/Inputs!$F$46*Time!T20</f>
        <v/>
      </c>
      <c r="U12" s="19">
        <f>Inputs!$F$110*($F$6-Debt!U42)*Time!U9/Inputs!$F$46*Time!U20</f>
        <v/>
      </c>
      <c r="V12" s="19">
        <f>Inputs!$F$110*($F$6-Debt!V42)*Time!V9/Inputs!$F$46*Time!V20</f>
        <v/>
      </c>
      <c r="W12" s="19">
        <f>Inputs!$F$110*($F$6-Debt!W42)*Time!W9/Inputs!$F$46*Time!W20</f>
        <v/>
      </c>
      <c r="X12" s="19">
        <f>Inputs!$F$110*($F$6-Debt!X42)*Time!X9/Inputs!$F$46*Time!X20</f>
        <v/>
      </c>
      <c r="Y12" s="19">
        <f>Inputs!$F$110*($F$6-Debt!Y42)*Time!Y9/Inputs!$F$46*Time!Y20</f>
        <v/>
      </c>
      <c r="Z12" s="19">
        <f>Inputs!$F$110*($F$6-Debt!Z42)*Time!Z9/Inputs!$F$46*Time!Z20</f>
        <v/>
      </c>
      <c r="AA12" s="19">
        <f>Inputs!$F$110*($F$6-Debt!AA42)*Time!AA9/Inputs!$F$46*Time!AA20</f>
        <v/>
      </c>
      <c r="AB12" s="19">
        <f>Inputs!$F$110*($F$6-Debt!AB42)*Time!AB9/Inputs!$F$46*Time!AB20</f>
        <v/>
      </c>
      <c r="AC12" s="19">
        <f>Inputs!$F$110*($F$6-Debt!AC42)*Time!AC9/Inputs!$F$46*Time!AC20</f>
        <v/>
      </c>
      <c r="AD12" s="19">
        <f>Inputs!$F$110*($F$6-Debt!AD42)*Time!AD9/Inputs!$F$46*Time!AD20</f>
        <v/>
      </c>
      <c r="AE12" s="19">
        <f>Inputs!$F$110*($F$6-Debt!AE42)*Time!AE9/Inputs!$F$46*Time!AE20</f>
        <v/>
      </c>
      <c r="AF12" s="19">
        <f>Inputs!$F$110*($F$6-Debt!AF42)*Time!AF9/Inputs!$F$46*Time!AF20</f>
        <v/>
      </c>
      <c r="AG12" s="19">
        <f>Inputs!$F$110*($F$6-Debt!AG42)*Time!AG9/Inputs!$F$46*Time!AG20</f>
        <v/>
      </c>
      <c r="AH12" s="19">
        <f>Inputs!$F$110*($F$6-Debt!AH42)*Time!AH9/Inputs!$F$46*Time!AH20</f>
        <v/>
      </c>
      <c r="AI12" s="19">
        <f>Inputs!$F$110*($F$6-Debt!AI42)*Time!AI9/Inputs!$F$46*Time!AI20</f>
        <v/>
      </c>
      <c r="AJ12" s="19">
        <f>Inputs!$F$110*($F$6-Debt!AJ42)*Time!AJ9/Inputs!$F$46*Time!AJ20</f>
        <v/>
      </c>
      <c r="AK12" s="19">
        <f>Inputs!$F$110*($F$6-Debt!AK42)*Time!AK9/Inputs!$F$46*Time!AK20</f>
        <v/>
      </c>
      <c r="AL12" s="19">
        <f>Inputs!$F$110*($F$6-Debt!AL42)*Time!AL9/Inputs!$F$46*Time!AL20</f>
        <v/>
      </c>
      <c r="AM12" s="19">
        <f>Inputs!$F$110*($F$6-Debt!AM42)*Time!AM9/Inputs!$F$46*Time!AM20</f>
        <v/>
      </c>
      <c r="AN12" s="19">
        <f>Inputs!$F$110*($F$6-Debt!AN42)*Time!AN9/Inputs!$F$46*Time!AN20</f>
        <v/>
      </c>
      <c r="AO12" s="19">
        <f>Inputs!$F$110*($F$6-Debt!AO42)*Time!AO9/Inputs!$F$46*Time!AO20</f>
        <v/>
      </c>
      <c r="AP12" s="19">
        <f>Inputs!$F$110*($F$6-Debt!AP42)*Time!AP9/Inputs!$F$46*Time!AP20</f>
        <v/>
      </c>
      <c r="AQ12" s="19">
        <f>Inputs!$F$110*($F$6-Debt!AQ42)*Time!AQ9/Inputs!$F$46*Time!AQ20</f>
        <v/>
      </c>
      <c r="AR12" s="19">
        <f>Inputs!$F$110*($F$6-Debt!AR42)*Time!AR9/Inputs!$F$46*Time!AR20</f>
        <v/>
      </c>
      <c r="AS12" s="19">
        <f>Inputs!$F$110*($F$6-Debt!AS42)*Time!AS9/Inputs!$F$46*Time!AS20</f>
        <v/>
      </c>
      <c r="AT12" s="19">
        <f>Inputs!$F$110*($F$6-Debt!AT42)*Time!AT9/Inputs!$F$46*Time!AT20</f>
        <v/>
      </c>
      <c r="AU12" s="19">
        <f>Inputs!$F$110*($F$6-Debt!AU42)*Time!AU9/Inputs!$F$46*Time!AU20</f>
        <v/>
      </c>
      <c r="AV12" s="19">
        <f>Inputs!$F$110*($F$6-Debt!AV42)*Time!AV9/Inputs!$F$46*Time!AV20</f>
        <v/>
      </c>
      <c r="AW12" s="19">
        <f>Inputs!$F$110*($F$6-Debt!AW42)*Time!AW9/Inputs!$F$46*Time!AW20</f>
        <v/>
      </c>
      <c r="AX12" s="19">
        <f>Inputs!$F$110*($F$6-Debt!AX42)*Time!AX9/Inputs!$F$46*Time!AX20</f>
        <v/>
      </c>
      <c r="AY12" s="19">
        <f>Inputs!$F$110*($F$6-Debt!AY42)*Time!AY9/Inputs!$F$46*Time!AY20</f>
        <v/>
      </c>
      <c r="AZ12" s="19">
        <f>Inputs!$F$110*($F$6-Debt!AZ42)*Time!AZ9/Inputs!$F$46*Time!AZ20</f>
        <v/>
      </c>
      <c r="BA12" s="19">
        <f>Inputs!$F$110*($F$6-Debt!BA42)*Time!BA9/Inputs!$F$46*Time!BA20</f>
        <v/>
      </c>
      <c r="BB12" s="19">
        <f>Inputs!$F$110*($F$6-Debt!BB42)*Time!BB9/Inputs!$F$46*Time!BB20</f>
        <v/>
      </c>
      <c r="BC12" s="19">
        <f>Inputs!$F$110*($F$6-Debt!BC42)*Time!BC9/Inputs!$F$46*Time!BC20</f>
        <v/>
      </c>
      <c r="BD12" s="19">
        <f>Inputs!$F$110*($F$6-Debt!BD42)*Time!BD9/Inputs!$F$46*Time!BD20</f>
        <v/>
      </c>
      <c r="BE12" s="19">
        <f>Inputs!$F$110*($F$6-Debt!BE42)*Time!BE9/Inputs!$F$46*Time!BE20</f>
        <v/>
      </c>
      <c r="BF12" s="19">
        <f>Inputs!$F$110*($F$6-Debt!BF42)*Time!BF9/Inputs!$F$46*Time!BF20</f>
        <v/>
      </c>
      <c r="BG12" s="19">
        <f>Inputs!$F$110*($F$6-Debt!BG42)*Time!BG9/Inputs!$F$46*Time!BG20</f>
        <v/>
      </c>
      <c r="BH12" s="19">
        <f>Inputs!$F$110*($F$6-Debt!BH42)*Time!BH9/Inputs!$F$46*Time!BH20</f>
        <v/>
      </c>
      <c r="BI12" s="19">
        <f>Inputs!$F$110*($F$6-Debt!BI42)*Time!BI9/Inputs!$F$46*Time!BI20</f>
        <v/>
      </c>
      <c r="BJ12" s="19">
        <f>Inputs!$F$110*($F$6-Debt!BJ42)*Time!BJ9/Inputs!$F$46*Time!BJ20</f>
        <v/>
      </c>
      <c r="BK12" s="19">
        <f>Inputs!$F$110*($F$6-Debt!BK42)*Time!BK9/Inputs!$F$46*Time!BK20</f>
        <v/>
      </c>
      <c r="BL12" s="19">
        <f>Inputs!$F$110*($F$6-Debt!BL42)*Time!BL9/Inputs!$F$46*Time!BL20</f>
        <v/>
      </c>
      <c r="BM12" s="19">
        <f>Inputs!$F$110*($F$6-Debt!BM42)*Time!BM9/Inputs!$F$46*Time!BM20</f>
        <v/>
      </c>
      <c r="BN12" s="19">
        <f>Inputs!$F$110*($F$6-Debt!BN42)*Time!BN9/Inputs!$F$46*Time!BN20</f>
        <v/>
      </c>
      <c r="BO12" s="19">
        <f>Inputs!$F$110*($F$6-Debt!BO42)*Time!BO9/Inputs!$F$46*Time!BO20</f>
        <v/>
      </c>
      <c r="BP12" s="19">
        <f>Inputs!$F$110*($F$6-Debt!BP42)*Time!BP9/Inputs!$F$46*Time!BP20</f>
        <v/>
      </c>
      <c r="BQ12" s="19">
        <f>Inputs!$F$110*($F$6-Debt!BQ42)*Time!BQ9/Inputs!$F$46*Time!BQ20</f>
        <v/>
      </c>
      <c r="BR12" s="19">
        <f>Inputs!$F$110*($F$6-Debt!BR42)*Time!BR9/Inputs!$F$46*Time!BR20</f>
        <v/>
      </c>
      <c r="BS12" s="19">
        <f>Inputs!$F$110*($F$6-Debt!BS42)*Time!BS9/Inputs!$F$46*Time!BS20</f>
        <v/>
      </c>
      <c r="BT12" s="19">
        <f>Inputs!$F$110*($F$6-Debt!BT42)*Time!BT9/Inputs!$F$46*Time!BT20</f>
        <v/>
      </c>
      <c r="BU12" s="19">
        <f>Inputs!$F$110*($F$6-Debt!BU42)*Time!BU9/Inputs!$F$46*Time!BU20</f>
        <v/>
      </c>
      <c r="BV12" s="19">
        <f>Inputs!$F$110*($F$6-Debt!BV42)*Time!BV9/Inputs!$F$46*Time!BV20</f>
        <v/>
      </c>
      <c r="BW12" s="19">
        <f>Inputs!$F$110*($F$6-Debt!BW42)*Time!BW9/Inputs!$F$46*Time!BW20</f>
        <v/>
      </c>
      <c r="BX12" s="19">
        <f>Inputs!$F$110*($F$6-Debt!BX42)*Time!BX9/Inputs!$F$46*Time!BX20</f>
        <v/>
      </c>
      <c r="BY12" s="19">
        <f>Inputs!$F$110*($F$6-Debt!BY42)*Time!BY9/Inputs!$F$46*Time!BY20</f>
        <v/>
      </c>
      <c r="BZ12" s="19">
        <f>Inputs!$F$110*($F$6-Debt!BZ42)*Time!BZ9/Inputs!$F$46*Time!BZ20</f>
        <v/>
      </c>
      <c r="CA12" s="19">
        <f>Inputs!$F$110*($F$6-Debt!CA42)*Time!CA9/Inputs!$F$46*Time!CA20</f>
        <v/>
      </c>
      <c r="CB12" s="19">
        <f>Inputs!$F$110*($F$6-Debt!CB42)*Time!CB9/Inputs!$F$46*Time!CB20</f>
        <v/>
      </c>
      <c r="CC12" s="19">
        <f>Inputs!$F$110*($F$6-Debt!CC42)*Time!CC9/Inputs!$F$46*Time!CC20</f>
        <v/>
      </c>
      <c r="CD12" s="19">
        <f>Inputs!$F$110*($F$6-Debt!CD42)*Time!CD9/Inputs!$F$46*Time!CD20</f>
        <v/>
      </c>
      <c r="CE12" s="19">
        <f>Inputs!$F$110*($F$6-Debt!CE42)*Time!CE9/Inputs!$F$46*Time!CE20</f>
        <v/>
      </c>
      <c r="CF12" s="19">
        <f>Inputs!$F$110*($F$6-Debt!CF42)*Time!CF9/Inputs!$F$46*Time!CF20</f>
        <v/>
      </c>
      <c r="CG12" s="19">
        <f>Inputs!$F$110*($F$6-Debt!CG42)*Time!CG9/Inputs!$F$46*Time!CG20</f>
        <v/>
      </c>
      <c r="CH12" s="19">
        <f>Inputs!$F$110*($F$6-Debt!CH42)*Time!CH9/Inputs!$F$46*Time!CH20</f>
        <v/>
      </c>
      <c r="CI12" s="19">
        <f>Inputs!$F$110*($F$6-Debt!CI42)*Time!CI9/Inputs!$F$46*Time!CI20</f>
        <v/>
      </c>
      <c r="CJ12" s="19">
        <f>Inputs!$F$110*($F$6-Debt!CJ42)*Time!CJ9/Inputs!$F$46*Time!CJ20</f>
        <v/>
      </c>
      <c r="CK12" s="19">
        <f>Inputs!$F$110*($F$6-Debt!CK42)*Time!CK9/Inputs!$F$46*Time!CK20</f>
        <v/>
      </c>
      <c r="CL12" s="19">
        <f>Inputs!$F$110*($F$6-Debt!CL42)*Time!CL9/Inputs!$F$46*Time!CL20</f>
        <v/>
      </c>
      <c r="CM12" s="19">
        <f>Inputs!$F$110*($F$6-Debt!CM42)*Time!CM9/Inputs!$F$46*Time!CM20</f>
        <v/>
      </c>
      <c r="CN12" s="19">
        <f>Inputs!$F$110*($F$6-Debt!CN42)*Time!CN9/Inputs!$F$46*Time!CN20</f>
        <v/>
      </c>
      <c r="CO12" s="19">
        <f>Inputs!$F$110*($F$6-Debt!CO42)*Time!CO9/Inputs!$F$46*Time!CO20</f>
        <v/>
      </c>
      <c r="CP12" s="19">
        <f>Inputs!$F$110*($F$6-Debt!CP42)*Time!CP9/Inputs!$F$46*Time!CP20</f>
        <v/>
      </c>
      <c r="CQ12" s="19">
        <f>Inputs!$F$110*($F$6-Debt!CQ42)*Time!CQ9/Inputs!$F$46*Time!CQ20</f>
        <v/>
      </c>
      <c r="CR12" s="19">
        <f>Inputs!$F$110*($F$6-Debt!CR42)*Time!CR9/Inputs!$F$46*Time!CR20</f>
        <v/>
      </c>
      <c r="CS12" s="19">
        <f>Inputs!$F$110*($F$6-Debt!CS42)*Time!CS9/Inputs!$F$46*Time!CS20</f>
        <v/>
      </c>
      <c r="CT12" s="19">
        <f>Inputs!$F$110*($F$6-Debt!CT42)*Time!CT9/Inputs!$F$46*Time!CT20</f>
        <v/>
      </c>
      <c r="CU12" s="19">
        <f>Inputs!$F$110*($F$6-Debt!CU42)*Time!CU9/Inputs!$F$46*Time!CU20</f>
        <v/>
      </c>
      <c r="CV12" s="19">
        <f>Inputs!$F$110*($F$6-Debt!CV42)*Time!CV9/Inputs!$F$46*Time!CV20</f>
        <v/>
      </c>
      <c r="CW12" s="19">
        <f>Inputs!$F$110*($F$6-Debt!CW42)*Time!CW9/Inputs!$F$46*Time!CW20</f>
        <v/>
      </c>
      <c r="CX12" s="19">
        <f>Inputs!$F$110*($F$6-Debt!CX42)*Time!CX9/Inputs!$F$46*Time!CX20</f>
        <v/>
      </c>
      <c r="CY12" s="19">
        <f>Inputs!$F$110*($F$6-Debt!CY42)*Time!CY9/Inputs!$F$46*Time!CY20</f>
        <v/>
      </c>
      <c r="CZ12" s="19">
        <f>Inputs!$F$110*($F$6-Debt!CZ42)*Time!CZ9/Inputs!$F$46*Time!CZ20</f>
        <v/>
      </c>
      <c r="DA12" s="19">
        <f>Inputs!$F$110*($F$6-Debt!DA42)*Time!DA9/Inputs!$F$46*Time!DA20</f>
        <v/>
      </c>
      <c r="DB12" s="19">
        <f>Inputs!$F$110*($F$6-Debt!DB42)*Time!DB9/Inputs!$F$46*Time!DB20</f>
        <v/>
      </c>
    </row>
    <row r="13">
      <c r="D13" t="inlineStr">
        <is>
          <t>Bond interest during construction</t>
        </is>
      </c>
      <c r="E13" t="inlineStr">
        <is>
          <t>ARD m</t>
        </is>
      </c>
      <c r="G13" s="19">
        <f>SUM(J13:DB13)</f>
        <v/>
      </c>
      <c r="J13" s="19">
        <f>Debt!J50*Time!J20</f>
        <v/>
      </c>
      <c r="K13" s="19">
        <f>Debt!K50*Time!K20</f>
        <v/>
      </c>
      <c r="L13" s="19">
        <f>Debt!L50*Time!L20</f>
        <v/>
      </c>
      <c r="M13" s="19">
        <f>Debt!M50*Time!M20</f>
        <v/>
      </c>
      <c r="N13" s="19">
        <f>Debt!N50*Time!N20</f>
        <v/>
      </c>
      <c r="O13" s="19">
        <f>Debt!O50*Time!O20</f>
        <v/>
      </c>
      <c r="P13" s="19">
        <f>Debt!P50*Time!P20</f>
        <v/>
      </c>
      <c r="Q13" s="19">
        <f>Debt!Q50*Time!Q20</f>
        <v/>
      </c>
      <c r="R13" s="19">
        <f>Debt!R50*Time!R20</f>
        <v/>
      </c>
      <c r="S13" s="19">
        <f>Debt!S50*Time!S20</f>
        <v/>
      </c>
      <c r="T13" s="19">
        <f>Debt!T50*Time!T20</f>
        <v/>
      </c>
      <c r="U13" s="19">
        <f>Debt!U50*Time!U20</f>
        <v/>
      </c>
      <c r="V13" s="19">
        <f>Debt!V50*Time!V20</f>
        <v/>
      </c>
      <c r="W13" s="19">
        <f>Debt!W50*Time!W20</f>
        <v/>
      </c>
      <c r="X13" s="19">
        <f>Debt!X50*Time!X20</f>
        <v/>
      </c>
      <c r="Y13" s="19">
        <f>Debt!Y50*Time!Y20</f>
        <v/>
      </c>
      <c r="Z13" s="19">
        <f>Debt!Z50*Time!Z20</f>
        <v/>
      </c>
      <c r="AA13" s="19">
        <f>Debt!AA50*Time!AA20</f>
        <v/>
      </c>
      <c r="AB13" s="19">
        <f>Debt!AB50*Time!AB20</f>
        <v/>
      </c>
      <c r="AC13" s="19">
        <f>Debt!AC50*Time!AC20</f>
        <v/>
      </c>
      <c r="AD13" s="19">
        <f>Debt!AD50*Time!AD20</f>
        <v/>
      </c>
      <c r="AE13" s="19">
        <f>Debt!AE50*Time!AE20</f>
        <v/>
      </c>
      <c r="AF13" s="19">
        <f>Debt!AF50*Time!AF20</f>
        <v/>
      </c>
      <c r="AG13" s="19">
        <f>Debt!AG50*Time!AG20</f>
        <v/>
      </c>
      <c r="AH13" s="19">
        <f>Debt!AH50*Time!AH20</f>
        <v/>
      </c>
      <c r="AI13" s="19">
        <f>Debt!AI50*Time!AI20</f>
        <v/>
      </c>
      <c r="AJ13" s="19">
        <f>Debt!AJ50*Time!AJ20</f>
        <v/>
      </c>
      <c r="AK13" s="19">
        <f>Debt!AK50*Time!AK20</f>
        <v/>
      </c>
      <c r="AL13" s="19">
        <f>Debt!AL50*Time!AL20</f>
        <v/>
      </c>
      <c r="AM13" s="19">
        <f>Debt!AM50*Time!AM20</f>
        <v/>
      </c>
      <c r="AN13" s="19">
        <f>Debt!AN50*Time!AN20</f>
        <v/>
      </c>
      <c r="AO13" s="19">
        <f>Debt!AO50*Time!AO20</f>
        <v/>
      </c>
      <c r="AP13" s="19">
        <f>Debt!AP50*Time!AP20</f>
        <v/>
      </c>
      <c r="AQ13" s="19">
        <f>Debt!AQ50*Time!AQ20</f>
        <v/>
      </c>
      <c r="AR13" s="19">
        <f>Debt!AR50*Time!AR20</f>
        <v/>
      </c>
      <c r="AS13" s="19">
        <f>Debt!AS50*Time!AS20</f>
        <v/>
      </c>
      <c r="AT13" s="19">
        <f>Debt!AT50*Time!AT20</f>
        <v/>
      </c>
      <c r="AU13" s="19">
        <f>Debt!AU50*Time!AU20</f>
        <v/>
      </c>
      <c r="AV13" s="19">
        <f>Debt!AV50*Time!AV20</f>
        <v/>
      </c>
      <c r="AW13" s="19">
        <f>Debt!AW50*Time!AW20</f>
        <v/>
      </c>
      <c r="AX13" s="19">
        <f>Debt!AX50*Time!AX20</f>
        <v/>
      </c>
      <c r="AY13" s="19">
        <f>Debt!AY50*Time!AY20</f>
        <v/>
      </c>
      <c r="AZ13" s="19">
        <f>Debt!AZ50*Time!AZ20</f>
        <v/>
      </c>
      <c r="BA13" s="19">
        <f>Debt!BA50*Time!BA20</f>
        <v/>
      </c>
      <c r="BB13" s="19">
        <f>Debt!BB50*Time!BB20</f>
        <v/>
      </c>
      <c r="BC13" s="19">
        <f>Debt!BC50*Time!BC20</f>
        <v/>
      </c>
      <c r="BD13" s="19">
        <f>Debt!BD50*Time!BD20</f>
        <v/>
      </c>
      <c r="BE13" s="19">
        <f>Debt!BE50*Time!BE20</f>
        <v/>
      </c>
      <c r="BF13" s="19">
        <f>Debt!BF50*Time!BF20</f>
        <v/>
      </c>
      <c r="BG13" s="19">
        <f>Debt!BG50*Time!BG20</f>
        <v/>
      </c>
      <c r="BH13" s="19">
        <f>Debt!BH50*Time!BH20</f>
        <v/>
      </c>
      <c r="BI13" s="19">
        <f>Debt!BI50*Time!BI20</f>
        <v/>
      </c>
      <c r="BJ13" s="19">
        <f>Debt!BJ50*Time!BJ20</f>
        <v/>
      </c>
      <c r="BK13" s="19">
        <f>Debt!BK50*Time!BK20</f>
        <v/>
      </c>
      <c r="BL13" s="19">
        <f>Debt!BL50*Time!BL20</f>
        <v/>
      </c>
      <c r="BM13" s="19">
        <f>Debt!BM50*Time!BM20</f>
        <v/>
      </c>
      <c r="BN13" s="19">
        <f>Debt!BN50*Time!BN20</f>
        <v/>
      </c>
      <c r="BO13" s="19">
        <f>Debt!BO50*Time!BO20</f>
        <v/>
      </c>
      <c r="BP13" s="19">
        <f>Debt!BP50*Time!BP20</f>
        <v/>
      </c>
      <c r="BQ13" s="19">
        <f>Debt!BQ50*Time!BQ20</f>
        <v/>
      </c>
      <c r="BR13" s="19">
        <f>Debt!BR50*Time!BR20</f>
        <v/>
      </c>
      <c r="BS13" s="19">
        <f>Debt!BS50*Time!BS20</f>
        <v/>
      </c>
      <c r="BT13" s="19">
        <f>Debt!BT50*Time!BT20</f>
        <v/>
      </c>
      <c r="BU13" s="19">
        <f>Debt!BU50*Time!BU20</f>
        <v/>
      </c>
      <c r="BV13" s="19">
        <f>Debt!BV50*Time!BV20</f>
        <v/>
      </c>
      <c r="BW13" s="19">
        <f>Debt!BW50*Time!BW20</f>
        <v/>
      </c>
      <c r="BX13" s="19">
        <f>Debt!BX50*Time!BX20</f>
        <v/>
      </c>
      <c r="BY13" s="19">
        <f>Debt!BY50*Time!BY20</f>
        <v/>
      </c>
      <c r="BZ13" s="19">
        <f>Debt!BZ50*Time!BZ20</f>
        <v/>
      </c>
      <c r="CA13" s="19">
        <f>Debt!CA50*Time!CA20</f>
        <v/>
      </c>
      <c r="CB13" s="19">
        <f>Debt!CB50*Time!CB20</f>
        <v/>
      </c>
      <c r="CC13" s="19">
        <f>Debt!CC50*Time!CC20</f>
        <v/>
      </c>
      <c r="CD13" s="19">
        <f>Debt!CD50*Time!CD20</f>
        <v/>
      </c>
      <c r="CE13" s="19">
        <f>Debt!CE50*Time!CE20</f>
        <v/>
      </c>
      <c r="CF13" s="19">
        <f>Debt!CF50*Time!CF20</f>
        <v/>
      </c>
      <c r="CG13" s="19">
        <f>Debt!CG50*Time!CG20</f>
        <v/>
      </c>
      <c r="CH13" s="19">
        <f>Debt!CH50*Time!CH20</f>
        <v/>
      </c>
      <c r="CI13" s="19">
        <f>Debt!CI50*Time!CI20</f>
        <v/>
      </c>
      <c r="CJ13" s="19">
        <f>Debt!CJ50*Time!CJ20</f>
        <v/>
      </c>
      <c r="CK13" s="19">
        <f>Debt!CK50*Time!CK20</f>
        <v/>
      </c>
      <c r="CL13" s="19">
        <f>Debt!CL50*Time!CL20</f>
        <v/>
      </c>
      <c r="CM13" s="19">
        <f>Debt!CM50*Time!CM20</f>
        <v/>
      </c>
      <c r="CN13" s="19">
        <f>Debt!CN50*Time!CN20</f>
        <v/>
      </c>
      <c r="CO13" s="19">
        <f>Debt!CO50*Time!CO20</f>
        <v/>
      </c>
      <c r="CP13" s="19">
        <f>Debt!CP50*Time!CP20</f>
        <v/>
      </c>
      <c r="CQ13" s="19">
        <f>Debt!CQ50*Time!CQ20</f>
        <v/>
      </c>
      <c r="CR13" s="19">
        <f>Debt!CR50*Time!CR20</f>
        <v/>
      </c>
      <c r="CS13" s="19">
        <f>Debt!CS50*Time!CS20</f>
        <v/>
      </c>
      <c r="CT13" s="19">
        <f>Debt!CT50*Time!CT20</f>
        <v/>
      </c>
      <c r="CU13" s="19">
        <f>Debt!CU50*Time!CU20</f>
        <v/>
      </c>
      <c r="CV13" s="19">
        <f>Debt!CV50*Time!CV20</f>
        <v/>
      </c>
      <c r="CW13" s="19">
        <f>Debt!CW50*Time!CW20</f>
        <v/>
      </c>
      <c r="CX13" s="19">
        <f>Debt!CX50*Time!CX20</f>
        <v/>
      </c>
      <c r="CY13" s="19">
        <f>Debt!CY50*Time!CY20</f>
        <v/>
      </c>
      <c r="CZ13" s="19">
        <f>Debt!CZ50*Time!CZ20</f>
        <v/>
      </c>
      <c r="DA13" s="19">
        <f>Debt!DA50*Time!DA20</f>
        <v/>
      </c>
      <c r="DB13" s="19">
        <f>Debt!DB50*Time!DB20</f>
        <v/>
      </c>
    </row>
    <row r="14">
      <c r="D14" t="inlineStr">
        <is>
          <t>Bond escrow: opening</t>
        </is>
      </c>
      <c r="E14" t="inlineStr">
        <is>
          <t>ARD m</t>
        </is>
      </c>
      <c r="J14" s="19">
        <f>IF(Time!J6=1,$F$7,I16)</f>
        <v/>
      </c>
      <c r="K14" s="19">
        <f>IF(Time!K6=1,$F$7,J16)</f>
        <v/>
      </c>
      <c r="L14" s="19">
        <f>IF(Time!L6=1,$F$7,K16)</f>
        <v/>
      </c>
      <c r="M14" s="19">
        <f>IF(Time!M6=1,$F$7,L16)</f>
        <v/>
      </c>
      <c r="N14" s="19">
        <f>IF(Time!N6=1,$F$7,M16)</f>
        <v/>
      </c>
      <c r="O14" s="19">
        <f>IF(Time!O6=1,$F$7,N16)</f>
        <v/>
      </c>
      <c r="P14" s="19">
        <f>IF(Time!P6=1,$F$7,O16)</f>
        <v/>
      </c>
      <c r="Q14" s="19">
        <f>IF(Time!Q6=1,$F$7,P16)</f>
        <v/>
      </c>
      <c r="R14" s="19">
        <f>IF(Time!R6=1,$F$7,Q16)</f>
        <v/>
      </c>
      <c r="S14" s="19">
        <f>IF(Time!S6=1,$F$7,R16)</f>
        <v/>
      </c>
      <c r="T14" s="19">
        <f>IF(Time!T6=1,$F$7,S16)</f>
        <v/>
      </c>
      <c r="U14" s="19">
        <f>IF(Time!U6=1,$F$7,T16)</f>
        <v/>
      </c>
      <c r="V14" s="19">
        <f>IF(Time!V6=1,$F$7,U16)</f>
        <v/>
      </c>
      <c r="W14" s="19">
        <f>IF(Time!W6=1,$F$7,V16)</f>
        <v/>
      </c>
      <c r="X14" s="19">
        <f>IF(Time!X6=1,$F$7,W16)</f>
        <v/>
      </c>
      <c r="Y14" s="19">
        <f>IF(Time!Y6=1,$F$7,X16)</f>
        <v/>
      </c>
      <c r="Z14" s="19">
        <f>IF(Time!Z6=1,$F$7,Y16)</f>
        <v/>
      </c>
      <c r="AA14" s="19">
        <f>IF(Time!AA6=1,$F$7,Z16)</f>
        <v/>
      </c>
      <c r="AB14" s="19">
        <f>IF(Time!AB6=1,$F$7,AA16)</f>
        <v/>
      </c>
      <c r="AC14" s="19">
        <f>IF(Time!AC6=1,$F$7,AB16)</f>
        <v/>
      </c>
      <c r="AD14" s="19">
        <f>IF(Time!AD6=1,$F$7,AC16)</f>
        <v/>
      </c>
      <c r="AE14" s="19">
        <f>IF(Time!AE6=1,$F$7,AD16)</f>
        <v/>
      </c>
      <c r="AF14" s="19">
        <f>IF(Time!AF6=1,$F$7,AE16)</f>
        <v/>
      </c>
      <c r="AG14" s="19">
        <f>IF(Time!AG6=1,$F$7,AF16)</f>
        <v/>
      </c>
      <c r="AH14" s="19">
        <f>IF(Time!AH6=1,$F$7,AG16)</f>
        <v/>
      </c>
      <c r="AI14" s="19">
        <f>IF(Time!AI6=1,$F$7,AH16)</f>
        <v/>
      </c>
      <c r="AJ14" s="19">
        <f>IF(Time!AJ6=1,$F$7,AI16)</f>
        <v/>
      </c>
      <c r="AK14" s="19">
        <f>IF(Time!AK6=1,$F$7,AJ16)</f>
        <v/>
      </c>
      <c r="AL14" s="19">
        <f>IF(Time!AL6=1,$F$7,AK16)</f>
        <v/>
      </c>
      <c r="AM14" s="19">
        <f>IF(Time!AM6=1,$F$7,AL16)</f>
        <v/>
      </c>
      <c r="AN14" s="19">
        <f>IF(Time!AN6=1,$F$7,AM16)</f>
        <v/>
      </c>
      <c r="AO14" s="19">
        <f>IF(Time!AO6=1,$F$7,AN16)</f>
        <v/>
      </c>
      <c r="AP14" s="19">
        <f>IF(Time!AP6=1,$F$7,AO16)</f>
        <v/>
      </c>
      <c r="AQ14" s="19">
        <f>IF(Time!AQ6=1,$F$7,AP16)</f>
        <v/>
      </c>
      <c r="AR14" s="19">
        <f>IF(Time!AR6=1,$F$7,AQ16)</f>
        <v/>
      </c>
      <c r="AS14" s="19">
        <f>IF(Time!AS6=1,$F$7,AR16)</f>
        <v/>
      </c>
      <c r="AT14" s="19">
        <f>IF(Time!AT6=1,$F$7,AS16)</f>
        <v/>
      </c>
      <c r="AU14" s="19">
        <f>IF(Time!AU6=1,$F$7,AT16)</f>
        <v/>
      </c>
      <c r="AV14" s="19">
        <f>IF(Time!AV6=1,$F$7,AU16)</f>
        <v/>
      </c>
      <c r="AW14" s="19">
        <f>IF(Time!AW6=1,$F$7,AV16)</f>
        <v/>
      </c>
      <c r="AX14" s="19">
        <f>IF(Time!AX6=1,$F$7,AW16)</f>
        <v/>
      </c>
      <c r="AY14" s="19">
        <f>IF(Time!AY6=1,$F$7,AX16)</f>
        <v/>
      </c>
      <c r="AZ14" s="19">
        <f>IF(Time!AZ6=1,$F$7,AY16)</f>
        <v/>
      </c>
      <c r="BA14" s="19">
        <f>IF(Time!BA6=1,$F$7,AZ16)</f>
        <v/>
      </c>
      <c r="BB14" s="19">
        <f>IF(Time!BB6=1,$F$7,BA16)</f>
        <v/>
      </c>
      <c r="BC14" s="19">
        <f>IF(Time!BC6=1,$F$7,BB16)</f>
        <v/>
      </c>
      <c r="BD14" s="19">
        <f>IF(Time!BD6=1,$F$7,BC16)</f>
        <v/>
      </c>
      <c r="BE14" s="19">
        <f>IF(Time!BE6=1,$F$7,BD16)</f>
        <v/>
      </c>
      <c r="BF14" s="19">
        <f>IF(Time!BF6=1,$F$7,BE16)</f>
        <v/>
      </c>
      <c r="BG14" s="19">
        <f>IF(Time!BG6=1,$F$7,BF16)</f>
        <v/>
      </c>
      <c r="BH14" s="19">
        <f>IF(Time!BH6=1,$F$7,BG16)</f>
        <v/>
      </c>
      <c r="BI14" s="19">
        <f>IF(Time!BI6=1,$F$7,BH16)</f>
        <v/>
      </c>
      <c r="BJ14" s="19">
        <f>IF(Time!BJ6=1,$F$7,BI16)</f>
        <v/>
      </c>
      <c r="BK14" s="19">
        <f>IF(Time!BK6=1,$F$7,BJ16)</f>
        <v/>
      </c>
      <c r="BL14" s="19">
        <f>IF(Time!BL6=1,$F$7,BK16)</f>
        <v/>
      </c>
      <c r="BM14" s="19">
        <f>IF(Time!BM6=1,$F$7,BL16)</f>
        <v/>
      </c>
      <c r="BN14" s="19">
        <f>IF(Time!BN6=1,$F$7,BM16)</f>
        <v/>
      </c>
      <c r="BO14" s="19">
        <f>IF(Time!BO6=1,$F$7,BN16)</f>
        <v/>
      </c>
      <c r="BP14" s="19">
        <f>IF(Time!BP6=1,$F$7,BO16)</f>
        <v/>
      </c>
      <c r="BQ14" s="19">
        <f>IF(Time!BQ6=1,$F$7,BP16)</f>
        <v/>
      </c>
      <c r="BR14" s="19">
        <f>IF(Time!BR6=1,$F$7,BQ16)</f>
        <v/>
      </c>
      <c r="BS14" s="19">
        <f>IF(Time!BS6=1,$F$7,BR16)</f>
        <v/>
      </c>
      <c r="BT14" s="19">
        <f>IF(Time!BT6=1,$F$7,BS16)</f>
        <v/>
      </c>
      <c r="BU14" s="19">
        <f>IF(Time!BU6=1,$F$7,BT16)</f>
        <v/>
      </c>
      <c r="BV14" s="19">
        <f>IF(Time!BV6=1,$F$7,BU16)</f>
        <v/>
      </c>
      <c r="BW14" s="19">
        <f>IF(Time!BW6=1,$F$7,BV16)</f>
        <v/>
      </c>
      <c r="BX14" s="19">
        <f>IF(Time!BX6=1,$F$7,BW16)</f>
        <v/>
      </c>
      <c r="BY14" s="19">
        <f>IF(Time!BY6=1,$F$7,BX16)</f>
        <v/>
      </c>
      <c r="BZ14" s="19">
        <f>IF(Time!BZ6=1,$F$7,BY16)</f>
        <v/>
      </c>
      <c r="CA14" s="19">
        <f>IF(Time!CA6=1,$F$7,BZ16)</f>
        <v/>
      </c>
      <c r="CB14" s="19">
        <f>IF(Time!CB6=1,$F$7,CA16)</f>
        <v/>
      </c>
      <c r="CC14" s="19">
        <f>IF(Time!CC6=1,$F$7,CB16)</f>
        <v/>
      </c>
      <c r="CD14" s="19">
        <f>IF(Time!CD6=1,$F$7,CC16)</f>
        <v/>
      </c>
      <c r="CE14" s="19">
        <f>IF(Time!CE6=1,$F$7,CD16)</f>
        <v/>
      </c>
      <c r="CF14" s="19">
        <f>IF(Time!CF6=1,$F$7,CE16)</f>
        <v/>
      </c>
      <c r="CG14" s="19">
        <f>IF(Time!CG6=1,$F$7,CF16)</f>
        <v/>
      </c>
      <c r="CH14" s="19">
        <f>IF(Time!CH6=1,$F$7,CG16)</f>
        <v/>
      </c>
      <c r="CI14" s="19">
        <f>IF(Time!CI6=1,$F$7,CH16)</f>
        <v/>
      </c>
      <c r="CJ14" s="19">
        <f>IF(Time!CJ6=1,$F$7,CI16)</f>
        <v/>
      </c>
      <c r="CK14" s="19">
        <f>IF(Time!CK6=1,$F$7,CJ16)</f>
        <v/>
      </c>
      <c r="CL14" s="19">
        <f>IF(Time!CL6=1,$F$7,CK16)</f>
        <v/>
      </c>
      <c r="CM14" s="19">
        <f>IF(Time!CM6=1,$F$7,CL16)</f>
        <v/>
      </c>
      <c r="CN14" s="19">
        <f>IF(Time!CN6=1,$F$7,CM16)</f>
        <v/>
      </c>
      <c r="CO14" s="19">
        <f>IF(Time!CO6=1,$F$7,CN16)</f>
        <v/>
      </c>
      <c r="CP14" s="19">
        <f>IF(Time!CP6=1,$F$7,CO16)</f>
        <v/>
      </c>
      <c r="CQ14" s="19">
        <f>IF(Time!CQ6=1,$F$7,CP16)</f>
        <v/>
      </c>
      <c r="CR14" s="19">
        <f>IF(Time!CR6=1,$F$7,CQ16)</f>
        <v/>
      </c>
      <c r="CS14" s="19">
        <f>IF(Time!CS6=1,$F$7,CR16)</f>
        <v/>
      </c>
      <c r="CT14" s="19">
        <f>IF(Time!CT6=1,$F$7,CS16)</f>
        <v/>
      </c>
      <c r="CU14" s="19">
        <f>IF(Time!CU6=1,$F$7,CT16)</f>
        <v/>
      </c>
      <c r="CV14" s="19">
        <f>IF(Time!CV6=1,$F$7,CU16)</f>
        <v/>
      </c>
      <c r="CW14" s="19">
        <f>IF(Time!CW6=1,$F$7,CV16)</f>
        <v/>
      </c>
      <c r="CX14" s="19">
        <f>IF(Time!CX6=1,$F$7,CW16)</f>
        <v/>
      </c>
      <c r="CY14" s="19">
        <f>IF(Time!CY6=1,$F$7,CX16)</f>
        <v/>
      </c>
      <c r="CZ14" s="19">
        <f>IF(Time!CZ6=1,$F$7,CY16)</f>
        <v/>
      </c>
      <c r="DA14" s="19">
        <f>IF(Time!DA6=1,$F$7,CZ16)</f>
        <v/>
      </c>
      <c r="DB14" s="19">
        <f>IF(Time!DB6=1,$F$7,DA16)</f>
        <v/>
      </c>
    </row>
    <row r="15">
      <c r="D15" t="inlineStr">
        <is>
          <t>Bond escrow earnings (deducted)</t>
        </is>
      </c>
      <c r="E15" t="inlineStr">
        <is>
          <t>ARD m</t>
        </is>
      </c>
      <c r="G15" s="19">
        <f>SUM(J15:DB15)</f>
        <v/>
      </c>
      <c r="J15" s="19">
        <f>J14*Inputs!$F$112*Time!J9/Inputs!$F$46*Time!J20</f>
        <v/>
      </c>
      <c r="K15" s="19">
        <f>K14*Inputs!$F$112*Time!K9/Inputs!$F$46*Time!K20</f>
        <v/>
      </c>
      <c r="L15" s="19">
        <f>L14*Inputs!$F$112*Time!L9/Inputs!$F$46*Time!L20</f>
        <v/>
      </c>
      <c r="M15" s="19">
        <f>M14*Inputs!$F$112*Time!M9/Inputs!$F$46*Time!M20</f>
        <v/>
      </c>
      <c r="N15" s="19">
        <f>N14*Inputs!$F$112*Time!N9/Inputs!$F$46*Time!N20</f>
        <v/>
      </c>
      <c r="O15" s="19">
        <f>O14*Inputs!$F$112*Time!O9/Inputs!$F$46*Time!O20</f>
        <v/>
      </c>
      <c r="P15" s="19">
        <f>P14*Inputs!$F$112*Time!P9/Inputs!$F$46*Time!P20</f>
        <v/>
      </c>
      <c r="Q15" s="19">
        <f>Q14*Inputs!$F$112*Time!Q9/Inputs!$F$46*Time!Q20</f>
        <v/>
      </c>
      <c r="R15" s="19">
        <f>R14*Inputs!$F$112*Time!R9/Inputs!$F$46*Time!R20</f>
        <v/>
      </c>
      <c r="S15" s="19">
        <f>S14*Inputs!$F$112*Time!S9/Inputs!$F$46*Time!S20</f>
        <v/>
      </c>
      <c r="T15" s="19">
        <f>T14*Inputs!$F$112*Time!T9/Inputs!$F$46*Time!T20</f>
        <v/>
      </c>
      <c r="U15" s="19">
        <f>U14*Inputs!$F$112*Time!U9/Inputs!$F$46*Time!U20</f>
        <v/>
      </c>
      <c r="V15" s="19">
        <f>V14*Inputs!$F$112*Time!V9/Inputs!$F$46*Time!V20</f>
        <v/>
      </c>
      <c r="W15" s="19">
        <f>W14*Inputs!$F$112*Time!W9/Inputs!$F$46*Time!W20</f>
        <v/>
      </c>
      <c r="X15" s="19">
        <f>X14*Inputs!$F$112*Time!X9/Inputs!$F$46*Time!X20</f>
        <v/>
      </c>
      <c r="Y15" s="19">
        <f>Y14*Inputs!$F$112*Time!Y9/Inputs!$F$46*Time!Y20</f>
        <v/>
      </c>
      <c r="Z15" s="19">
        <f>Z14*Inputs!$F$112*Time!Z9/Inputs!$F$46*Time!Z20</f>
        <v/>
      </c>
      <c r="AA15" s="19">
        <f>AA14*Inputs!$F$112*Time!AA9/Inputs!$F$46*Time!AA20</f>
        <v/>
      </c>
      <c r="AB15" s="19">
        <f>AB14*Inputs!$F$112*Time!AB9/Inputs!$F$46*Time!AB20</f>
        <v/>
      </c>
      <c r="AC15" s="19">
        <f>AC14*Inputs!$F$112*Time!AC9/Inputs!$F$46*Time!AC20</f>
        <v/>
      </c>
      <c r="AD15" s="19">
        <f>AD14*Inputs!$F$112*Time!AD9/Inputs!$F$46*Time!AD20</f>
        <v/>
      </c>
      <c r="AE15" s="19">
        <f>AE14*Inputs!$F$112*Time!AE9/Inputs!$F$46*Time!AE20</f>
        <v/>
      </c>
      <c r="AF15" s="19">
        <f>AF14*Inputs!$F$112*Time!AF9/Inputs!$F$46*Time!AF20</f>
        <v/>
      </c>
      <c r="AG15" s="19">
        <f>AG14*Inputs!$F$112*Time!AG9/Inputs!$F$46*Time!AG20</f>
        <v/>
      </c>
      <c r="AH15" s="19">
        <f>AH14*Inputs!$F$112*Time!AH9/Inputs!$F$46*Time!AH20</f>
        <v/>
      </c>
      <c r="AI15" s="19">
        <f>AI14*Inputs!$F$112*Time!AI9/Inputs!$F$46*Time!AI20</f>
        <v/>
      </c>
      <c r="AJ15" s="19">
        <f>AJ14*Inputs!$F$112*Time!AJ9/Inputs!$F$46*Time!AJ20</f>
        <v/>
      </c>
      <c r="AK15" s="19">
        <f>AK14*Inputs!$F$112*Time!AK9/Inputs!$F$46*Time!AK20</f>
        <v/>
      </c>
      <c r="AL15" s="19">
        <f>AL14*Inputs!$F$112*Time!AL9/Inputs!$F$46*Time!AL20</f>
        <v/>
      </c>
      <c r="AM15" s="19">
        <f>AM14*Inputs!$F$112*Time!AM9/Inputs!$F$46*Time!AM20</f>
        <v/>
      </c>
      <c r="AN15" s="19">
        <f>AN14*Inputs!$F$112*Time!AN9/Inputs!$F$46*Time!AN20</f>
        <v/>
      </c>
      <c r="AO15" s="19">
        <f>AO14*Inputs!$F$112*Time!AO9/Inputs!$F$46*Time!AO20</f>
        <v/>
      </c>
      <c r="AP15" s="19">
        <f>AP14*Inputs!$F$112*Time!AP9/Inputs!$F$46*Time!AP20</f>
        <v/>
      </c>
      <c r="AQ15" s="19">
        <f>AQ14*Inputs!$F$112*Time!AQ9/Inputs!$F$46*Time!AQ20</f>
        <v/>
      </c>
      <c r="AR15" s="19">
        <f>AR14*Inputs!$F$112*Time!AR9/Inputs!$F$46*Time!AR20</f>
        <v/>
      </c>
      <c r="AS15" s="19">
        <f>AS14*Inputs!$F$112*Time!AS9/Inputs!$F$46*Time!AS20</f>
        <v/>
      </c>
      <c r="AT15" s="19">
        <f>AT14*Inputs!$F$112*Time!AT9/Inputs!$F$46*Time!AT20</f>
        <v/>
      </c>
      <c r="AU15" s="19">
        <f>AU14*Inputs!$F$112*Time!AU9/Inputs!$F$46*Time!AU20</f>
        <v/>
      </c>
      <c r="AV15" s="19">
        <f>AV14*Inputs!$F$112*Time!AV9/Inputs!$F$46*Time!AV20</f>
        <v/>
      </c>
      <c r="AW15" s="19">
        <f>AW14*Inputs!$F$112*Time!AW9/Inputs!$F$46*Time!AW20</f>
        <v/>
      </c>
      <c r="AX15" s="19">
        <f>AX14*Inputs!$F$112*Time!AX9/Inputs!$F$46*Time!AX20</f>
        <v/>
      </c>
      <c r="AY15" s="19">
        <f>AY14*Inputs!$F$112*Time!AY9/Inputs!$F$46*Time!AY20</f>
        <v/>
      </c>
      <c r="AZ15" s="19">
        <f>AZ14*Inputs!$F$112*Time!AZ9/Inputs!$F$46*Time!AZ20</f>
        <v/>
      </c>
      <c r="BA15" s="19">
        <f>BA14*Inputs!$F$112*Time!BA9/Inputs!$F$46*Time!BA20</f>
        <v/>
      </c>
      <c r="BB15" s="19">
        <f>BB14*Inputs!$F$112*Time!BB9/Inputs!$F$46*Time!BB20</f>
        <v/>
      </c>
      <c r="BC15" s="19">
        <f>BC14*Inputs!$F$112*Time!BC9/Inputs!$F$46*Time!BC20</f>
        <v/>
      </c>
      <c r="BD15" s="19">
        <f>BD14*Inputs!$F$112*Time!BD9/Inputs!$F$46*Time!BD20</f>
        <v/>
      </c>
      <c r="BE15" s="19">
        <f>BE14*Inputs!$F$112*Time!BE9/Inputs!$F$46*Time!BE20</f>
        <v/>
      </c>
      <c r="BF15" s="19">
        <f>BF14*Inputs!$F$112*Time!BF9/Inputs!$F$46*Time!BF20</f>
        <v/>
      </c>
      <c r="BG15" s="19">
        <f>BG14*Inputs!$F$112*Time!BG9/Inputs!$F$46*Time!BG20</f>
        <v/>
      </c>
      <c r="BH15" s="19">
        <f>BH14*Inputs!$F$112*Time!BH9/Inputs!$F$46*Time!BH20</f>
        <v/>
      </c>
      <c r="BI15" s="19">
        <f>BI14*Inputs!$F$112*Time!BI9/Inputs!$F$46*Time!BI20</f>
        <v/>
      </c>
      <c r="BJ15" s="19">
        <f>BJ14*Inputs!$F$112*Time!BJ9/Inputs!$F$46*Time!BJ20</f>
        <v/>
      </c>
      <c r="BK15" s="19">
        <f>BK14*Inputs!$F$112*Time!BK9/Inputs!$F$46*Time!BK20</f>
        <v/>
      </c>
      <c r="BL15" s="19">
        <f>BL14*Inputs!$F$112*Time!BL9/Inputs!$F$46*Time!BL20</f>
        <v/>
      </c>
      <c r="BM15" s="19">
        <f>BM14*Inputs!$F$112*Time!BM9/Inputs!$F$46*Time!BM20</f>
        <v/>
      </c>
      <c r="BN15" s="19">
        <f>BN14*Inputs!$F$112*Time!BN9/Inputs!$F$46*Time!BN20</f>
        <v/>
      </c>
      <c r="BO15" s="19">
        <f>BO14*Inputs!$F$112*Time!BO9/Inputs!$F$46*Time!BO20</f>
        <v/>
      </c>
      <c r="BP15" s="19">
        <f>BP14*Inputs!$F$112*Time!BP9/Inputs!$F$46*Time!BP20</f>
        <v/>
      </c>
      <c r="BQ15" s="19">
        <f>BQ14*Inputs!$F$112*Time!BQ9/Inputs!$F$46*Time!BQ20</f>
        <v/>
      </c>
      <c r="BR15" s="19">
        <f>BR14*Inputs!$F$112*Time!BR9/Inputs!$F$46*Time!BR20</f>
        <v/>
      </c>
      <c r="BS15" s="19">
        <f>BS14*Inputs!$F$112*Time!BS9/Inputs!$F$46*Time!BS20</f>
        <v/>
      </c>
      <c r="BT15" s="19">
        <f>BT14*Inputs!$F$112*Time!BT9/Inputs!$F$46*Time!BT20</f>
        <v/>
      </c>
      <c r="BU15" s="19">
        <f>BU14*Inputs!$F$112*Time!BU9/Inputs!$F$46*Time!BU20</f>
        <v/>
      </c>
      <c r="BV15" s="19">
        <f>BV14*Inputs!$F$112*Time!BV9/Inputs!$F$46*Time!BV20</f>
        <v/>
      </c>
      <c r="BW15" s="19">
        <f>BW14*Inputs!$F$112*Time!BW9/Inputs!$F$46*Time!BW20</f>
        <v/>
      </c>
      <c r="BX15" s="19">
        <f>BX14*Inputs!$F$112*Time!BX9/Inputs!$F$46*Time!BX20</f>
        <v/>
      </c>
      <c r="BY15" s="19">
        <f>BY14*Inputs!$F$112*Time!BY9/Inputs!$F$46*Time!BY20</f>
        <v/>
      </c>
      <c r="BZ15" s="19">
        <f>BZ14*Inputs!$F$112*Time!BZ9/Inputs!$F$46*Time!BZ20</f>
        <v/>
      </c>
      <c r="CA15" s="19">
        <f>CA14*Inputs!$F$112*Time!CA9/Inputs!$F$46*Time!CA20</f>
        <v/>
      </c>
      <c r="CB15" s="19">
        <f>CB14*Inputs!$F$112*Time!CB9/Inputs!$F$46*Time!CB20</f>
        <v/>
      </c>
      <c r="CC15" s="19">
        <f>CC14*Inputs!$F$112*Time!CC9/Inputs!$F$46*Time!CC20</f>
        <v/>
      </c>
      <c r="CD15" s="19">
        <f>CD14*Inputs!$F$112*Time!CD9/Inputs!$F$46*Time!CD20</f>
        <v/>
      </c>
      <c r="CE15" s="19">
        <f>CE14*Inputs!$F$112*Time!CE9/Inputs!$F$46*Time!CE20</f>
        <v/>
      </c>
      <c r="CF15" s="19">
        <f>CF14*Inputs!$F$112*Time!CF9/Inputs!$F$46*Time!CF20</f>
        <v/>
      </c>
      <c r="CG15" s="19">
        <f>CG14*Inputs!$F$112*Time!CG9/Inputs!$F$46*Time!CG20</f>
        <v/>
      </c>
      <c r="CH15" s="19">
        <f>CH14*Inputs!$F$112*Time!CH9/Inputs!$F$46*Time!CH20</f>
        <v/>
      </c>
      <c r="CI15" s="19">
        <f>CI14*Inputs!$F$112*Time!CI9/Inputs!$F$46*Time!CI20</f>
        <v/>
      </c>
      <c r="CJ15" s="19">
        <f>CJ14*Inputs!$F$112*Time!CJ9/Inputs!$F$46*Time!CJ20</f>
        <v/>
      </c>
      <c r="CK15" s="19">
        <f>CK14*Inputs!$F$112*Time!CK9/Inputs!$F$46*Time!CK20</f>
        <v/>
      </c>
      <c r="CL15" s="19">
        <f>CL14*Inputs!$F$112*Time!CL9/Inputs!$F$46*Time!CL20</f>
        <v/>
      </c>
      <c r="CM15" s="19">
        <f>CM14*Inputs!$F$112*Time!CM9/Inputs!$F$46*Time!CM20</f>
        <v/>
      </c>
      <c r="CN15" s="19">
        <f>CN14*Inputs!$F$112*Time!CN9/Inputs!$F$46*Time!CN20</f>
        <v/>
      </c>
      <c r="CO15" s="19">
        <f>CO14*Inputs!$F$112*Time!CO9/Inputs!$F$46*Time!CO20</f>
        <v/>
      </c>
      <c r="CP15" s="19">
        <f>CP14*Inputs!$F$112*Time!CP9/Inputs!$F$46*Time!CP20</f>
        <v/>
      </c>
      <c r="CQ15" s="19">
        <f>CQ14*Inputs!$F$112*Time!CQ9/Inputs!$F$46*Time!CQ20</f>
        <v/>
      </c>
      <c r="CR15" s="19">
        <f>CR14*Inputs!$F$112*Time!CR9/Inputs!$F$46*Time!CR20</f>
        <v/>
      </c>
      <c r="CS15" s="19">
        <f>CS14*Inputs!$F$112*Time!CS9/Inputs!$F$46*Time!CS20</f>
        <v/>
      </c>
      <c r="CT15" s="19">
        <f>CT14*Inputs!$F$112*Time!CT9/Inputs!$F$46*Time!CT20</f>
        <v/>
      </c>
      <c r="CU15" s="19">
        <f>CU14*Inputs!$F$112*Time!CU9/Inputs!$F$46*Time!CU20</f>
        <v/>
      </c>
      <c r="CV15" s="19">
        <f>CV14*Inputs!$F$112*Time!CV9/Inputs!$F$46*Time!CV20</f>
        <v/>
      </c>
      <c r="CW15" s="19">
        <f>CW14*Inputs!$F$112*Time!CW9/Inputs!$F$46*Time!CW20</f>
        <v/>
      </c>
      <c r="CX15" s="19">
        <f>CX14*Inputs!$F$112*Time!CX9/Inputs!$F$46*Time!CX20</f>
        <v/>
      </c>
      <c r="CY15" s="19">
        <f>CY14*Inputs!$F$112*Time!CY9/Inputs!$F$46*Time!CY20</f>
        <v/>
      </c>
      <c r="CZ15" s="19">
        <f>CZ14*Inputs!$F$112*Time!CZ9/Inputs!$F$46*Time!CZ20</f>
        <v/>
      </c>
      <c r="DA15" s="19">
        <f>DA14*Inputs!$F$112*Time!DA9/Inputs!$F$46*Time!DA20</f>
        <v/>
      </c>
      <c r="DB15" s="19">
        <f>DB14*Inputs!$F$112*Time!DB9/Inputs!$F$46*Time!DB20</f>
        <v/>
      </c>
    </row>
    <row r="16">
      <c r="D16" t="inlineStr">
        <is>
          <t>Bond escrow: closing</t>
        </is>
      </c>
      <c r="E16" t="inlineStr">
        <is>
          <t>ARD m</t>
        </is>
      </c>
      <c r="J16" s="19">
        <f>J14-J36</f>
        <v/>
      </c>
      <c r="K16" s="19">
        <f>K14-K36</f>
        <v/>
      </c>
      <c r="L16" s="19">
        <f>L14-L36</f>
        <v/>
      </c>
      <c r="M16" s="19">
        <f>M14-M36</f>
        <v/>
      </c>
      <c r="N16" s="19">
        <f>N14-N36</f>
        <v/>
      </c>
      <c r="O16" s="19">
        <f>O14-O36</f>
        <v/>
      </c>
      <c r="P16" s="19">
        <f>P14-P36</f>
        <v/>
      </c>
      <c r="Q16" s="19">
        <f>Q14-Q36</f>
        <v/>
      </c>
      <c r="R16" s="19">
        <f>R14-R36</f>
        <v/>
      </c>
      <c r="S16" s="19">
        <f>S14-S36</f>
        <v/>
      </c>
      <c r="T16" s="19">
        <f>T14-T36</f>
        <v/>
      </c>
      <c r="U16" s="19">
        <f>U14-U36</f>
        <v/>
      </c>
      <c r="V16" s="19">
        <f>V14-V36</f>
        <v/>
      </c>
      <c r="W16" s="19">
        <f>W14-W36</f>
        <v/>
      </c>
      <c r="X16" s="19">
        <f>X14-X36</f>
        <v/>
      </c>
      <c r="Y16" s="19">
        <f>Y14-Y36</f>
        <v/>
      </c>
      <c r="Z16" s="19">
        <f>Z14-Z36</f>
        <v/>
      </c>
      <c r="AA16" s="19">
        <f>AA14-AA36</f>
        <v/>
      </c>
      <c r="AB16" s="19">
        <f>AB14-AB36</f>
        <v/>
      </c>
      <c r="AC16" s="19">
        <f>AC14-AC36</f>
        <v/>
      </c>
      <c r="AD16" s="19">
        <f>AD14-AD36</f>
        <v/>
      </c>
      <c r="AE16" s="19">
        <f>AE14-AE36</f>
        <v/>
      </c>
      <c r="AF16" s="19">
        <f>AF14-AF36</f>
        <v/>
      </c>
      <c r="AG16" s="19">
        <f>AG14-AG36</f>
        <v/>
      </c>
      <c r="AH16" s="19">
        <f>AH14-AH36</f>
        <v/>
      </c>
      <c r="AI16" s="19">
        <f>AI14-AI36</f>
        <v/>
      </c>
      <c r="AJ16" s="19">
        <f>AJ14-AJ36</f>
        <v/>
      </c>
      <c r="AK16" s="19">
        <f>AK14-AK36</f>
        <v/>
      </c>
      <c r="AL16" s="19">
        <f>AL14-AL36</f>
        <v/>
      </c>
      <c r="AM16" s="19">
        <f>AM14-AM36</f>
        <v/>
      </c>
      <c r="AN16" s="19">
        <f>AN14-AN36</f>
        <v/>
      </c>
      <c r="AO16" s="19">
        <f>AO14-AO36</f>
        <v/>
      </c>
      <c r="AP16" s="19">
        <f>AP14-AP36</f>
        <v/>
      </c>
      <c r="AQ16" s="19">
        <f>AQ14-AQ36</f>
        <v/>
      </c>
      <c r="AR16" s="19">
        <f>AR14-AR36</f>
        <v/>
      </c>
      <c r="AS16" s="19">
        <f>AS14-AS36</f>
        <v/>
      </c>
      <c r="AT16" s="19">
        <f>AT14-AT36</f>
        <v/>
      </c>
      <c r="AU16" s="19">
        <f>AU14-AU36</f>
        <v/>
      </c>
      <c r="AV16" s="19">
        <f>AV14-AV36</f>
        <v/>
      </c>
      <c r="AW16" s="19">
        <f>AW14-AW36</f>
        <v/>
      </c>
      <c r="AX16" s="19">
        <f>AX14-AX36</f>
        <v/>
      </c>
      <c r="AY16" s="19">
        <f>AY14-AY36</f>
        <v/>
      </c>
      <c r="AZ16" s="19">
        <f>AZ14-AZ36</f>
        <v/>
      </c>
      <c r="BA16" s="19">
        <f>BA14-BA36</f>
        <v/>
      </c>
      <c r="BB16" s="19">
        <f>BB14-BB36</f>
        <v/>
      </c>
      <c r="BC16" s="19">
        <f>BC14-BC36</f>
        <v/>
      </c>
      <c r="BD16" s="19">
        <f>BD14-BD36</f>
        <v/>
      </c>
      <c r="BE16" s="19">
        <f>BE14-BE36</f>
        <v/>
      </c>
      <c r="BF16" s="19">
        <f>BF14-BF36</f>
        <v/>
      </c>
      <c r="BG16" s="19">
        <f>BG14-BG36</f>
        <v/>
      </c>
      <c r="BH16" s="19">
        <f>BH14-BH36</f>
        <v/>
      </c>
      <c r="BI16" s="19">
        <f>BI14-BI36</f>
        <v/>
      </c>
      <c r="BJ16" s="19">
        <f>BJ14-BJ36</f>
        <v/>
      </c>
      <c r="BK16" s="19">
        <f>BK14-BK36</f>
        <v/>
      </c>
      <c r="BL16" s="19">
        <f>BL14-BL36</f>
        <v/>
      </c>
      <c r="BM16" s="19">
        <f>BM14-BM36</f>
        <v/>
      </c>
      <c r="BN16" s="19">
        <f>BN14-BN36</f>
        <v/>
      </c>
      <c r="BO16" s="19">
        <f>BO14-BO36</f>
        <v/>
      </c>
      <c r="BP16" s="19">
        <f>BP14-BP36</f>
        <v/>
      </c>
      <c r="BQ16" s="19">
        <f>BQ14-BQ36</f>
        <v/>
      </c>
      <c r="BR16" s="19">
        <f>BR14-BR36</f>
        <v/>
      </c>
      <c r="BS16" s="19">
        <f>BS14-BS36</f>
        <v/>
      </c>
      <c r="BT16" s="19">
        <f>BT14-BT36</f>
        <v/>
      </c>
      <c r="BU16" s="19">
        <f>BU14-BU36</f>
        <v/>
      </c>
      <c r="BV16" s="19">
        <f>BV14-BV36</f>
        <v/>
      </c>
      <c r="BW16" s="19">
        <f>BW14-BW36</f>
        <v/>
      </c>
      <c r="BX16" s="19">
        <f>BX14-BX36</f>
        <v/>
      </c>
      <c r="BY16" s="19">
        <f>BY14-BY36</f>
        <v/>
      </c>
      <c r="BZ16" s="19">
        <f>BZ14-BZ36</f>
        <v/>
      </c>
      <c r="CA16" s="19">
        <f>CA14-CA36</f>
        <v/>
      </c>
      <c r="CB16" s="19">
        <f>CB14-CB36</f>
        <v/>
      </c>
      <c r="CC16" s="19">
        <f>CC14-CC36</f>
        <v/>
      </c>
      <c r="CD16" s="19">
        <f>CD14-CD36</f>
        <v/>
      </c>
      <c r="CE16" s="19">
        <f>CE14-CE36</f>
        <v/>
      </c>
      <c r="CF16" s="19">
        <f>CF14-CF36</f>
        <v/>
      </c>
      <c r="CG16" s="19">
        <f>CG14-CG36</f>
        <v/>
      </c>
      <c r="CH16" s="19">
        <f>CH14-CH36</f>
        <v/>
      </c>
      <c r="CI16" s="19">
        <f>CI14-CI36</f>
        <v/>
      </c>
      <c r="CJ16" s="19">
        <f>CJ14-CJ36</f>
        <v/>
      </c>
      <c r="CK16" s="19">
        <f>CK14-CK36</f>
        <v/>
      </c>
      <c r="CL16" s="19">
        <f>CL14-CL36</f>
        <v/>
      </c>
      <c r="CM16" s="19">
        <f>CM14-CM36</f>
        <v/>
      </c>
      <c r="CN16" s="19">
        <f>CN14-CN36</f>
        <v/>
      </c>
      <c r="CO16" s="19">
        <f>CO14-CO36</f>
        <v/>
      </c>
      <c r="CP16" s="19">
        <f>CP14-CP36</f>
        <v/>
      </c>
      <c r="CQ16" s="19">
        <f>CQ14-CQ36</f>
        <v/>
      </c>
      <c r="CR16" s="19">
        <f>CR14-CR36</f>
        <v/>
      </c>
      <c r="CS16" s="19">
        <f>CS14-CS36</f>
        <v/>
      </c>
      <c r="CT16" s="19">
        <f>CT14-CT36</f>
        <v/>
      </c>
      <c r="CU16" s="19">
        <f>CU14-CU36</f>
        <v/>
      </c>
      <c r="CV16" s="19">
        <f>CV14-CV36</f>
        <v/>
      </c>
      <c r="CW16" s="19">
        <f>CW14-CW36</f>
        <v/>
      </c>
      <c r="CX16" s="19">
        <f>CX14-CX36</f>
        <v/>
      </c>
      <c r="CY16" s="19">
        <f>CY14-CY36</f>
        <v/>
      </c>
      <c r="CZ16" s="19">
        <f>CZ14-CZ36</f>
        <v/>
      </c>
      <c r="DA16" s="19">
        <f>DA14-DA36</f>
        <v/>
      </c>
      <c r="DB16" s="19">
        <f>DB14-DB36</f>
        <v/>
      </c>
    </row>
    <row r="17">
      <c r="D17" t="inlineStr">
        <is>
          <t>Contribution bridge: opening</t>
        </is>
      </c>
      <c r="E17" t="inlineStr">
        <is>
          <t>ARD m</t>
        </is>
      </c>
      <c r="J17" s="19">
        <f>I40</f>
        <v/>
      </c>
      <c r="K17" s="19">
        <f>J40</f>
        <v/>
      </c>
      <c r="L17" s="19">
        <f>K40</f>
        <v/>
      </c>
      <c r="M17" s="19">
        <f>L40</f>
        <v/>
      </c>
      <c r="N17" s="19">
        <f>M40</f>
        <v/>
      </c>
      <c r="O17" s="19">
        <f>N40</f>
        <v/>
      </c>
      <c r="P17" s="19">
        <f>O40</f>
        <v/>
      </c>
      <c r="Q17" s="19">
        <f>P40</f>
        <v/>
      </c>
      <c r="R17" s="19">
        <f>Q40</f>
        <v/>
      </c>
      <c r="S17" s="19">
        <f>R40</f>
        <v/>
      </c>
      <c r="T17" s="19">
        <f>S40</f>
        <v/>
      </c>
      <c r="U17" s="19">
        <f>T40</f>
        <v/>
      </c>
      <c r="V17" s="19">
        <f>U40</f>
        <v/>
      </c>
      <c r="W17" s="19">
        <f>V40</f>
        <v/>
      </c>
      <c r="X17" s="19">
        <f>W40</f>
        <v/>
      </c>
      <c r="Y17" s="19">
        <f>X40</f>
        <v/>
      </c>
      <c r="Z17" s="19">
        <f>Y40</f>
        <v/>
      </c>
      <c r="AA17" s="19">
        <f>Z40</f>
        <v/>
      </c>
      <c r="AB17" s="19">
        <f>AA40</f>
        <v/>
      </c>
      <c r="AC17" s="19">
        <f>AB40</f>
        <v/>
      </c>
      <c r="AD17" s="19">
        <f>AC40</f>
        <v/>
      </c>
      <c r="AE17" s="19">
        <f>AD40</f>
        <v/>
      </c>
      <c r="AF17" s="19">
        <f>AE40</f>
        <v/>
      </c>
      <c r="AG17" s="19">
        <f>AF40</f>
        <v/>
      </c>
      <c r="AH17" s="19">
        <f>AG40</f>
        <v/>
      </c>
      <c r="AI17" s="19">
        <f>AH40</f>
        <v/>
      </c>
      <c r="AJ17" s="19">
        <f>AI40</f>
        <v/>
      </c>
      <c r="AK17" s="19">
        <f>AJ40</f>
        <v/>
      </c>
      <c r="AL17" s="19">
        <f>AK40</f>
        <v/>
      </c>
      <c r="AM17" s="19">
        <f>AL40</f>
        <v/>
      </c>
      <c r="AN17" s="19">
        <f>AM40</f>
        <v/>
      </c>
      <c r="AO17" s="19">
        <f>AN40</f>
        <v/>
      </c>
      <c r="AP17" s="19">
        <f>AO40</f>
        <v/>
      </c>
      <c r="AQ17" s="19">
        <f>AP40</f>
        <v/>
      </c>
      <c r="AR17" s="19">
        <f>AQ40</f>
        <v/>
      </c>
      <c r="AS17" s="19">
        <f>AR40</f>
        <v/>
      </c>
      <c r="AT17" s="19">
        <f>AS40</f>
        <v/>
      </c>
      <c r="AU17" s="19">
        <f>AT40</f>
        <v/>
      </c>
      <c r="AV17" s="19">
        <f>AU40</f>
        <v/>
      </c>
      <c r="AW17" s="19">
        <f>AV40</f>
        <v/>
      </c>
      <c r="AX17" s="19">
        <f>AW40</f>
        <v/>
      </c>
      <c r="AY17" s="19">
        <f>AX40</f>
        <v/>
      </c>
      <c r="AZ17" s="19">
        <f>AY40</f>
        <v/>
      </c>
      <c r="BA17" s="19">
        <f>AZ40</f>
        <v/>
      </c>
      <c r="BB17" s="19">
        <f>BA40</f>
        <v/>
      </c>
      <c r="BC17" s="19">
        <f>BB40</f>
        <v/>
      </c>
      <c r="BD17" s="19">
        <f>BC40</f>
        <v/>
      </c>
      <c r="BE17" s="19">
        <f>BD40</f>
        <v/>
      </c>
      <c r="BF17" s="19">
        <f>BE40</f>
        <v/>
      </c>
      <c r="BG17" s="19">
        <f>BF40</f>
        <v/>
      </c>
      <c r="BH17" s="19">
        <f>BG40</f>
        <v/>
      </c>
      <c r="BI17" s="19">
        <f>BH40</f>
        <v/>
      </c>
      <c r="BJ17" s="19">
        <f>BI40</f>
        <v/>
      </c>
      <c r="BK17" s="19">
        <f>BJ40</f>
        <v/>
      </c>
      <c r="BL17" s="19">
        <f>BK40</f>
        <v/>
      </c>
      <c r="BM17" s="19">
        <f>BL40</f>
        <v/>
      </c>
      <c r="BN17" s="19">
        <f>BM40</f>
        <v/>
      </c>
      <c r="BO17" s="19">
        <f>BN40</f>
        <v/>
      </c>
      <c r="BP17" s="19">
        <f>BO40</f>
        <v/>
      </c>
      <c r="BQ17" s="19">
        <f>BP40</f>
        <v/>
      </c>
      <c r="BR17" s="19">
        <f>BQ40</f>
        <v/>
      </c>
      <c r="BS17" s="19">
        <f>BR40</f>
        <v/>
      </c>
      <c r="BT17" s="19">
        <f>BS40</f>
        <v/>
      </c>
      <c r="BU17" s="19">
        <f>BT40</f>
        <v/>
      </c>
      <c r="BV17" s="19">
        <f>BU40</f>
        <v/>
      </c>
      <c r="BW17" s="19">
        <f>BV40</f>
        <v/>
      </c>
      <c r="BX17" s="19">
        <f>BW40</f>
        <v/>
      </c>
      <c r="BY17" s="19">
        <f>BX40</f>
        <v/>
      </c>
      <c r="BZ17" s="19">
        <f>BY40</f>
        <v/>
      </c>
      <c r="CA17" s="19">
        <f>BZ40</f>
        <v/>
      </c>
      <c r="CB17" s="19">
        <f>CA40</f>
        <v/>
      </c>
      <c r="CC17" s="19">
        <f>CB40</f>
        <v/>
      </c>
      <c r="CD17" s="19">
        <f>CC40</f>
        <v/>
      </c>
      <c r="CE17" s="19">
        <f>CD40</f>
        <v/>
      </c>
      <c r="CF17" s="19">
        <f>CE40</f>
        <v/>
      </c>
      <c r="CG17" s="19">
        <f>CF40</f>
        <v/>
      </c>
      <c r="CH17" s="19">
        <f>CG40</f>
        <v/>
      </c>
      <c r="CI17" s="19">
        <f>CH40</f>
        <v/>
      </c>
      <c r="CJ17" s="19">
        <f>CI40</f>
        <v/>
      </c>
      <c r="CK17" s="19">
        <f>CJ40</f>
        <v/>
      </c>
      <c r="CL17" s="19">
        <f>CK40</f>
        <v/>
      </c>
      <c r="CM17" s="19">
        <f>CL40</f>
        <v/>
      </c>
      <c r="CN17" s="19">
        <f>CM40</f>
        <v/>
      </c>
      <c r="CO17" s="19">
        <f>CN40</f>
        <v/>
      </c>
      <c r="CP17" s="19">
        <f>CO40</f>
        <v/>
      </c>
      <c r="CQ17" s="19">
        <f>CP40</f>
        <v/>
      </c>
      <c r="CR17" s="19">
        <f>CQ40</f>
        <v/>
      </c>
      <c r="CS17" s="19">
        <f>CR40</f>
        <v/>
      </c>
      <c r="CT17" s="19">
        <f>CS40</f>
        <v/>
      </c>
      <c r="CU17" s="19">
        <f>CT40</f>
        <v/>
      </c>
      <c r="CV17" s="19">
        <f>CU40</f>
        <v/>
      </c>
      <c r="CW17" s="19">
        <f>CV40</f>
        <v/>
      </c>
      <c r="CX17" s="19">
        <f>CW40</f>
        <v/>
      </c>
      <c r="CY17" s="19">
        <f>CX40</f>
        <v/>
      </c>
      <c r="CZ17" s="19">
        <f>CY40</f>
        <v/>
      </c>
      <c r="DA17" s="19">
        <f>CZ40</f>
        <v/>
      </c>
      <c r="DB17" s="19">
        <f>DA40</f>
        <v/>
      </c>
    </row>
    <row r="18">
      <c r="D18" t="inlineStr">
        <is>
          <t>Bridge interest</t>
        </is>
      </c>
      <c r="E18" t="inlineStr">
        <is>
          <t>ARD m</t>
        </is>
      </c>
      <c r="G18" s="19">
        <f>SUM(J18:DB18)</f>
        <v/>
      </c>
      <c r="J18" s="19">
        <f>J17*(Time!J54/100+Inputs!$F$84)*MAX(0,MIN(Time!J8,Time!$F$16)-Time!J7)/Inputs!$F$46</f>
        <v/>
      </c>
      <c r="K18" s="19">
        <f>K17*(Time!K54/100+Inputs!$F$84)*MAX(0,MIN(Time!K8,Time!$F$16)-Time!K7)/Inputs!$F$46</f>
        <v/>
      </c>
      <c r="L18" s="19">
        <f>L17*(Time!L54/100+Inputs!$F$84)*MAX(0,MIN(Time!L8,Time!$F$16)-Time!L7)/Inputs!$F$46</f>
        <v/>
      </c>
      <c r="M18" s="19">
        <f>M17*(Time!M54/100+Inputs!$F$84)*MAX(0,MIN(Time!M8,Time!$F$16)-Time!M7)/Inputs!$F$46</f>
        <v/>
      </c>
      <c r="N18" s="19">
        <f>N17*(Time!N54/100+Inputs!$F$84)*MAX(0,MIN(Time!N8,Time!$F$16)-Time!N7)/Inputs!$F$46</f>
        <v/>
      </c>
      <c r="O18" s="19">
        <f>O17*(Time!O54/100+Inputs!$F$84)*MAX(0,MIN(Time!O8,Time!$F$16)-Time!O7)/Inputs!$F$46</f>
        <v/>
      </c>
      <c r="P18" s="19">
        <f>P17*(Time!P54/100+Inputs!$F$84)*MAX(0,MIN(Time!P8,Time!$F$16)-Time!P7)/Inputs!$F$46</f>
        <v/>
      </c>
      <c r="Q18" s="19">
        <f>Q17*(Time!Q54/100+Inputs!$F$84)*MAX(0,MIN(Time!Q8,Time!$F$16)-Time!Q7)/Inputs!$F$46</f>
        <v/>
      </c>
      <c r="R18" s="19">
        <f>R17*(Time!R54/100+Inputs!$F$84)*MAX(0,MIN(Time!R8,Time!$F$16)-Time!R7)/Inputs!$F$46</f>
        <v/>
      </c>
      <c r="S18" s="19">
        <f>S17*(Time!S54/100+Inputs!$F$84)*MAX(0,MIN(Time!S8,Time!$F$16)-Time!S7)/Inputs!$F$46</f>
        <v/>
      </c>
      <c r="T18" s="19">
        <f>T17*(Time!T54/100+Inputs!$F$84)*MAX(0,MIN(Time!T8,Time!$F$16)-Time!T7)/Inputs!$F$46</f>
        <v/>
      </c>
      <c r="U18" s="19">
        <f>U17*(Time!U54/100+Inputs!$F$84)*MAX(0,MIN(Time!U8,Time!$F$16)-Time!U7)/Inputs!$F$46</f>
        <v/>
      </c>
      <c r="V18" s="19">
        <f>V17*(Time!V54/100+Inputs!$F$84)*MAX(0,MIN(Time!V8,Time!$F$16)-Time!V7)/Inputs!$F$46</f>
        <v/>
      </c>
      <c r="W18" s="19">
        <f>W17*(Time!W54/100+Inputs!$F$84)*MAX(0,MIN(Time!W8,Time!$F$16)-Time!W7)/Inputs!$F$46</f>
        <v/>
      </c>
      <c r="X18" s="19">
        <f>X17*(Time!X54/100+Inputs!$F$84)*MAX(0,MIN(Time!X8,Time!$F$16)-Time!X7)/Inputs!$F$46</f>
        <v/>
      </c>
      <c r="Y18" s="19">
        <f>Y17*(Time!Y54/100+Inputs!$F$84)*MAX(0,MIN(Time!Y8,Time!$F$16)-Time!Y7)/Inputs!$F$46</f>
        <v/>
      </c>
      <c r="Z18" s="19">
        <f>Z17*(Time!Z54/100+Inputs!$F$84)*MAX(0,MIN(Time!Z8,Time!$F$16)-Time!Z7)/Inputs!$F$46</f>
        <v/>
      </c>
      <c r="AA18" s="19">
        <f>AA17*(Time!AA54/100+Inputs!$F$84)*MAX(0,MIN(Time!AA8,Time!$F$16)-Time!AA7)/Inputs!$F$46</f>
        <v/>
      </c>
      <c r="AB18" s="19">
        <f>AB17*(Time!AB54/100+Inputs!$F$84)*MAX(0,MIN(Time!AB8,Time!$F$16)-Time!AB7)/Inputs!$F$46</f>
        <v/>
      </c>
      <c r="AC18" s="19">
        <f>AC17*(Time!AC54/100+Inputs!$F$84)*MAX(0,MIN(Time!AC8,Time!$F$16)-Time!AC7)/Inputs!$F$46</f>
        <v/>
      </c>
      <c r="AD18" s="19">
        <f>AD17*(Time!AD54/100+Inputs!$F$84)*MAX(0,MIN(Time!AD8,Time!$F$16)-Time!AD7)/Inputs!$F$46</f>
        <v/>
      </c>
      <c r="AE18" s="19">
        <f>AE17*(Time!AE54/100+Inputs!$F$84)*MAX(0,MIN(Time!AE8,Time!$F$16)-Time!AE7)/Inputs!$F$46</f>
        <v/>
      </c>
      <c r="AF18" s="19">
        <f>AF17*(Time!AF54/100+Inputs!$F$84)*MAX(0,MIN(Time!AF8,Time!$F$16)-Time!AF7)/Inputs!$F$46</f>
        <v/>
      </c>
      <c r="AG18" s="19">
        <f>AG17*(Time!AG54/100+Inputs!$F$84)*MAX(0,MIN(Time!AG8,Time!$F$16)-Time!AG7)/Inputs!$F$46</f>
        <v/>
      </c>
      <c r="AH18" s="19">
        <f>AH17*(Time!AH54/100+Inputs!$F$84)*MAX(0,MIN(Time!AH8,Time!$F$16)-Time!AH7)/Inputs!$F$46</f>
        <v/>
      </c>
      <c r="AI18" s="19">
        <f>AI17*(Time!AI54/100+Inputs!$F$84)*MAX(0,MIN(Time!AI8,Time!$F$16)-Time!AI7)/Inputs!$F$46</f>
        <v/>
      </c>
      <c r="AJ18" s="19">
        <f>AJ17*(Time!AJ54/100+Inputs!$F$84)*MAX(0,MIN(Time!AJ8,Time!$F$16)-Time!AJ7)/Inputs!$F$46</f>
        <v/>
      </c>
      <c r="AK18" s="19">
        <f>AK17*(Time!AK54/100+Inputs!$F$84)*MAX(0,MIN(Time!AK8,Time!$F$16)-Time!AK7)/Inputs!$F$46</f>
        <v/>
      </c>
      <c r="AL18" s="19">
        <f>AL17*(Time!AL54/100+Inputs!$F$84)*MAX(0,MIN(Time!AL8,Time!$F$16)-Time!AL7)/Inputs!$F$46</f>
        <v/>
      </c>
      <c r="AM18" s="19">
        <f>AM17*(Time!AM54/100+Inputs!$F$84)*MAX(0,MIN(Time!AM8,Time!$F$16)-Time!AM7)/Inputs!$F$46</f>
        <v/>
      </c>
      <c r="AN18" s="19">
        <f>AN17*(Time!AN54/100+Inputs!$F$84)*MAX(0,MIN(Time!AN8,Time!$F$16)-Time!AN7)/Inputs!$F$46</f>
        <v/>
      </c>
      <c r="AO18" s="19">
        <f>AO17*(Time!AO54/100+Inputs!$F$84)*MAX(0,MIN(Time!AO8,Time!$F$16)-Time!AO7)/Inputs!$F$46</f>
        <v/>
      </c>
      <c r="AP18" s="19">
        <f>AP17*(Time!AP54/100+Inputs!$F$84)*MAX(0,MIN(Time!AP8,Time!$F$16)-Time!AP7)/Inputs!$F$46</f>
        <v/>
      </c>
      <c r="AQ18" s="19">
        <f>AQ17*(Time!AQ54/100+Inputs!$F$84)*MAX(0,MIN(Time!AQ8,Time!$F$16)-Time!AQ7)/Inputs!$F$46</f>
        <v/>
      </c>
      <c r="AR18" s="19">
        <f>AR17*(Time!AR54/100+Inputs!$F$84)*MAX(0,MIN(Time!AR8,Time!$F$16)-Time!AR7)/Inputs!$F$46</f>
        <v/>
      </c>
      <c r="AS18" s="19">
        <f>AS17*(Time!AS54/100+Inputs!$F$84)*MAX(0,MIN(Time!AS8,Time!$F$16)-Time!AS7)/Inputs!$F$46</f>
        <v/>
      </c>
      <c r="AT18" s="19">
        <f>AT17*(Time!AT54/100+Inputs!$F$84)*MAX(0,MIN(Time!AT8,Time!$F$16)-Time!AT7)/Inputs!$F$46</f>
        <v/>
      </c>
      <c r="AU18" s="19">
        <f>AU17*(Time!AU54/100+Inputs!$F$84)*MAX(0,MIN(Time!AU8,Time!$F$16)-Time!AU7)/Inputs!$F$46</f>
        <v/>
      </c>
      <c r="AV18" s="19">
        <f>AV17*(Time!AV54/100+Inputs!$F$84)*MAX(0,MIN(Time!AV8,Time!$F$16)-Time!AV7)/Inputs!$F$46</f>
        <v/>
      </c>
      <c r="AW18" s="19">
        <f>AW17*(Time!AW54/100+Inputs!$F$84)*MAX(0,MIN(Time!AW8,Time!$F$16)-Time!AW7)/Inputs!$F$46</f>
        <v/>
      </c>
      <c r="AX18" s="19">
        <f>AX17*(Time!AX54/100+Inputs!$F$84)*MAX(0,MIN(Time!AX8,Time!$F$16)-Time!AX7)/Inputs!$F$46</f>
        <v/>
      </c>
      <c r="AY18" s="19">
        <f>AY17*(Time!AY54/100+Inputs!$F$84)*MAX(0,MIN(Time!AY8,Time!$F$16)-Time!AY7)/Inputs!$F$46</f>
        <v/>
      </c>
      <c r="AZ18" s="19">
        <f>AZ17*(Time!AZ54/100+Inputs!$F$84)*MAX(0,MIN(Time!AZ8,Time!$F$16)-Time!AZ7)/Inputs!$F$46</f>
        <v/>
      </c>
      <c r="BA18" s="19">
        <f>BA17*(Time!BA54/100+Inputs!$F$84)*MAX(0,MIN(Time!BA8,Time!$F$16)-Time!BA7)/Inputs!$F$46</f>
        <v/>
      </c>
      <c r="BB18" s="19">
        <f>BB17*(Time!BB54/100+Inputs!$F$84)*MAX(0,MIN(Time!BB8,Time!$F$16)-Time!BB7)/Inputs!$F$46</f>
        <v/>
      </c>
      <c r="BC18" s="19">
        <f>BC17*(Time!BC54/100+Inputs!$F$84)*MAX(0,MIN(Time!BC8,Time!$F$16)-Time!BC7)/Inputs!$F$46</f>
        <v/>
      </c>
      <c r="BD18" s="19">
        <f>BD17*(Time!BD54/100+Inputs!$F$84)*MAX(0,MIN(Time!BD8,Time!$F$16)-Time!BD7)/Inputs!$F$46</f>
        <v/>
      </c>
      <c r="BE18" s="19">
        <f>BE17*(Time!BE54/100+Inputs!$F$84)*MAX(0,MIN(Time!BE8,Time!$F$16)-Time!BE7)/Inputs!$F$46</f>
        <v/>
      </c>
      <c r="BF18" s="19">
        <f>BF17*(Time!BF54/100+Inputs!$F$84)*MAX(0,MIN(Time!BF8,Time!$F$16)-Time!BF7)/Inputs!$F$46</f>
        <v/>
      </c>
      <c r="BG18" s="19">
        <f>BG17*(Time!BG54/100+Inputs!$F$84)*MAX(0,MIN(Time!BG8,Time!$F$16)-Time!BG7)/Inputs!$F$46</f>
        <v/>
      </c>
      <c r="BH18" s="19">
        <f>BH17*(Time!BH54/100+Inputs!$F$84)*MAX(0,MIN(Time!BH8,Time!$F$16)-Time!BH7)/Inputs!$F$46</f>
        <v/>
      </c>
      <c r="BI18" s="19">
        <f>BI17*(Time!BI54/100+Inputs!$F$84)*MAX(0,MIN(Time!BI8,Time!$F$16)-Time!BI7)/Inputs!$F$46</f>
        <v/>
      </c>
      <c r="BJ18" s="19">
        <f>BJ17*(Time!BJ54/100+Inputs!$F$84)*MAX(0,MIN(Time!BJ8,Time!$F$16)-Time!BJ7)/Inputs!$F$46</f>
        <v/>
      </c>
      <c r="BK18" s="19">
        <f>BK17*(Time!BK54/100+Inputs!$F$84)*MAX(0,MIN(Time!BK8,Time!$F$16)-Time!BK7)/Inputs!$F$46</f>
        <v/>
      </c>
      <c r="BL18" s="19">
        <f>BL17*(Time!BL54/100+Inputs!$F$84)*MAX(0,MIN(Time!BL8,Time!$F$16)-Time!BL7)/Inputs!$F$46</f>
        <v/>
      </c>
      <c r="BM18" s="19">
        <f>BM17*(Time!BM54/100+Inputs!$F$84)*MAX(0,MIN(Time!BM8,Time!$F$16)-Time!BM7)/Inputs!$F$46</f>
        <v/>
      </c>
      <c r="BN18" s="19">
        <f>BN17*(Time!BN54/100+Inputs!$F$84)*MAX(0,MIN(Time!BN8,Time!$F$16)-Time!BN7)/Inputs!$F$46</f>
        <v/>
      </c>
      <c r="BO18" s="19">
        <f>BO17*(Time!BO54/100+Inputs!$F$84)*MAX(0,MIN(Time!BO8,Time!$F$16)-Time!BO7)/Inputs!$F$46</f>
        <v/>
      </c>
      <c r="BP18" s="19">
        <f>BP17*(Time!BP54/100+Inputs!$F$84)*MAX(0,MIN(Time!BP8,Time!$F$16)-Time!BP7)/Inputs!$F$46</f>
        <v/>
      </c>
      <c r="BQ18" s="19">
        <f>BQ17*(Time!BQ54/100+Inputs!$F$84)*MAX(0,MIN(Time!BQ8,Time!$F$16)-Time!BQ7)/Inputs!$F$46</f>
        <v/>
      </c>
      <c r="BR18" s="19">
        <f>BR17*(Time!BR54/100+Inputs!$F$84)*MAX(0,MIN(Time!BR8,Time!$F$16)-Time!BR7)/Inputs!$F$46</f>
        <v/>
      </c>
      <c r="BS18" s="19">
        <f>BS17*(Time!BS54/100+Inputs!$F$84)*MAX(0,MIN(Time!BS8,Time!$F$16)-Time!BS7)/Inputs!$F$46</f>
        <v/>
      </c>
      <c r="BT18" s="19">
        <f>BT17*(Time!BT54/100+Inputs!$F$84)*MAX(0,MIN(Time!BT8,Time!$F$16)-Time!BT7)/Inputs!$F$46</f>
        <v/>
      </c>
      <c r="BU18" s="19">
        <f>BU17*(Time!BU54/100+Inputs!$F$84)*MAX(0,MIN(Time!BU8,Time!$F$16)-Time!BU7)/Inputs!$F$46</f>
        <v/>
      </c>
      <c r="BV18" s="19">
        <f>BV17*(Time!BV54/100+Inputs!$F$84)*MAX(0,MIN(Time!BV8,Time!$F$16)-Time!BV7)/Inputs!$F$46</f>
        <v/>
      </c>
      <c r="BW18" s="19">
        <f>BW17*(Time!BW54/100+Inputs!$F$84)*MAX(0,MIN(Time!BW8,Time!$F$16)-Time!BW7)/Inputs!$F$46</f>
        <v/>
      </c>
      <c r="BX18" s="19">
        <f>BX17*(Time!BX54/100+Inputs!$F$84)*MAX(0,MIN(Time!BX8,Time!$F$16)-Time!BX7)/Inputs!$F$46</f>
        <v/>
      </c>
      <c r="BY18" s="19">
        <f>BY17*(Time!BY54/100+Inputs!$F$84)*MAX(0,MIN(Time!BY8,Time!$F$16)-Time!BY7)/Inputs!$F$46</f>
        <v/>
      </c>
      <c r="BZ18" s="19">
        <f>BZ17*(Time!BZ54/100+Inputs!$F$84)*MAX(0,MIN(Time!BZ8,Time!$F$16)-Time!BZ7)/Inputs!$F$46</f>
        <v/>
      </c>
      <c r="CA18" s="19">
        <f>CA17*(Time!CA54/100+Inputs!$F$84)*MAX(0,MIN(Time!CA8,Time!$F$16)-Time!CA7)/Inputs!$F$46</f>
        <v/>
      </c>
      <c r="CB18" s="19">
        <f>CB17*(Time!CB54/100+Inputs!$F$84)*MAX(0,MIN(Time!CB8,Time!$F$16)-Time!CB7)/Inputs!$F$46</f>
        <v/>
      </c>
      <c r="CC18" s="19">
        <f>CC17*(Time!CC54/100+Inputs!$F$84)*MAX(0,MIN(Time!CC8,Time!$F$16)-Time!CC7)/Inputs!$F$46</f>
        <v/>
      </c>
      <c r="CD18" s="19">
        <f>CD17*(Time!CD54/100+Inputs!$F$84)*MAX(0,MIN(Time!CD8,Time!$F$16)-Time!CD7)/Inputs!$F$46</f>
        <v/>
      </c>
      <c r="CE18" s="19">
        <f>CE17*(Time!CE54/100+Inputs!$F$84)*MAX(0,MIN(Time!CE8,Time!$F$16)-Time!CE7)/Inputs!$F$46</f>
        <v/>
      </c>
      <c r="CF18" s="19">
        <f>CF17*(Time!CF54/100+Inputs!$F$84)*MAX(0,MIN(Time!CF8,Time!$F$16)-Time!CF7)/Inputs!$F$46</f>
        <v/>
      </c>
      <c r="CG18" s="19">
        <f>CG17*(Time!CG54/100+Inputs!$F$84)*MAX(0,MIN(Time!CG8,Time!$F$16)-Time!CG7)/Inputs!$F$46</f>
        <v/>
      </c>
      <c r="CH18" s="19">
        <f>CH17*(Time!CH54/100+Inputs!$F$84)*MAX(0,MIN(Time!CH8,Time!$F$16)-Time!CH7)/Inputs!$F$46</f>
        <v/>
      </c>
      <c r="CI18" s="19">
        <f>CI17*(Time!CI54/100+Inputs!$F$84)*MAX(0,MIN(Time!CI8,Time!$F$16)-Time!CI7)/Inputs!$F$46</f>
        <v/>
      </c>
      <c r="CJ18" s="19">
        <f>CJ17*(Time!CJ54/100+Inputs!$F$84)*MAX(0,MIN(Time!CJ8,Time!$F$16)-Time!CJ7)/Inputs!$F$46</f>
        <v/>
      </c>
      <c r="CK18" s="19">
        <f>CK17*(Time!CK54/100+Inputs!$F$84)*MAX(0,MIN(Time!CK8,Time!$F$16)-Time!CK7)/Inputs!$F$46</f>
        <v/>
      </c>
      <c r="CL18" s="19">
        <f>CL17*(Time!CL54/100+Inputs!$F$84)*MAX(0,MIN(Time!CL8,Time!$F$16)-Time!CL7)/Inputs!$F$46</f>
        <v/>
      </c>
      <c r="CM18" s="19">
        <f>CM17*(Time!CM54/100+Inputs!$F$84)*MAX(0,MIN(Time!CM8,Time!$F$16)-Time!CM7)/Inputs!$F$46</f>
        <v/>
      </c>
      <c r="CN18" s="19">
        <f>CN17*(Time!CN54/100+Inputs!$F$84)*MAX(0,MIN(Time!CN8,Time!$F$16)-Time!CN7)/Inputs!$F$46</f>
        <v/>
      </c>
      <c r="CO18" s="19">
        <f>CO17*(Time!CO54/100+Inputs!$F$84)*MAX(0,MIN(Time!CO8,Time!$F$16)-Time!CO7)/Inputs!$F$46</f>
        <v/>
      </c>
      <c r="CP18" s="19">
        <f>CP17*(Time!CP54/100+Inputs!$F$84)*MAX(0,MIN(Time!CP8,Time!$F$16)-Time!CP7)/Inputs!$F$46</f>
        <v/>
      </c>
      <c r="CQ18" s="19">
        <f>CQ17*(Time!CQ54/100+Inputs!$F$84)*MAX(0,MIN(Time!CQ8,Time!$F$16)-Time!CQ7)/Inputs!$F$46</f>
        <v/>
      </c>
      <c r="CR18" s="19">
        <f>CR17*(Time!CR54/100+Inputs!$F$84)*MAX(0,MIN(Time!CR8,Time!$F$16)-Time!CR7)/Inputs!$F$46</f>
        <v/>
      </c>
      <c r="CS18" s="19">
        <f>CS17*(Time!CS54/100+Inputs!$F$84)*MAX(0,MIN(Time!CS8,Time!$F$16)-Time!CS7)/Inputs!$F$46</f>
        <v/>
      </c>
      <c r="CT18" s="19">
        <f>CT17*(Time!CT54/100+Inputs!$F$84)*MAX(0,MIN(Time!CT8,Time!$F$16)-Time!CT7)/Inputs!$F$46</f>
        <v/>
      </c>
      <c r="CU18" s="19">
        <f>CU17*(Time!CU54/100+Inputs!$F$84)*MAX(0,MIN(Time!CU8,Time!$F$16)-Time!CU7)/Inputs!$F$46</f>
        <v/>
      </c>
      <c r="CV18" s="19">
        <f>CV17*(Time!CV54/100+Inputs!$F$84)*MAX(0,MIN(Time!CV8,Time!$F$16)-Time!CV7)/Inputs!$F$46</f>
        <v/>
      </c>
      <c r="CW18" s="19">
        <f>CW17*(Time!CW54/100+Inputs!$F$84)*MAX(0,MIN(Time!CW8,Time!$F$16)-Time!CW7)/Inputs!$F$46</f>
        <v/>
      </c>
      <c r="CX18" s="19">
        <f>CX17*(Time!CX54/100+Inputs!$F$84)*MAX(0,MIN(Time!CX8,Time!$F$16)-Time!CX7)/Inputs!$F$46</f>
        <v/>
      </c>
      <c r="CY18" s="19">
        <f>CY17*(Time!CY54/100+Inputs!$F$84)*MAX(0,MIN(Time!CY8,Time!$F$16)-Time!CY7)/Inputs!$F$46</f>
        <v/>
      </c>
      <c r="CZ18" s="19">
        <f>CZ17*(Time!CZ54/100+Inputs!$F$84)*MAX(0,MIN(Time!CZ8,Time!$F$16)-Time!CZ7)/Inputs!$F$46</f>
        <v/>
      </c>
      <c r="DA18" s="19">
        <f>DA17*(Time!DA54/100+Inputs!$F$84)*MAX(0,MIN(Time!DA8,Time!$F$16)-Time!DA7)/Inputs!$F$46</f>
        <v/>
      </c>
      <c r="DB18" s="19">
        <f>DB17*(Time!DB54/100+Inputs!$F$84)*MAX(0,MIN(Time!DB8,Time!$F$16)-Time!DB7)/Inputs!$F$46</f>
        <v/>
      </c>
    </row>
    <row r="19">
      <c r="D19" t="inlineStr">
        <is>
          <t>Bridge interest during construction</t>
        </is>
      </c>
      <c r="E19" t="inlineStr">
        <is>
          <t>ARD m</t>
        </is>
      </c>
      <c r="G19" s="19">
        <f>SUM(J19:DB19)</f>
        <v/>
      </c>
      <c r="J19" s="19">
        <f>J18*Time!J20</f>
        <v/>
      </c>
      <c r="K19" s="19">
        <f>K18*Time!K20</f>
        <v/>
      </c>
      <c r="L19" s="19">
        <f>L18*Time!L20</f>
        <v/>
      </c>
      <c r="M19" s="19">
        <f>M18*Time!M20</f>
        <v/>
      </c>
      <c r="N19" s="19">
        <f>N18*Time!N20</f>
        <v/>
      </c>
      <c r="O19" s="19">
        <f>O18*Time!O20</f>
        <v/>
      </c>
      <c r="P19" s="19">
        <f>P18*Time!P20</f>
        <v/>
      </c>
      <c r="Q19" s="19">
        <f>Q18*Time!Q20</f>
        <v/>
      </c>
      <c r="R19" s="19">
        <f>R18*Time!R20</f>
        <v/>
      </c>
      <c r="S19" s="19">
        <f>S18*Time!S20</f>
        <v/>
      </c>
      <c r="T19" s="19">
        <f>T18*Time!T20</f>
        <v/>
      </c>
      <c r="U19" s="19">
        <f>U18*Time!U20</f>
        <v/>
      </c>
      <c r="V19" s="19">
        <f>V18*Time!V20</f>
        <v/>
      </c>
      <c r="W19" s="19">
        <f>W18*Time!W20</f>
        <v/>
      </c>
      <c r="X19" s="19">
        <f>X18*Time!X20</f>
        <v/>
      </c>
      <c r="Y19" s="19">
        <f>Y18*Time!Y20</f>
        <v/>
      </c>
      <c r="Z19" s="19">
        <f>Z18*Time!Z20</f>
        <v/>
      </c>
      <c r="AA19" s="19">
        <f>AA18*Time!AA20</f>
        <v/>
      </c>
      <c r="AB19" s="19">
        <f>AB18*Time!AB20</f>
        <v/>
      </c>
      <c r="AC19" s="19">
        <f>AC18*Time!AC20</f>
        <v/>
      </c>
      <c r="AD19" s="19">
        <f>AD18*Time!AD20</f>
        <v/>
      </c>
      <c r="AE19" s="19">
        <f>AE18*Time!AE20</f>
        <v/>
      </c>
      <c r="AF19" s="19">
        <f>AF18*Time!AF20</f>
        <v/>
      </c>
      <c r="AG19" s="19">
        <f>AG18*Time!AG20</f>
        <v/>
      </c>
      <c r="AH19" s="19">
        <f>AH18*Time!AH20</f>
        <v/>
      </c>
      <c r="AI19" s="19">
        <f>AI18*Time!AI20</f>
        <v/>
      </c>
      <c r="AJ19" s="19">
        <f>AJ18*Time!AJ20</f>
        <v/>
      </c>
      <c r="AK19" s="19">
        <f>AK18*Time!AK20</f>
        <v/>
      </c>
      <c r="AL19" s="19">
        <f>AL18*Time!AL20</f>
        <v/>
      </c>
      <c r="AM19" s="19">
        <f>AM18*Time!AM20</f>
        <v/>
      </c>
      <c r="AN19" s="19">
        <f>AN18*Time!AN20</f>
        <v/>
      </c>
      <c r="AO19" s="19">
        <f>AO18*Time!AO20</f>
        <v/>
      </c>
      <c r="AP19" s="19">
        <f>AP18*Time!AP20</f>
        <v/>
      </c>
      <c r="AQ19" s="19">
        <f>AQ18*Time!AQ20</f>
        <v/>
      </c>
      <c r="AR19" s="19">
        <f>AR18*Time!AR20</f>
        <v/>
      </c>
      <c r="AS19" s="19">
        <f>AS18*Time!AS20</f>
        <v/>
      </c>
      <c r="AT19" s="19">
        <f>AT18*Time!AT20</f>
        <v/>
      </c>
      <c r="AU19" s="19">
        <f>AU18*Time!AU20</f>
        <v/>
      </c>
      <c r="AV19" s="19">
        <f>AV18*Time!AV20</f>
        <v/>
      </c>
      <c r="AW19" s="19">
        <f>AW18*Time!AW20</f>
        <v/>
      </c>
      <c r="AX19" s="19">
        <f>AX18*Time!AX20</f>
        <v/>
      </c>
      <c r="AY19" s="19">
        <f>AY18*Time!AY20</f>
        <v/>
      </c>
      <c r="AZ19" s="19">
        <f>AZ18*Time!AZ20</f>
        <v/>
      </c>
      <c r="BA19" s="19">
        <f>BA18*Time!BA20</f>
        <v/>
      </c>
      <c r="BB19" s="19">
        <f>BB18*Time!BB20</f>
        <v/>
      </c>
      <c r="BC19" s="19">
        <f>BC18*Time!BC20</f>
        <v/>
      </c>
      <c r="BD19" s="19">
        <f>BD18*Time!BD20</f>
        <v/>
      </c>
      <c r="BE19" s="19">
        <f>BE18*Time!BE20</f>
        <v/>
      </c>
      <c r="BF19" s="19">
        <f>BF18*Time!BF20</f>
        <v/>
      </c>
      <c r="BG19" s="19">
        <f>BG18*Time!BG20</f>
        <v/>
      </c>
      <c r="BH19" s="19">
        <f>BH18*Time!BH20</f>
        <v/>
      </c>
      <c r="BI19" s="19">
        <f>BI18*Time!BI20</f>
        <v/>
      </c>
      <c r="BJ19" s="19">
        <f>BJ18*Time!BJ20</f>
        <v/>
      </c>
      <c r="BK19" s="19">
        <f>BK18*Time!BK20</f>
        <v/>
      </c>
      <c r="BL19" s="19">
        <f>BL18*Time!BL20</f>
        <v/>
      </c>
      <c r="BM19" s="19">
        <f>BM18*Time!BM20</f>
        <v/>
      </c>
      <c r="BN19" s="19">
        <f>BN18*Time!BN20</f>
        <v/>
      </c>
      <c r="BO19" s="19">
        <f>BO18*Time!BO20</f>
        <v/>
      </c>
      <c r="BP19" s="19">
        <f>BP18*Time!BP20</f>
        <v/>
      </c>
      <c r="BQ19" s="19">
        <f>BQ18*Time!BQ20</f>
        <v/>
      </c>
      <c r="BR19" s="19">
        <f>BR18*Time!BR20</f>
        <v/>
      </c>
      <c r="BS19" s="19">
        <f>BS18*Time!BS20</f>
        <v/>
      </c>
      <c r="BT19" s="19">
        <f>BT18*Time!BT20</f>
        <v/>
      </c>
      <c r="BU19" s="19">
        <f>BU18*Time!BU20</f>
        <v/>
      </c>
      <c r="BV19" s="19">
        <f>BV18*Time!BV20</f>
        <v/>
      </c>
      <c r="BW19" s="19">
        <f>BW18*Time!BW20</f>
        <v/>
      </c>
      <c r="BX19" s="19">
        <f>BX18*Time!BX20</f>
        <v/>
      </c>
      <c r="BY19" s="19">
        <f>BY18*Time!BY20</f>
        <v/>
      </c>
      <c r="BZ19" s="19">
        <f>BZ18*Time!BZ20</f>
        <v/>
      </c>
      <c r="CA19" s="19">
        <f>CA18*Time!CA20</f>
        <v/>
      </c>
      <c r="CB19" s="19">
        <f>CB18*Time!CB20</f>
        <v/>
      </c>
      <c r="CC19" s="19">
        <f>CC18*Time!CC20</f>
        <v/>
      </c>
      <c r="CD19" s="19">
        <f>CD18*Time!CD20</f>
        <v/>
      </c>
      <c r="CE19" s="19">
        <f>CE18*Time!CE20</f>
        <v/>
      </c>
      <c r="CF19" s="19">
        <f>CF18*Time!CF20</f>
        <v/>
      </c>
      <c r="CG19" s="19">
        <f>CG18*Time!CG20</f>
        <v/>
      </c>
      <c r="CH19" s="19">
        <f>CH18*Time!CH20</f>
        <v/>
      </c>
      <c r="CI19" s="19">
        <f>CI18*Time!CI20</f>
        <v/>
      </c>
      <c r="CJ19" s="19">
        <f>CJ18*Time!CJ20</f>
        <v/>
      </c>
      <c r="CK19" s="19">
        <f>CK18*Time!CK20</f>
        <v/>
      </c>
      <c r="CL19" s="19">
        <f>CL18*Time!CL20</f>
        <v/>
      </c>
      <c r="CM19" s="19">
        <f>CM18*Time!CM20</f>
        <v/>
      </c>
      <c r="CN19" s="19">
        <f>CN18*Time!CN20</f>
        <v/>
      </c>
      <c r="CO19" s="19">
        <f>CO18*Time!CO20</f>
        <v/>
      </c>
      <c r="CP19" s="19">
        <f>CP18*Time!CP20</f>
        <v/>
      </c>
      <c r="CQ19" s="19">
        <f>CQ18*Time!CQ20</f>
        <v/>
      </c>
      <c r="CR19" s="19">
        <f>CR18*Time!CR20</f>
        <v/>
      </c>
      <c r="CS19" s="19">
        <f>CS18*Time!CS20</f>
        <v/>
      </c>
      <c r="CT19" s="19">
        <f>CT18*Time!CT20</f>
        <v/>
      </c>
      <c r="CU19" s="19">
        <f>CU18*Time!CU20</f>
        <v/>
      </c>
      <c r="CV19" s="19">
        <f>CV18*Time!CV20</f>
        <v/>
      </c>
      <c r="CW19" s="19">
        <f>CW18*Time!CW20</f>
        <v/>
      </c>
      <c r="CX19" s="19">
        <f>CX18*Time!CX20</f>
        <v/>
      </c>
      <c r="CY19" s="19">
        <f>CY18*Time!CY20</f>
        <v/>
      </c>
      <c r="CZ19" s="19">
        <f>CZ18*Time!CZ20</f>
        <v/>
      </c>
      <c r="DA19" s="19">
        <f>DA18*Time!DA20</f>
        <v/>
      </c>
      <c r="DB19" s="19">
        <f>DB18*Time!DB20</f>
        <v/>
      </c>
    </row>
    <row r="20">
      <c r="D20" t="inlineStr">
        <is>
          <t>Bridge interest after completion (paid from operations)</t>
        </is>
      </c>
      <c r="E20" t="inlineStr">
        <is>
          <t>ARD m</t>
        </is>
      </c>
      <c r="G20" s="19">
        <f>SUM(J20:DB20)</f>
        <v/>
      </c>
      <c r="J20" s="19">
        <f>J18*(1-Time!J20)</f>
        <v/>
      </c>
      <c r="K20" s="19">
        <f>K18*(1-Time!K20)</f>
        <v/>
      </c>
      <c r="L20" s="19">
        <f>L18*(1-Time!L20)</f>
        <v/>
      </c>
      <c r="M20" s="19">
        <f>M18*(1-Time!M20)</f>
        <v/>
      </c>
      <c r="N20" s="19">
        <f>N18*(1-Time!N20)</f>
        <v/>
      </c>
      <c r="O20" s="19">
        <f>O18*(1-Time!O20)</f>
        <v/>
      </c>
      <c r="P20" s="19">
        <f>P18*(1-Time!P20)</f>
        <v/>
      </c>
      <c r="Q20" s="19">
        <f>Q18*(1-Time!Q20)</f>
        <v/>
      </c>
      <c r="R20" s="19">
        <f>R18*(1-Time!R20)</f>
        <v/>
      </c>
      <c r="S20" s="19">
        <f>S18*(1-Time!S20)</f>
        <v/>
      </c>
      <c r="T20" s="19">
        <f>T18*(1-Time!T20)</f>
        <v/>
      </c>
      <c r="U20" s="19">
        <f>U18*(1-Time!U20)</f>
        <v/>
      </c>
      <c r="V20" s="19">
        <f>V18*(1-Time!V20)</f>
        <v/>
      </c>
      <c r="W20" s="19">
        <f>W18*(1-Time!W20)</f>
        <v/>
      </c>
      <c r="X20" s="19">
        <f>X18*(1-Time!X20)</f>
        <v/>
      </c>
      <c r="Y20" s="19">
        <f>Y18*(1-Time!Y20)</f>
        <v/>
      </c>
      <c r="Z20" s="19">
        <f>Z18*(1-Time!Z20)</f>
        <v/>
      </c>
      <c r="AA20" s="19">
        <f>AA18*(1-Time!AA20)</f>
        <v/>
      </c>
      <c r="AB20" s="19">
        <f>AB18*(1-Time!AB20)</f>
        <v/>
      </c>
      <c r="AC20" s="19">
        <f>AC18*(1-Time!AC20)</f>
        <v/>
      </c>
      <c r="AD20" s="19">
        <f>AD18*(1-Time!AD20)</f>
        <v/>
      </c>
      <c r="AE20" s="19">
        <f>AE18*(1-Time!AE20)</f>
        <v/>
      </c>
      <c r="AF20" s="19">
        <f>AF18*(1-Time!AF20)</f>
        <v/>
      </c>
      <c r="AG20" s="19">
        <f>AG18*(1-Time!AG20)</f>
        <v/>
      </c>
      <c r="AH20" s="19">
        <f>AH18*(1-Time!AH20)</f>
        <v/>
      </c>
      <c r="AI20" s="19">
        <f>AI18*(1-Time!AI20)</f>
        <v/>
      </c>
      <c r="AJ20" s="19">
        <f>AJ18*(1-Time!AJ20)</f>
        <v/>
      </c>
      <c r="AK20" s="19">
        <f>AK18*(1-Time!AK20)</f>
        <v/>
      </c>
      <c r="AL20" s="19">
        <f>AL18*(1-Time!AL20)</f>
        <v/>
      </c>
      <c r="AM20" s="19">
        <f>AM18*(1-Time!AM20)</f>
        <v/>
      </c>
      <c r="AN20" s="19">
        <f>AN18*(1-Time!AN20)</f>
        <v/>
      </c>
      <c r="AO20" s="19">
        <f>AO18*(1-Time!AO20)</f>
        <v/>
      </c>
      <c r="AP20" s="19">
        <f>AP18*(1-Time!AP20)</f>
        <v/>
      </c>
      <c r="AQ20" s="19">
        <f>AQ18*(1-Time!AQ20)</f>
        <v/>
      </c>
      <c r="AR20" s="19">
        <f>AR18*(1-Time!AR20)</f>
        <v/>
      </c>
      <c r="AS20" s="19">
        <f>AS18*(1-Time!AS20)</f>
        <v/>
      </c>
      <c r="AT20" s="19">
        <f>AT18*(1-Time!AT20)</f>
        <v/>
      </c>
      <c r="AU20" s="19">
        <f>AU18*(1-Time!AU20)</f>
        <v/>
      </c>
      <c r="AV20" s="19">
        <f>AV18*(1-Time!AV20)</f>
        <v/>
      </c>
      <c r="AW20" s="19">
        <f>AW18*(1-Time!AW20)</f>
        <v/>
      </c>
      <c r="AX20" s="19">
        <f>AX18*(1-Time!AX20)</f>
        <v/>
      </c>
      <c r="AY20" s="19">
        <f>AY18*(1-Time!AY20)</f>
        <v/>
      </c>
      <c r="AZ20" s="19">
        <f>AZ18*(1-Time!AZ20)</f>
        <v/>
      </c>
      <c r="BA20" s="19">
        <f>BA18*(1-Time!BA20)</f>
        <v/>
      </c>
      <c r="BB20" s="19">
        <f>BB18*(1-Time!BB20)</f>
        <v/>
      </c>
      <c r="BC20" s="19">
        <f>BC18*(1-Time!BC20)</f>
        <v/>
      </c>
      <c r="BD20" s="19">
        <f>BD18*(1-Time!BD20)</f>
        <v/>
      </c>
      <c r="BE20" s="19">
        <f>BE18*(1-Time!BE20)</f>
        <v/>
      </c>
      <c r="BF20" s="19">
        <f>BF18*(1-Time!BF20)</f>
        <v/>
      </c>
      <c r="BG20" s="19">
        <f>BG18*(1-Time!BG20)</f>
        <v/>
      </c>
      <c r="BH20" s="19">
        <f>BH18*(1-Time!BH20)</f>
        <v/>
      </c>
      <c r="BI20" s="19">
        <f>BI18*(1-Time!BI20)</f>
        <v/>
      </c>
      <c r="BJ20" s="19">
        <f>BJ18*(1-Time!BJ20)</f>
        <v/>
      </c>
      <c r="BK20" s="19">
        <f>BK18*(1-Time!BK20)</f>
        <v/>
      </c>
      <c r="BL20" s="19">
        <f>BL18*(1-Time!BL20)</f>
        <v/>
      </c>
      <c r="BM20" s="19">
        <f>BM18*(1-Time!BM20)</f>
        <v/>
      </c>
      <c r="BN20" s="19">
        <f>BN18*(1-Time!BN20)</f>
        <v/>
      </c>
      <c r="BO20" s="19">
        <f>BO18*(1-Time!BO20)</f>
        <v/>
      </c>
      <c r="BP20" s="19">
        <f>BP18*(1-Time!BP20)</f>
        <v/>
      </c>
      <c r="BQ20" s="19">
        <f>BQ18*(1-Time!BQ20)</f>
        <v/>
      </c>
      <c r="BR20" s="19">
        <f>BR18*(1-Time!BR20)</f>
        <v/>
      </c>
      <c r="BS20" s="19">
        <f>BS18*(1-Time!BS20)</f>
        <v/>
      </c>
      <c r="BT20" s="19">
        <f>BT18*(1-Time!BT20)</f>
        <v/>
      </c>
      <c r="BU20" s="19">
        <f>BU18*(1-Time!BU20)</f>
        <v/>
      </c>
      <c r="BV20" s="19">
        <f>BV18*(1-Time!BV20)</f>
        <v/>
      </c>
      <c r="BW20" s="19">
        <f>BW18*(1-Time!BW20)</f>
        <v/>
      </c>
      <c r="BX20" s="19">
        <f>BX18*(1-Time!BX20)</f>
        <v/>
      </c>
      <c r="BY20" s="19">
        <f>BY18*(1-Time!BY20)</f>
        <v/>
      </c>
      <c r="BZ20" s="19">
        <f>BZ18*(1-Time!BZ20)</f>
        <v/>
      </c>
      <c r="CA20" s="19">
        <f>CA18*(1-Time!CA20)</f>
        <v/>
      </c>
      <c r="CB20" s="19">
        <f>CB18*(1-Time!CB20)</f>
        <v/>
      </c>
      <c r="CC20" s="19">
        <f>CC18*(1-Time!CC20)</f>
        <v/>
      </c>
      <c r="CD20" s="19">
        <f>CD18*(1-Time!CD20)</f>
        <v/>
      </c>
      <c r="CE20" s="19">
        <f>CE18*(1-Time!CE20)</f>
        <v/>
      </c>
      <c r="CF20" s="19">
        <f>CF18*(1-Time!CF20)</f>
        <v/>
      </c>
      <c r="CG20" s="19">
        <f>CG18*(1-Time!CG20)</f>
        <v/>
      </c>
      <c r="CH20" s="19">
        <f>CH18*(1-Time!CH20)</f>
        <v/>
      </c>
      <c r="CI20" s="19">
        <f>CI18*(1-Time!CI20)</f>
        <v/>
      </c>
      <c r="CJ20" s="19">
        <f>CJ18*(1-Time!CJ20)</f>
        <v/>
      </c>
      <c r="CK20" s="19">
        <f>CK18*(1-Time!CK20)</f>
        <v/>
      </c>
      <c r="CL20" s="19">
        <f>CL18*(1-Time!CL20)</f>
        <v/>
      </c>
      <c r="CM20" s="19">
        <f>CM18*(1-Time!CM20)</f>
        <v/>
      </c>
      <c r="CN20" s="19">
        <f>CN18*(1-Time!CN20)</f>
        <v/>
      </c>
      <c r="CO20" s="19">
        <f>CO18*(1-Time!CO20)</f>
        <v/>
      </c>
      <c r="CP20" s="19">
        <f>CP18*(1-Time!CP20)</f>
        <v/>
      </c>
      <c r="CQ20" s="19">
        <f>CQ18*(1-Time!CQ20)</f>
        <v/>
      </c>
      <c r="CR20" s="19">
        <f>CR18*(1-Time!CR20)</f>
        <v/>
      </c>
      <c r="CS20" s="19">
        <f>CS18*(1-Time!CS20)</f>
        <v/>
      </c>
      <c r="CT20" s="19">
        <f>CT18*(1-Time!CT20)</f>
        <v/>
      </c>
      <c r="CU20" s="19">
        <f>CU18*(1-Time!CU20)</f>
        <v/>
      </c>
      <c r="CV20" s="19">
        <f>CV18*(1-Time!CV20)</f>
        <v/>
      </c>
      <c r="CW20" s="19">
        <f>CW18*(1-Time!CW20)</f>
        <v/>
      </c>
      <c r="CX20" s="19">
        <f>CX18*(1-Time!CX20)</f>
        <v/>
      </c>
      <c r="CY20" s="19">
        <f>CY18*(1-Time!CY20)</f>
        <v/>
      </c>
      <c r="CZ20" s="19">
        <f>CZ18*(1-Time!CZ20)</f>
        <v/>
      </c>
      <c r="DA20" s="19">
        <f>DA18*(1-Time!DA20)</f>
        <v/>
      </c>
      <c r="DB20" s="19">
        <f>DB18*(1-Time!DB20)</f>
        <v/>
      </c>
    </row>
    <row r="21">
      <c r="D21" t="inlineStr">
        <is>
          <t>DSRA initial funding</t>
        </is>
      </c>
      <c r="E21" t="inlineStr">
        <is>
          <t>ARD m</t>
        </is>
      </c>
      <c r="G21" s="19">
        <f>SUM(J21:DB21)</f>
        <v/>
      </c>
      <c r="J21" s="19">
        <f>IF(Time!J8=Inputs!$F$16,Reserves!J7,0)</f>
        <v/>
      </c>
      <c r="K21" s="19">
        <f>IF(Time!K8=Inputs!$F$16,Reserves!K7,0)</f>
        <v/>
      </c>
      <c r="L21" s="19">
        <f>IF(Time!L8=Inputs!$F$16,Reserves!L7,0)</f>
        <v/>
      </c>
      <c r="M21" s="19">
        <f>IF(Time!M8=Inputs!$F$16,Reserves!M7,0)</f>
        <v/>
      </c>
      <c r="N21" s="19">
        <f>IF(Time!N8=Inputs!$F$16,Reserves!N7,0)</f>
        <v/>
      </c>
      <c r="O21" s="19">
        <f>IF(Time!O8=Inputs!$F$16,Reserves!O7,0)</f>
        <v/>
      </c>
      <c r="P21" s="19">
        <f>IF(Time!P8=Inputs!$F$16,Reserves!P7,0)</f>
        <v/>
      </c>
      <c r="Q21" s="19">
        <f>IF(Time!Q8=Inputs!$F$16,Reserves!Q7,0)</f>
        <v/>
      </c>
      <c r="R21" s="19">
        <f>IF(Time!R8=Inputs!$F$16,Reserves!R7,0)</f>
        <v/>
      </c>
      <c r="S21" s="19">
        <f>IF(Time!S8=Inputs!$F$16,Reserves!S7,0)</f>
        <v/>
      </c>
      <c r="T21" s="19">
        <f>IF(Time!T8=Inputs!$F$16,Reserves!T7,0)</f>
        <v/>
      </c>
      <c r="U21" s="19">
        <f>IF(Time!U8=Inputs!$F$16,Reserves!U7,0)</f>
        <v/>
      </c>
      <c r="V21" s="19">
        <f>IF(Time!V8=Inputs!$F$16,Reserves!V7,0)</f>
        <v/>
      </c>
      <c r="W21" s="19">
        <f>IF(Time!W8=Inputs!$F$16,Reserves!W7,0)</f>
        <v/>
      </c>
      <c r="X21" s="19">
        <f>IF(Time!X8=Inputs!$F$16,Reserves!X7,0)</f>
        <v/>
      </c>
      <c r="Y21" s="19">
        <f>IF(Time!Y8=Inputs!$F$16,Reserves!Y7,0)</f>
        <v/>
      </c>
      <c r="Z21" s="19">
        <f>IF(Time!Z8=Inputs!$F$16,Reserves!Z7,0)</f>
        <v/>
      </c>
      <c r="AA21" s="19">
        <f>IF(Time!AA8=Inputs!$F$16,Reserves!AA7,0)</f>
        <v/>
      </c>
      <c r="AB21" s="19">
        <f>IF(Time!AB8=Inputs!$F$16,Reserves!AB7,0)</f>
        <v/>
      </c>
      <c r="AC21" s="19">
        <f>IF(Time!AC8=Inputs!$F$16,Reserves!AC7,0)</f>
        <v/>
      </c>
      <c r="AD21" s="19">
        <f>IF(Time!AD8=Inputs!$F$16,Reserves!AD7,0)</f>
        <v/>
      </c>
      <c r="AE21" s="19">
        <f>IF(Time!AE8=Inputs!$F$16,Reserves!AE7,0)</f>
        <v/>
      </c>
      <c r="AF21" s="19">
        <f>IF(Time!AF8=Inputs!$F$16,Reserves!AF7,0)</f>
        <v/>
      </c>
      <c r="AG21" s="19">
        <f>IF(Time!AG8=Inputs!$F$16,Reserves!AG7,0)</f>
        <v/>
      </c>
      <c r="AH21" s="19">
        <f>IF(Time!AH8=Inputs!$F$16,Reserves!AH7,0)</f>
        <v/>
      </c>
      <c r="AI21" s="19">
        <f>IF(Time!AI8=Inputs!$F$16,Reserves!AI7,0)</f>
        <v/>
      </c>
      <c r="AJ21" s="19">
        <f>IF(Time!AJ8=Inputs!$F$16,Reserves!AJ7,0)</f>
        <v/>
      </c>
      <c r="AK21" s="19">
        <f>IF(Time!AK8=Inputs!$F$16,Reserves!AK7,0)</f>
        <v/>
      </c>
      <c r="AL21" s="19">
        <f>IF(Time!AL8=Inputs!$F$16,Reserves!AL7,0)</f>
        <v/>
      </c>
      <c r="AM21" s="19">
        <f>IF(Time!AM8=Inputs!$F$16,Reserves!AM7,0)</f>
        <v/>
      </c>
      <c r="AN21" s="19">
        <f>IF(Time!AN8=Inputs!$F$16,Reserves!AN7,0)</f>
        <v/>
      </c>
      <c r="AO21" s="19">
        <f>IF(Time!AO8=Inputs!$F$16,Reserves!AO7,0)</f>
        <v/>
      </c>
      <c r="AP21" s="19">
        <f>IF(Time!AP8=Inputs!$F$16,Reserves!AP7,0)</f>
        <v/>
      </c>
      <c r="AQ21" s="19">
        <f>IF(Time!AQ8=Inputs!$F$16,Reserves!AQ7,0)</f>
        <v/>
      </c>
      <c r="AR21" s="19">
        <f>IF(Time!AR8=Inputs!$F$16,Reserves!AR7,0)</f>
        <v/>
      </c>
      <c r="AS21" s="19">
        <f>IF(Time!AS8=Inputs!$F$16,Reserves!AS7,0)</f>
        <v/>
      </c>
      <c r="AT21" s="19">
        <f>IF(Time!AT8=Inputs!$F$16,Reserves!AT7,0)</f>
        <v/>
      </c>
      <c r="AU21" s="19">
        <f>IF(Time!AU8=Inputs!$F$16,Reserves!AU7,0)</f>
        <v/>
      </c>
      <c r="AV21" s="19">
        <f>IF(Time!AV8=Inputs!$F$16,Reserves!AV7,0)</f>
        <v/>
      </c>
      <c r="AW21" s="19">
        <f>IF(Time!AW8=Inputs!$F$16,Reserves!AW7,0)</f>
        <v/>
      </c>
      <c r="AX21" s="19">
        <f>IF(Time!AX8=Inputs!$F$16,Reserves!AX7,0)</f>
        <v/>
      </c>
      <c r="AY21" s="19">
        <f>IF(Time!AY8=Inputs!$F$16,Reserves!AY7,0)</f>
        <v/>
      </c>
      <c r="AZ21" s="19">
        <f>IF(Time!AZ8=Inputs!$F$16,Reserves!AZ7,0)</f>
        <v/>
      </c>
      <c r="BA21" s="19">
        <f>IF(Time!BA8=Inputs!$F$16,Reserves!BA7,0)</f>
        <v/>
      </c>
      <c r="BB21" s="19">
        <f>IF(Time!BB8=Inputs!$F$16,Reserves!BB7,0)</f>
        <v/>
      </c>
      <c r="BC21" s="19">
        <f>IF(Time!BC8=Inputs!$F$16,Reserves!BC7,0)</f>
        <v/>
      </c>
      <c r="BD21" s="19">
        <f>IF(Time!BD8=Inputs!$F$16,Reserves!BD7,0)</f>
        <v/>
      </c>
      <c r="BE21" s="19">
        <f>IF(Time!BE8=Inputs!$F$16,Reserves!BE7,0)</f>
        <v/>
      </c>
      <c r="BF21" s="19">
        <f>IF(Time!BF8=Inputs!$F$16,Reserves!BF7,0)</f>
        <v/>
      </c>
      <c r="BG21" s="19">
        <f>IF(Time!BG8=Inputs!$F$16,Reserves!BG7,0)</f>
        <v/>
      </c>
      <c r="BH21" s="19">
        <f>IF(Time!BH8=Inputs!$F$16,Reserves!BH7,0)</f>
        <v/>
      </c>
      <c r="BI21" s="19">
        <f>IF(Time!BI8=Inputs!$F$16,Reserves!BI7,0)</f>
        <v/>
      </c>
      <c r="BJ21" s="19">
        <f>IF(Time!BJ8=Inputs!$F$16,Reserves!BJ7,0)</f>
        <v/>
      </c>
      <c r="BK21" s="19">
        <f>IF(Time!BK8=Inputs!$F$16,Reserves!BK7,0)</f>
        <v/>
      </c>
      <c r="BL21" s="19">
        <f>IF(Time!BL8=Inputs!$F$16,Reserves!BL7,0)</f>
        <v/>
      </c>
      <c r="BM21" s="19">
        <f>IF(Time!BM8=Inputs!$F$16,Reserves!BM7,0)</f>
        <v/>
      </c>
      <c r="BN21" s="19">
        <f>IF(Time!BN8=Inputs!$F$16,Reserves!BN7,0)</f>
        <v/>
      </c>
      <c r="BO21" s="19">
        <f>IF(Time!BO8=Inputs!$F$16,Reserves!BO7,0)</f>
        <v/>
      </c>
      <c r="BP21" s="19">
        <f>IF(Time!BP8=Inputs!$F$16,Reserves!BP7,0)</f>
        <v/>
      </c>
      <c r="BQ21" s="19">
        <f>IF(Time!BQ8=Inputs!$F$16,Reserves!BQ7,0)</f>
        <v/>
      </c>
      <c r="BR21" s="19">
        <f>IF(Time!BR8=Inputs!$F$16,Reserves!BR7,0)</f>
        <v/>
      </c>
      <c r="BS21" s="19">
        <f>IF(Time!BS8=Inputs!$F$16,Reserves!BS7,0)</f>
        <v/>
      </c>
      <c r="BT21" s="19">
        <f>IF(Time!BT8=Inputs!$F$16,Reserves!BT7,0)</f>
        <v/>
      </c>
      <c r="BU21" s="19">
        <f>IF(Time!BU8=Inputs!$F$16,Reserves!BU7,0)</f>
        <v/>
      </c>
      <c r="BV21" s="19">
        <f>IF(Time!BV8=Inputs!$F$16,Reserves!BV7,0)</f>
        <v/>
      </c>
      <c r="BW21" s="19">
        <f>IF(Time!BW8=Inputs!$F$16,Reserves!BW7,0)</f>
        <v/>
      </c>
      <c r="BX21" s="19">
        <f>IF(Time!BX8=Inputs!$F$16,Reserves!BX7,0)</f>
        <v/>
      </c>
      <c r="BY21" s="19">
        <f>IF(Time!BY8=Inputs!$F$16,Reserves!BY7,0)</f>
        <v/>
      </c>
      <c r="BZ21" s="19">
        <f>IF(Time!BZ8=Inputs!$F$16,Reserves!BZ7,0)</f>
        <v/>
      </c>
      <c r="CA21" s="19">
        <f>IF(Time!CA8=Inputs!$F$16,Reserves!CA7,0)</f>
        <v/>
      </c>
      <c r="CB21" s="19">
        <f>IF(Time!CB8=Inputs!$F$16,Reserves!CB7,0)</f>
        <v/>
      </c>
      <c r="CC21" s="19">
        <f>IF(Time!CC8=Inputs!$F$16,Reserves!CC7,0)</f>
        <v/>
      </c>
      <c r="CD21" s="19">
        <f>IF(Time!CD8=Inputs!$F$16,Reserves!CD7,0)</f>
        <v/>
      </c>
      <c r="CE21" s="19">
        <f>IF(Time!CE8=Inputs!$F$16,Reserves!CE7,0)</f>
        <v/>
      </c>
      <c r="CF21" s="19">
        <f>IF(Time!CF8=Inputs!$F$16,Reserves!CF7,0)</f>
        <v/>
      </c>
      <c r="CG21" s="19">
        <f>IF(Time!CG8=Inputs!$F$16,Reserves!CG7,0)</f>
        <v/>
      </c>
      <c r="CH21" s="19">
        <f>IF(Time!CH8=Inputs!$F$16,Reserves!CH7,0)</f>
        <v/>
      </c>
      <c r="CI21" s="19">
        <f>IF(Time!CI8=Inputs!$F$16,Reserves!CI7,0)</f>
        <v/>
      </c>
      <c r="CJ21" s="19">
        <f>IF(Time!CJ8=Inputs!$F$16,Reserves!CJ7,0)</f>
        <v/>
      </c>
      <c r="CK21" s="19">
        <f>IF(Time!CK8=Inputs!$F$16,Reserves!CK7,0)</f>
        <v/>
      </c>
      <c r="CL21" s="19">
        <f>IF(Time!CL8=Inputs!$F$16,Reserves!CL7,0)</f>
        <v/>
      </c>
      <c r="CM21" s="19">
        <f>IF(Time!CM8=Inputs!$F$16,Reserves!CM7,0)</f>
        <v/>
      </c>
      <c r="CN21" s="19">
        <f>IF(Time!CN8=Inputs!$F$16,Reserves!CN7,0)</f>
        <v/>
      </c>
      <c r="CO21" s="19">
        <f>IF(Time!CO8=Inputs!$F$16,Reserves!CO7,0)</f>
        <v/>
      </c>
      <c r="CP21" s="19">
        <f>IF(Time!CP8=Inputs!$F$16,Reserves!CP7,0)</f>
        <v/>
      </c>
      <c r="CQ21" s="19">
        <f>IF(Time!CQ8=Inputs!$F$16,Reserves!CQ7,0)</f>
        <v/>
      </c>
      <c r="CR21" s="19">
        <f>IF(Time!CR8=Inputs!$F$16,Reserves!CR7,0)</f>
        <v/>
      </c>
      <c r="CS21" s="19">
        <f>IF(Time!CS8=Inputs!$F$16,Reserves!CS7,0)</f>
        <v/>
      </c>
      <c r="CT21" s="19">
        <f>IF(Time!CT8=Inputs!$F$16,Reserves!CT7,0)</f>
        <v/>
      </c>
      <c r="CU21" s="19">
        <f>IF(Time!CU8=Inputs!$F$16,Reserves!CU7,0)</f>
        <v/>
      </c>
      <c r="CV21" s="19">
        <f>IF(Time!CV8=Inputs!$F$16,Reserves!CV7,0)</f>
        <v/>
      </c>
      <c r="CW21" s="19">
        <f>IF(Time!CW8=Inputs!$F$16,Reserves!CW7,0)</f>
        <v/>
      </c>
      <c r="CX21" s="19">
        <f>IF(Time!CX8=Inputs!$F$16,Reserves!CX7,0)</f>
        <v/>
      </c>
      <c r="CY21" s="19">
        <f>IF(Time!CY8=Inputs!$F$16,Reserves!CY7,0)</f>
        <v/>
      </c>
      <c r="CZ21" s="19">
        <f>IF(Time!CZ8=Inputs!$F$16,Reserves!CZ7,0)</f>
        <v/>
      </c>
      <c r="DA21" s="19">
        <f>IF(Time!DA8=Inputs!$F$16,Reserves!DA7,0)</f>
        <v/>
      </c>
      <c r="DB21" s="19">
        <f>IF(Time!DB8=Inputs!$F$16,Reserves!DB7,0)</f>
        <v/>
      </c>
    </row>
    <row r="22">
      <c r="D22" t="inlineStr">
        <is>
          <t>Ramp-up interest account funding</t>
        </is>
      </c>
      <c r="E22" t="inlineStr">
        <is>
          <t>ARD m</t>
        </is>
      </c>
      <c r="G22" s="19">
        <f>SUM(J22:DB22)</f>
        <v/>
      </c>
      <c r="J22" s="19">
        <f>IF(Time!J8=Inputs!$F$16,SUM(Debt!$J$39:$DB$39),0)</f>
        <v/>
      </c>
      <c r="K22" s="19">
        <f>IF(Time!K8=Inputs!$F$16,SUM(Debt!$J$39:$DB$39),0)</f>
        <v/>
      </c>
      <c r="L22" s="19">
        <f>IF(Time!L8=Inputs!$F$16,SUM(Debt!$J$39:$DB$39),0)</f>
        <v/>
      </c>
      <c r="M22" s="19">
        <f>IF(Time!M8=Inputs!$F$16,SUM(Debt!$J$39:$DB$39),0)</f>
        <v/>
      </c>
      <c r="N22" s="19">
        <f>IF(Time!N8=Inputs!$F$16,SUM(Debt!$J$39:$DB$39),0)</f>
        <v/>
      </c>
      <c r="O22" s="19">
        <f>IF(Time!O8=Inputs!$F$16,SUM(Debt!$J$39:$DB$39),0)</f>
        <v/>
      </c>
      <c r="P22" s="19">
        <f>IF(Time!P8=Inputs!$F$16,SUM(Debt!$J$39:$DB$39),0)</f>
        <v/>
      </c>
      <c r="Q22" s="19">
        <f>IF(Time!Q8=Inputs!$F$16,SUM(Debt!$J$39:$DB$39),0)</f>
        <v/>
      </c>
      <c r="R22" s="19">
        <f>IF(Time!R8=Inputs!$F$16,SUM(Debt!$J$39:$DB$39),0)</f>
        <v/>
      </c>
      <c r="S22" s="19">
        <f>IF(Time!S8=Inputs!$F$16,SUM(Debt!$J$39:$DB$39),0)</f>
        <v/>
      </c>
      <c r="T22" s="19">
        <f>IF(Time!T8=Inputs!$F$16,SUM(Debt!$J$39:$DB$39),0)</f>
        <v/>
      </c>
      <c r="U22" s="19">
        <f>IF(Time!U8=Inputs!$F$16,SUM(Debt!$J$39:$DB$39),0)</f>
        <v/>
      </c>
      <c r="V22" s="19">
        <f>IF(Time!V8=Inputs!$F$16,SUM(Debt!$J$39:$DB$39),0)</f>
        <v/>
      </c>
      <c r="W22" s="19">
        <f>IF(Time!W8=Inputs!$F$16,SUM(Debt!$J$39:$DB$39),0)</f>
        <v/>
      </c>
      <c r="X22" s="19">
        <f>IF(Time!X8=Inputs!$F$16,SUM(Debt!$J$39:$DB$39),0)</f>
        <v/>
      </c>
      <c r="Y22" s="19">
        <f>IF(Time!Y8=Inputs!$F$16,SUM(Debt!$J$39:$DB$39),0)</f>
        <v/>
      </c>
      <c r="Z22" s="19">
        <f>IF(Time!Z8=Inputs!$F$16,SUM(Debt!$J$39:$DB$39),0)</f>
        <v/>
      </c>
      <c r="AA22" s="19">
        <f>IF(Time!AA8=Inputs!$F$16,SUM(Debt!$J$39:$DB$39),0)</f>
        <v/>
      </c>
      <c r="AB22" s="19">
        <f>IF(Time!AB8=Inputs!$F$16,SUM(Debt!$J$39:$DB$39),0)</f>
        <v/>
      </c>
      <c r="AC22" s="19">
        <f>IF(Time!AC8=Inputs!$F$16,SUM(Debt!$J$39:$DB$39),0)</f>
        <v/>
      </c>
      <c r="AD22" s="19">
        <f>IF(Time!AD8=Inputs!$F$16,SUM(Debt!$J$39:$DB$39),0)</f>
        <v/>
      </c>
      <c r="AE22" s="19">
        <f>IF(Time!AE8=Inputs!$F$16,SUM(Debt!$J$39:$DB$39),0)</f>
        <v/>
      </c>
      <c r="AF22" s="19">
        <f>IF(Time!AF8=Inputs!$F$16,SUM(Debt!$J$39:$DB$39),0)</f>
        <v/>
      </c>
      <c r="AG22" s="19">
        <f>IF(Time!AG8=Inputs!$F$16,SUM(Debt!$J$39:$DB$39),0)</f>
        <v/>
      </c>
      <c r="AH22" s="19">
        <f>IF(Time!AH8=Inputs!$F$16,SUM(Debt!$J$39:$DB$39),0)</f>
        <v/>
      </c>
      <c r="AI22" s="19">
        <f>IF(Time!AI8=Inputs!$F$16,SUM(Debt!$J$39:$DB$39),0)</f>
        <v/>
      </c>
      <c r="AJ22" s="19">
        <f>IF(Time!AJ8=Inputs!$F$16,SUM(Debt!$J$39:$DB$39),0)</f>
        <v/>
      </c>
      <c r="AK22" s="19">
        <f>IF(Time!AK8=Inputs!$F$16,SUM(Debt!$J$39:$DB$39),0)</f>
        <v/>
      </c>
      <c r="AL22" s="19">
        <f>IF(Time!AL8=Inputs!$F$16,SUM(Debt!$J$39:$DB$39),0)</f>
        <v/>
      </c>
      <c r="AM22" s="19">
        <f>IF(Time!AM8=Inputs!$F$16,SUM(Debt!$J$39:$DB$39),0)</f>
        <v/>
      </c>
      <c r="AN22" s="19">
        <f>IF(Time!AN8=Inputs!$F$16,SUM(Debt!$J$39:$DB$39),0)</f>
        <v/>
      </c>
      <c r="AO22" s="19">
        <f>IF(Time!AO8=Inputs!$F$16,SUM(Debt!$J$39:$DB$39),0)</f>
        <v/>
      </c>
      <c r="AP22" s="19">
        <f>IF(Time!AP8=Inputs!$F$16,SUM(Debt!$J$39:$DB$39),0)</f>
        <v/>
      </c>
      <c r="AQ22" s="19">
        <f>IF(Time!AQ8=Inputs!$F$16,SUM(Debt!$J$39:$DB$39),0)</f>
        <v/>
      </c>
      <c r="AR22" s="19">
        <f>IF(Time!AR8=Inputs!$F$16,SUM(Debt!$J$39:$DB$39),0)</f>
        <v/>
      </c>
      <c r="AS22" s="19">
        <f>IF(Time!AS8=Inputs!$F$16,SUM(Debt!$J$39:$DB$39),0)</f>
        <v/>
      </c>
      <c r="AT22" s="19">
        <f>IF(Time!AT8=Inputs!$F$16,SUM(Debt!$J$39:$DB$39),0)</f>
        <v/>
      </c>
      <c r="AU22" s="19">
        <f>IF(Time!AU8=Inputs!$F$16,SUM(Debt!$J$39:$DB$39),0)</f>
        <v/>
      </c>
      <c r="AV22" s="19">
        <f>IF(Time!AV8=Inputs!$F$16,SUM(Debt!$J$39:$DB$39),0)</f>
        <v/>
      </c>
      <c r="AW22" s="19">
        <f>IF(Time!AW8=Inputs!$F$16,SUM(Debt!$J$39:$DB$39),0)</f>
        <v/>
      </c>
      <c r="AX22" s="19">
        <f>IF(Time!AX8=Inputs!$F$16,SUM(Debt!$J$39:$DB$39),0)</f>
        <v/>
      </c>
      <c r="AY22" s="19">
        <f>IF(Time!AY8=Inputs!$F$16,SUM(Debt!$J$39:$DB$39),0)</f>
        <v/>
      </c>
      <c r="AZ22" s="19">
        <f>IF(Time!AZ8=Inputs!$F$16,SUM(Debt!$J$39:$DB$39),0)</f>
        <v/>
      </c>
      <c r="BA22" s="19">
        <f>IF(Time!BA8=Inputs!$F$16,SUM(Debt!$J$39:$DB$39),0)</f>
        <v/>
      </c>
      <c r="BB22" s="19">
        <f>IF(Time!BB8=Inputs!$F$16,SUM(Debt!$J$39:$DB$39),0)</f>
        <v/>
      </c>
      <c r="BC22" s="19">
        <f>IF(Time!BC8=Inputs!$F$16,SUM(Debt!$J$39:$DB$39),0)</f>
        <v/>
      </c>
      <c r="BD22" s="19">
        <f>IF(Time!BD8=Inputs!$F$16,SUM(Debt!$J$39:$DB$39),0)</f>
        <v/>
      </c>
      <c r="BE22" s="19">
        <f>IF(Time!BE8=Inputs!$F$16,SUM(Debt!$J$39:$DB$39),0)</f>
        <v/>
      </c>
      <c r="BF22" s="19">
        <f>IF(Time!BF8=Inputs!$F$16,SUM(Debt!$J$39:$DB$39),0)</f>
        <v/>
      </c>
      <c r="BG22" s="19">
        <f>IF(Time!BG8=Inputs!$F$16,SUM(Debt!$J$39:$DB$39),0)</f>
        <v/>
      </c>
      <c r="BH22" s="19">
        <f>IF(Time!BH8=Inputs!$F$16,SUM(Debt!$J$39:$DB$39),0)</f>
        <v/>
      </c>
      <c r="BI22" s="19">
        <f>IF(Time!BI8=Inputs!$F$16,SUM(Debt!$J$39:$DB$39),0)</f>
        <v/>
      </c>
      <c r="BJ22" s="19">
        <f>IF(Time!BJ8=Inputs!$F$16,SUM(Debt!$J$39:$DB$39),0)</f>
        <v/>
      </c>
      <c r="BK22" s="19">
        <f>IF(Time!BK8=Inputs!$F$16,SUM(Debt!$J$39:$DB$39),0)</f>
        <v/>
      </c>
      <c r="BL22" s="19">
        <f>IF(Time!BL8=Inputs!$F$16,SUM(Debt!$J$39:$DB$39),0)</f>
        <v/>
      </c>
      <c r="BM22" s="19">
        <f>IF(Time!BM8=Inputs!$F$16,SUM(Debt!$J$39:$DB$39),0)</f>
        <v/>
      </c>
      <c r="BN22" s="19">
        <f>IF(Time!BN8=Inputs!$F$16,SUM(Debt!$J$39:$DB$39),0)</f>
        <v/>
      </c>
      <c r="BO22" s="19">
        <f>IF(Time!BO8=Inputs!$F$16,SUM(Debt!$J$39:$DB$39),0)</f>
        <v/>
      </c>
      <c r="BP22" s="19">
        <f>IF(Time!BP8=Inputs!$F$16,SUM(Debt!$J$39:$DB$39),0)</f>
        <v/>
      </c>
      <c r="BQ22" s="19">
        <f>IF(Time!BQ8=Inputs!$F$16,SUM(Debt!$J$39:$DB$39),0)</f>
        <v/>
      </c>
      <c r="BR22" s="19">
        <f>IF(Time!BR8=Inputs!$F$16,SUM(Debt!$J$39:$DB$39),0)</f>
        <v/>
      </c>
      <c r="BS22" s="19">
        <f>IF(Time!BS8=Inputs!$F$16,SUM(Debt!$J$39:$DB$39),0)</f>
        <v/>
      </c>
      <c r="BT22" s="19">
        <f>IF(Time!BT8=Inputs!$F$16,SUM(Debt!$J$39:$DB$39),0)</f>
        <v/>
      </c>
      <c r="BU22" s="19">
        <f>IF(Time!BU8=Inputs!$F$16,SUM(Debt!$J$39:$DB$39),0)</f>
        <v/>
      </c>
      <c r="BV22" s="19">
        <f>IF(Time!BV8=Inputs!$F$16,SUM(Debt!$J$39:$DB$39),0)</f>
        <v/>
      </c>
      <c r="BW22" s="19">
        <f>IF(Time!BW8=Inputs!$F$16,SUM(Debt!$J$39:$DB$39),0)</f>
        <v/>
      </c>
      <c r="BX22" s="19">
        <f>IF(Time!BX8=Inputs!$F$16,SUM(Debt!$J$39:$DB$39),0)</f>
        <v/>
      </c>
      <c r="BY22" s="19">
        <f>IF(Time!BY8=Inputs!$F$16,SUM(Debt!$J$39:$DB$39),0)</f>
        <v/>
      </c>
      <c r="BZ22" s="19">
        <f>IF(Time!BZ8=Inputs!$F$16,SUM(Debt!$J$39:$DB$39),0)</f>
        <v/>
      </c>
      <c r="CA22" s="19">
        <f>IF(Time!CA8=Inputs!$F$16,SUM(Debt!$J$39:$DB$39),0)</f>
        <v/>
      </c>
      <c r="CB22" s="19">
        <f>IF(Time!CB8=Inputs!$F$16,SUM(Debt!$J$39:$DB$39),0)</f>
        <v/>
      </c>
      <c r="CC22" s="19">
        <f>IF(Time!CC8=Inputs!$F$16,SUM(Debt!$J$39:$DB$39),0)</f>
        <v/>
      </c>
      <c r="CD22" s="19">
        <f>IF(Time!CD8=Inputs!$F$16,SUM(Debt!$J$39:$DB$39),0)</f>
        <v/>
      </c>
      <c r="CE22" s="19">
        <f>IF(Time!CE8=Inputs!$F$16,SUM(Debt!$J$39:$DB$39),0)</f>
        <v/>
      </c>
      <c r="CF22" s="19">
        <f>IF(Time!CF8=Inputs!$F$16,SUM(Debt!$J$39:$DB$39),0)</f>
        <v/>
      </c>
      <c r="CG22" s="19">
        <f>IF(Time!CG8=Inputs!$F$16,SUM(Debt!$J$39:$DB$39),0)</f>
        <v/>
      </c>
      <c r="CH22" s="19">
        <f>IF(Time!CH8=Inputs!$F$16,SUM(Debt!$J$39:$DB$39),0)</f>
        <v/>
      </c>
      <c r="CI22" s="19">
        <f>IF(Time!CI8=Inputs!$F$16,SUM(Debt!$J$39:$DB$39),0)</f>
        <v/>
      </c>
      <c r="CJ22" s="19">
        <f>IF(Time!CJ8=Inputs!$F$16,SUM(Debt!$J$39:$DB$39),0)</f>
        <v/>
      </c>
      <c r="CK22" s="19">
        <f>IF(Time!CK8=Inputs!$F$16,SUM(Debt!$J$39:$DB$39),0)</f>
        <v/>
      </c>
      <c r="CL22" s="19">
        <f>IF(Time!CL8=Inputs!$F$16,SUM(Debt!$J$39:$DB$39),0)</f>
        <v/>
      </c>
      <c r="CM22" s="19">
        <f>IF(Time!CM8=Inputs!$F$16,SUM(Debt!$J$39:$DB$39),0)</f>
        <v/>
      </c>
      <c r="CN22" s="19">
        <f>IF(Time!CN8=Inputs!$F$16,SUM(Debt!$J$39:$DB$39),0)</f>
        <v/>
      </c>
      <c r="CO22" s="19">
        <f>IF(Time!CO8=Inputs!$F$16,SUM(Debt!$J$39:$DB$39),0)</f>
        <v/>
      </c>
      <c r="CP22" s="19">
        <f>IF(Time!CP8=Inputs!$F$16,SUM(Debt!$J$39:$DB$39),0)</f>
        <v/>
      </c>
      <c r="CQ22" s="19">
        <f>IF(Time!CQ8=Inputs!$F$16,SUM(Debt!$J$39:$DB$39),0)</f>
        <v/>
      </c>
      <c r="CR22" s="19">
        <f>IF(Time!CR8=Inputs!$F$16,SUM(Debt!$J$39:$DB$39),0)</f>
        <v/>
      </c>
      <c r="CS22" s="19">
        <f>IF(Time!CS8=Inputs!$F$16,SUM(Debt!$J$39:$DB$39),0)</f>
        <v/>
      </c>
      <c r="CT22" s="19">
        <f>IF(Time!CT8=Inputs!$F$16,SUM(Debt!$J$39:$DB$39),0)</f>
        <v/>
      </c>
      <c r="CU22" s="19">
        <f>IF(Time!CU8=Inputs!$F$16,SUM(Debt!$J$39:$DB$39),0)</f>
        <v/>
      </c>
      <c r="CV22" s="19">
        <f>IF(Time!CV8=Inputs!$F$16,SUM(Debt!$J$39:$DB$39),0)</f>
        <v/>
      </c>
      <c r="CW22" s="19">
        <f>IF(Time!CW8=Inputs!$F$16,SUM(Debt!$J$39:$DB$39),0)</f>
        <v/>
      </c>
      <c r="CX22" s="19">
        <f>IF(Time!CX8=Inputs!$F$16,SUM(Debt!$J$39:$DB$39),0)</f>
        <v/>
      </c>
      <c r="CY22" s="19">
        <f>IF(Time!CY8=Inputs!$F$16,SUM(Debt!$J$39:$DB$39),0)</f>
        <v/>
      </c>
      <c r="CZ22" s="19">
        <f>IF(Time!CZ8=Inputs!$F$16,SUM(Debt!$J$39:$DB$39),0)</f>
        <v/>
      </c>
      <c r="DA22" s="19">
        <f>IF(Time!DA8=Inputs!$F$16,SUM(Debt!$J$39:$DB$39),0)</f>
        <v/>
      </c>
      <c r="DB22" s="19">
        <f>IF(Time!DB8=Inputs!$F$16,SUM(Debt!$J$39:$DB$39),0)</f>
        <v/>
      </c>
    </row>
    <row r="23">
      <c r="D23" t="inlineStr">
        <is>
          <t>Total uses</t>
        </is>
      </c>
      <c r="E23" t="inlineStr">
        <is>
          <t>ARD m</t>
        </is>
      </c>
      <c r="G23" s="19">
        <f>SUM(J23:DB23)</f>
        <v/>
      </c>
      <c r="J23" s="19">
        <f>(J9+J10+J11+J12+J13-J15+J19+J21+J22)*Time!J20</f>
        <v/>
      </c>
      <c r="K23" s="19">
        <f>(K9+K10+K11+K12+K13-K15+K19+K21+K22)*Time!K20</f>
        <v/>
      </c>
      <c r="L23" s="19">
        <f>(L9+L10+L11+L12+L13-L15+L19+L21+L22)*Time!L20</f>
        <v/>
      </c>
      <c r="M23" s="19">
        <f>(M9+M10+M11+M12+M13-M15+M19+M21+M22)*Time!M20</f>
        <v/>
      </c>
      <c r="N23" s="19">
        <f>(N9+N10+N11+N12+N13-N15+N19+N21+N22)*Time!N20</f>
        <v/>
      </c>
      <c r="O23" s="19">
        <f>(O9+O10+O11+O12+O13-O15+O19+O21+O22)*Time!O20</f>
        <v/>
      </c>
      <c r="P23" s="19">
        <f>(P9+P10+P11+P12+P13-P15+P19+P21+P22)*Time!P20</f>
        <v/>
      </c>
      <c r="Q23" s="19">
        <f>(Q9+Q10+Q11+Q12+Q13-Q15+Q19+Q21+Q22)*Time!Q20</f>
        <v/>
      </c>
      <c r="R23" s="19">
        <f>(R9+R10+R11+R12+R13-R15+R19+R21+R22)*Time!R20</f>
        <v/>
      </c>
      <c r="S23" s="19">
        <f>(S9+S10+S11+S12+S13-S15+S19+S21+S22)*Time!S20</f>
        <v/>
      </c>
      <c r="T23" s="19">
        <f>(T9+T10+T11+T12+T13-T15+T19+T21+T22)*Time!T20</f>
        <v/>
      </c>
      <c r="U23" s="19">
        <f>(U9+U10+U11+U12+U13-U15+U19+U21+U22)*Time!U20</f>
        <v/>
      </c>
      <c r="V23" s="19">
        <f>(V9+V10+V11+V12+V13-V15+V19+V21+V22)*Time!V20</f>
        <v/>
      </c>
      <c r="W23" s="19">
        <f>(W9+W10+W11+W12+W13-W15+W19+W21+W22)*Time!W20</f>
        <v/>
      </c>
      <c r="X23" s="19">
        <f>(X9+X10+X11+X12+X13-X15+X19+X21+X22)*Time!X20</f>
        <v/>
      </c>
      <c r="Y23" s="19">
        <f>(Y9+Y10+Y11+Y12+Y13-Y15+Y19+Y21+Y22)*Time!Y20</f>
        <v/>
      </c>
      <c r="Z23" s="19">
        <f>(Z9+Z10+Z11+Z12+Z13-Z15+Z19+Z21+Z22)*Time!Z20</f>
        <v/>
      </c>
      <c r="AA23" s="19">
        <f>(AA9+AA10+AA11+AA12+AA13-AA15+AA19+AA21+AA22)*Time!AA20</f>
        <v/>
      </c>
      <c r="AB23" s="19">
        <f>(AB9+AB10+AB11+AB12+AB13-AB15+AB19+AB21+AB22)*Time!AB20</f>
        <v/>
      </c>
      <c r="AC23" s="19">
        <f>(AC9+AC10+AC11+AC12+AC13-AC15+AC19+AC21+AC22)*Time!AC20</f>
        <v/>
      </c>
      <c r="AD23" s="19">
        <f>(AD9+AD10+AD11+AD12+AD13-AD15+AD19+AD21+AD22)*Time!AD20</f>
        <v/>
      </c>
      <c r="AE23" s="19">
        <f>(AE9+AE10+AE11+AE12+AE13-AE15+AE19+AE21+AE22)*Time!AE20</f>
        <v/>
      </c>
      <c r="AF23" s="19">
        <f>(AF9+AF10+AF11+AF12+AF13-AF15+AF19+AF21+AF22)*Time!AF20</f>
        <v/>
      </c>
      <c r="AG23" s="19">
        <f>(AG9+AG10+AG11+AG12+AG13-AG15+AG19+AG21+AG22)*Time!AG20</f>
        <v/>
      </c>
      <c r="AH23" s="19">
        <f>(AH9+AH10+AH11+AH12+AH13-AH15+AH19+AH21+AH22)*Time!AH20</f>
        <v/>
      </c>
      <c r="AI23" s="19">
        <f>(AI9+AI10+AI11+AI12+AI13-AI15+AI19+AI21+AI22)*Time!AI20</f>
        <v/>
      </c>
      <c r="AJ23" s="19">
        <f>(AJ9+AJ10+AJ11+AJ12+AJ13-AJ15+AJ19+AJ21+AJ22)*Time!AJ20</f>
        <v/>
      </c>
      <c r="AK23" s="19">
        <f>(AK9+AK10+AK11+AK12+AK13-AK15+AK19+AK21+AK22)*Time!AK20</f>
        <v/>
      </c>
      <c r="AL23" s="19">
        <f>(AL9+AL10+AL11+AL12+AL13-AL15+AL19+AL21+AL22)*Time!AL20</f>
        <v/>
      </c>
      <c r="AM23" s="19">
        <f>(AM9+AM10+AM11+AM12+AM13-AM15+AM19+AM21+AM22)*Time!AM20</f>
        <v/>
      </c>
      <c r="AN23" s="19">
        <f>(AN9+AN10+AN11+AN12+AN13-AN15+AN19+AN21+AN22)*Time!AN20</f>
        <v/>
      </c>
      <c r="AO23" s="19">
        <f>(AO9+AO10+AO11+AO12+AO13-AO15+AO19+AO21+AO22)*Time!AO20</f>
        <v/>
      </c>
      <c r="AP23" s="19">
        <f>(AP9+AP10+AP11+AP12+AP13-AP15+AP19+AP21+AP22)*Time!AP20</f>
        <v/>
      </c>
      <c r="AQ23" s="19">
        <f>(AQ9+AQ10+AQ11+AQ12+AQ13-AQ15+AQ19+AQ21+AQ22)*Time!AQ20</f>
        <v/>
      </c>
      <c r="AR23" s="19">
        <f>(AR9+AR10+AR11+AR12+AR13-AR15+AR19+AR21+AR22)*Time!AR20</f>
        <v/>
      </c>
      <c r="AS23" s="19">
        <f>(AS9+AS10+AS11+AS12+AS13-AS15+AS19+AS21+AS22)*Time!AS20</f>
        <v/>
      </c>
      <c r="AT23" s="19">
        <f>(AT9+AT10+AT11+AT12+AT13-AT15+AT19+AT21+AT22)*Time!AT20</f>
        <v/>
      </c>
      <c r="AU23" s="19">
        <f>(AU9+AU10+AU11+AU12+AU13-AU15+AU19+AU21+AU22)*Time!AU20</f>
        <v/>
      </c>
      <c r="AV23" s="19">
        <f>(AV9+AV10+AV11+AV12+AV13-AV15+AV19+AV21+AV22)*Time!AV20</f>
        <v/>
      </c>
      <c r="AW23" s="19">
        <f>(AW9+AW10+AW11+AW12+AW13-AW15+AW19+AW21+AW22)*Time!AW20</f>
        <v/>
      </c>
      <c r="AX23" s="19">
        <f>(AX9+AX10+AX11+AX12+AX13-AX15+AX19+AX21+AX22)*Time!AX20</f>
        <v/>
      </c>
      <c r="AY23" s="19">
        <f>(AY9+AY10+AY11+AY12+AY13-AY15+AY19+AY21+AY22)*Time!AY20</f>
        <v/>
      </c>
      <c r="AZ23" s="19">
        <f>(AZ9+AZ10+AZ11+AZ12+AZ13-AZ15+AZ19+AZ21+AZ22)*Time!AZ20</f>
        <v/>
      </c>
      <c r="BA23" s="19">
        <f>(BA9+BA10+BA11+BA12+BA13-BA15+BA19+BA21+BA22)*Time!BA20</f>
        <v/>
      </c>
      <c r="BB23" s="19">
        <f>(BB9+BB10+BB11+BB12+BB13-BB15+BB19+BB21+BB22)*Time!BB20</f>
        <v/>
      </c>
      <c r="BC23" s="19">
        <f>(BC9+BC10+BC11+BC12+BC13-BC15+BC19+BC21+BC22)*Time!BC20</f>
        <v/>
      </c>
      <c r="BD23" s="19">
        <f>(BD9+BD10+BD11+BD12+BD13-BD15+BD19+BD21+BD22)*Time!BD20</f>
        <v/>
      </c>
      <c r="BE23" s="19">
        <f>(BE9+BE10+BE11+BE12+BE13-BE15+BE19+BE21+BE22)*Time!BE20</f>
        <v/>
      </c>
      <c r="BF23" s="19">
        <f>(BF9+BF10+BF11+BF12+BF13-BF15+BF19+BF21+BF22)*Time!BF20</f>
        <v/>
      </c>
      <c r="BG23" s="19">
        <f>(BG9+BG10+BG11+BG12+BG13-BG15+BG19+BG21+BG22)*Time!BG20</f>
        <v/>
      </c>
      <c r="BH23" s="19">
        <f>(BH9+BH10+BH11+BH12+BH13-BH15+BH19+BH21+BH22)*Time!BH20</f>
        <v/>
      </c>
      <c r="BI23" s="19">
        <f>(BI9+BI10+BI11+BI12+BI13-BI15+BI19+BI21+BI22)*Time!BI20</f>
        <v/>
      </c>
      <c r="BJ23" s="19">
        <f>(BJ9+BJ10+BJ11+BJ12+BJ13-BJ15+BJ19+BJ21+BJ22)*Time!BJ20</f>
        <v/>
      </c>
      <c r="BK23" s="19">
        <f>(BK9+BK10+BK11+BK12+BK13-BK15+BK19+BK21+BK22)*Time!BK20</f>
        <v/>
      </c>
      <c r="BL23" s="19">
        <f>(BL9+BL10+BL11+BL12+BL13-BL15+BL19+BL21+BL22)*Time!BL20</f>
        <v/>
      </c>
      <c r="BM23" s="19">
        <f>(BM9+BM10+BM11+BM12+BM13-BM15+BM19+BM21+BM22)*Time!BM20</f>
        <v/>
      </c>
      <c r="BN23" s="19">
        <f>(BN9+BN10+BN11+BN12+BN13-BN15+BN19+BN21+BN22)*Time!BN20</f>
        <v/>
      </c>
      <c r="BO23" s="19">
        <f>(BO9+BO10+BO11+BO12+BO13-BO15+BO19+BO21+BO22)*Time!BO20</f>
        <v/>
      </c>
      <c r="BP23" s="19">
        <f>(BP9+BP10+BP11+BP12+BP13-BP15+BP19+BP21+BP22)*Time!BP20</f>
        <v/>
      </c>
      <c r="BQ23" s="19">
        <f>(BQ9+BQ10+BQ11+BQ12+BQ13-BQ15+BQ19+BQ21+BQ22)*Time!BQ20</f>
        <v/>
      </c>
      <c r="BR23" s="19">
        <f>(BR9+BR10+BR11+BR12+BR13-BR15+BR19+BR21+BR22)*Time!BR20</f>
        <v/>
      </c>
      <c r="BS23" s="19">
        <f>(BS9+BS10+BS11+BS12+BS13-BS15+BS19+BS21+BS22)*Time!BS20</f>
        <v/>
      </c>
      <c r="BT23" s="19">
        <f>(BT9+BT10+BT11+BT12+BT13-BT15+BT19+BT21+BT22)*Time!BT20</f>
        <v/>
      </c>
      <c r="BU23" s="19">
        <f>(BU9+BU10+BU11+BU12+BU13-BU15+BU19+BU21+BU22)*Time!BU20</f>
        <v/>
      </c>
      <c r="BV23" s="19">
        <f>(BV9+BV10+BV11+BV12+BV13-BV15+BV19+BV21+BV22)*Time!BV20</f>
        <v/>
      </c>
      <c r="BW23" s="19">
        <f>(BW9+BW10+BW11+BW12+BW13-BW15+BW19+BW21+BW22)*Time!BW20</f>
        <v/>
      </c>
      <c r="BX23" s="19">
        <f>(BX9+BX10+BX11+BX12+BX13-BX15+BX19+BX21+BX22)*Time!BX20</f>
        <v/>
      </c>
      <c r="BY23" s="19">
        <f>(BY9+BY10+BY11+BY12+BY13-BY15+BY19+BY21+BY22)*Time!BY20</f>
        <v/>
      </c>
      <c r="BZ23" s="19">
        <f>(BZ9+BZ10+BZ11+BZ12+BZ13-BZ15+BZ19+BZ21+BZ22)*Time!BZ20</f>
        <v/>
      </c>
      <c r="CA23" s="19">
        <f>(CA9+CA10+CA11+CA12+CA13-CA15+CA19+CA21+CA22)*Time!CA20</f>
        <v/>
      </c>
      <c r="CB23" s="19">
        <f>(CB9+CB10+CB11+CB12+CB13-CB15+CB19+CB21+CB22)*Time!CB20</f>
        <v/>
      </c>
      <c r="CC23" s="19">
        <f>(CC9+CC10+CC11+CC12+CC13-CC15+CC19+CC21+CC22)*Time!CC20</f>
        <v/>
      </c>
      <c r="CD23" s="19">
        <f>(CD9+CD10+CD11+CD12+CD13-CD15+CD19+CD21+CD22)*Time!CD20</f>
        <v/>
      </c>
      <c r="CE23" s="19">
        <f>(CE9+CE10+CE11+CE12+CE13-CE15+CE19+CE21+CE22)*Time!CE20</f>
        <v/>
      </c>
      <c r="CF23" s="19">
        <f>(CF9+CF10+CF11+CF12+CF13-CF15+CF19+CF21+CF22)*Time!CF20</f>
        <v/>
      </c>
      <c r="CG23" s="19">
        <f>(CG9+CG10+CG11+CG12+CG13-CG15+CG19+CG21+CG22)*Time!CG20</f>
        <v/>
      </c>
      <c r="CH23" s="19">
        <f>(CH9+CH10+CH11+CH12+CH13-CH15+CH19+CH21+CH22)*Time!CH20</f>
        <v/>
      </c>
      <c r="CI23" s="19">
        <f>(CI9+CI10+CI11+CI12+CI13-CI15+CI19+CI21+CI22)*Time!CI20</f>
        <v/>
      </c>
      <c r="CJ23" s="19">
        <f>(CJ9+CJ10+CJ11+CJ12+CJ13-CJ15+CJ19+CJ21+CJ22)*Time!CJ20</f>
        <v/>
      </c>
      <c r="CK23" s="19">
        <f>(CK9+CK10+CK11+CK12+CK13-CK15+CK19+CK21+CK22)*Time!CK20</f>
        <v/>
      </c>
      <c r="CL23" s="19">
        <f>(CL9+CL10+CL11+CL12+CL13-CL15+CL19+CL21+CL22)*Time!CL20</f>
        <v/>
      </c>
      <c r="CM23" s="19">
        <f>(CM9+CM10+CM11+CM12+CM13-CM15+CM19+CM21+CM22)*Time!CM20</f>
        <v/>
      </c>
      <c r="CN23" s="19">
        <f>(CN9+CN10+CN11+CN12+CN13-CN15+CN19+CN21+CN22)*Time!CN20</f>
        <v/>
      </c>
      <c r="CO23" s="19">
        <f>(CO9+CO10+CO11+CO12+CO13-CO15+CO19+CO21+CO22)*Time!CO20</f>
        <v/>
      </c>
      <c r="CP23" s="19">
        <f>(CP9+CP10+CP11+CP12+CP13-CP15+CP19+CP21+CP22)*Time!CP20</f>
        <v/>
      </c>
      <c r="CQ23" s="19">
        <f>(CQ9+CQ10+CQ11+CQ12+CQ13-CQ15+CQ19+CQ21+CQ22)*Time!CQ20</f>
        <v/>
      </c>
      <c r="CR23" s="19">
        <f>(CR9+CR10+CR11+CR12+CR13-CR15+CR19+CR21+CR22)*Time!CR20</f>
        <v/>
      </c>
      <c r="CS23" s="19">
        <f>(CS9+CS10+CS11+CS12+CS13-CS15+CS19+CS21+CS22)*Time!CS20</f>
        <v/>
      </c>
      <c r="CT23" s="19">
        <f>(CT9+CT10+CT11+CT12+CT13-CT15+CT19+CT21+CT22)*Time!CT20</f>
        <v/>
      </c>
      <c r="CU23" s="19">
        <f>(CU9+CU10+CU11+CU12+CU13-CU15+CU19+CU21+CU22)*Time!CU20</f>
        <v/>
      </c>
      <c r="CV23" s="19">
        <f>(CV9+CV10+CV11+CV12+CV13-CV15+CV19+CV21+CV22)*Time!CV20</f>
        <v/>
      </c>
      <c r="CW23" s="19">
        <f>(CW9+CW10+CW11+CW12+CW13-CW15+CW19+CW21+CW22)*Time!CW20</f>
        <v/>
      </c>
      <c r="CX23" s="19">
        <f>(CX9+CX10+CX11+CX12+CX13-CX15+CX19+CX21+CX22)*Time!CX20</f>
        <v/>
      </c>
      <c r="CY23" s="19">
        <f>(CY9+CY10+CY11+CY12+CY13-CY15+CY19+CY21+CY22)*Time!CY20</f>
        <v/>
      </c>
      <c r="CZ23" s="19">
        <f>(CZ9+CZ10+CZ11+CZ12+CZ13-CZ15+CZ19+CZ21+CZ22)*Time!CZ20</f>
        <v/>
      </c>
      <c r="DA23" s="19">
        <f>(DA9+DA10+DA11+DA12+DA13-DA15+DA19+DA21+DA22)*Time!DA20</f>
        <v/>
      </c>
      <c r="DB23" s="19">
        <f>(DB9+DB10+DB11+DB12+DB13-DB15+DB19+DB21+DB22)*Time!DB20</f>
        <v/>
      </c>
    </row>
    <row r="24">
      <c r="D24" t="inlineStr">
        <is>
          <t>Total uses (eligible costs)</t>
        </is>
      </c>
      <c r="E24" t="inlineStr">
        <is>
          <t>ARD m</t>
        </is>
      </c>
      <c r="F24" s="19">
        <f>SUM($J$23:$DB$23)</f>
        <v/>
      </c>
    </row>
    <row r="25">
      <c r="D25" t="inlineStr">
        <is>
          <t>Funding requirement net of the state contribution</t>
        </is>
      </c>
      <c r="E25" t="inlineStr">
        <is>
          <t>ARD m</t>
        </is>
      </c>
      <c r="F25" s="19">
        <f>$F$24-Inputs!$F$228</f>
        <v/>
      </c>
    </row>
    <row r="26">
      <c r="D26" s="3" t="inlineStr">
        <is>
          <t>Sources of funds (equity first, then debt pro rata; bridge in the last six quarters)</t>
        </is>
      </c>
    </row>
    <row r="27">
      <c r="D27" t="inlineStr">
        <is>
          <t>Equity drawn</t>
        </is>
      </c>
      <c r="E27" t="inlineStr">
        <is>
          <t>ARD m</t>
        </is>
      </c>
      <c r="G27" s="19">
        <f>SUM(J27:DB27)</f>
        <v/>
      </c>
      <c r="J27" s="19">
        <f>MIN(J23,MAX(0,Debt!$F$29-I28))*Time!J20</f>
        <v/>
      </c>
      <c r="K27" s="19">
        <f>MIN(K23,MAX(0,Debt!$F$29-J28))*Time!K20</f>
        <v/>
      </c>
      <c r="L27" s="19">
        <f>MIN(L23,MAX(0,Debt!$F$29-K28))*Time!L20</f>
        <v/>
      </c>
      <c r="M27" s="19">
        <f>MIN(M23,MAX(0,Debt!$F$29-L28))*Time!M20</f>
        <v/>
      </c>
      <c r="N27" s="19">
        <f>MIN(N23,MAX(0,Debt!$F$29-M28))*Time!N20</f>
        <v/>
      </c>
      <c r="O27" s="19">
        <f>MIN(O23,MAX(0,Debt!$F$29-N28))*Time!O20</f>
        <v/>
      </c>
      <c r="P27" s="19">
        <f>MIN(P23,MAX(0,Debt!$F$29-O28))*Time!P20</f>
        <v/>
      </c>
      <c r="Q27" s="19">
        <f>MIN(Q23,MAX(0,Debt!$F$29-P28))*Time!Q20</f>
        <v/>
      </c>
      <c r="R27" s="19">
        <f>MIN(R23,MAX(0,Debt!$F$29-Q28))*Time!R20</f>
        <v/>
      </c>
      <c r="S27" s="19">
        <f>MIN(S23,MAX(0,Debt!$F$29-R28))*Time!S20</f>
        <v/>
      </c>
      <c r="T27" s="19">
        <f>MIN(T23,MAX(0,Debt!$F$29-S28))*Time!T20</f>
        <v/>
      </c>
      <c r="U27" s="19">
        <f>MIN(U23,MAX(0,Debt!$F$29-T28))*Time!U20</f>
        <v/>
      </c>
      <c r="V27" s="19">
        <f>MIN(V23,MAX(0,Debt!$F$29-U28))*Time!V20</f>
        <v/>
      </c>
      <c r="W27" s="19">
        <f>MIN(W23,MAX(0,Debt!$F$29-V28))*Time!W20</f>
        <v/>
      </c>
      <c r="X27" s="19">
        <f>MIN(X23,MAX(0,Debt!$F$29-W28))*Time!X20</f>
        <v/>
      </c>
      <c r="Y27" s="19">
        <f>MIN(Y23,MAX(0,Debt!$F$29-X28))*Time!Y20</f>
        <v/>
      </c>
      <c r="Z27" s="19">
        <f>MIN(Z23,MAX(0,Debt!$F$29-Y28))*Time!Z20</f>
        <v/>
      </c>
      <c r="AA27" s="19">
        <f>MIN(AA23,MAX(0,Debt!$F$29-Z28))*Time!AA20</f>
        <v/>
      </c>
      <c r="AB27" s="19">
        <f>MIN(AB23,MAX(0,Debt!$F$29-AA28))*Time!AB20</f>
        <v/>
      </c>
      <c r="AC27" s="19">
        <f>MIN(AC23,MAX(0,Debt!$F$29-AB28))*Time!AC20</f>
        <v/>
      </c>
      <c r="AD27" s="19">
        <f>MIN(AD23,MAX(0,Debt!$F$29-AC28))*Time!AD20</f>
        <v/>
      </c>
      <c r="AE27" s="19">
        <f>MIN(AE23,MAX(0,Debt!$F$29-AD28))*Time!AE20</f>
        <v/>
      </c>
      <c r="AF27" s="19">
        <f>MIN(AF23,MAX(0,Debt!$F$29-AE28))*Time!AF20</f>
        <v/>
      </c>
      <c r="AG27" s="19">
        <f>MIN(AG23,MAX(0,Debt!$F$29-AF28))*Time!AG20</f>
        <v/>
      </c>
      <c r="AH27" s="19">
        <f>MIN(AH23,MAX(0,Debt!$F$29-AG28))*Time!AH20</f>
        <v/>
      </c>
      <c r="AI27" s="19">
        <f>MIN(AI23,MAX(0,Debt!$F$29-AH28))*Time!AI20</f>
        <v/>
      </c>
      <c r="AJ27" s="19">
        <f>MIN(AJ23,MAX(0,Debt!$F$29-AI28))*Time!AJ20</f>
        <v/>
      </c>
      <c r="AK27" s="19">
        <f>MIN(AK23,MAX(0,Debt!$F$29-AJ28))*Time!AK20</f>
        <v/>
      </c>
      <c r="AL27" s="19">
        <f>MIN(AL23,MAX(0,Debt!$F$29-AK28))*Time!AL20</f>
        <v/>
      </c>
      <c r="AM27" s="19">
        <f>MIN(AM23,MAX(0,Debt!$F$29-AL28))*Time!AM20</f>
        <v/>
      </c>
      <c r="AN27" s="19">
        <f>MIN(AN23,MAX(0,Debt!$F$29-AM28))*Time!AN20</f>
        <v/>
      </c>
      <c r="AO27" s="19">
        <f>MIN(AO23,MAX(0,Debt!$F$29-AN28))*Time!AO20</f>
        <v/>
      </c>
      <c r="AP27" s="19">
        <f>MIN(AP23,MAX(0,Debt!$F$29-AO28))*Time!AP20</f>
        <v/>
      </c>
      <c r="AQ27" s="19">
        <f>MIN(AQ23,MAX(0,Debt!$F$29-AP28))*Time!AQ20</f>
        <v/>
      </c>
      <c r="AR27" s="19">
        <f>MIN(AR23,MAX(0,Debt!$F$29-AQ28))*Time!AR20</f>
        <v/>
      </c>
      <c r="AS27" s="19">
        <f>MIN(AS23,MAX(0,Debt!$F$29-AR28))*Time!AS20</f>
        <v/>
      </c>
      <c r="AT27" s="19">
        <f>MIN(AT23,MAX(0,Debt!$F$29-AS28))*Time!AT20</f>
        <v/>
      </c>
      <c r="AU27" s="19">
        <f>MIN(AU23,MAX(0,Debt!$F$29-AT28))*Time!AU20</f>
        <v/>
      </c>
      <c r="AV27" s="19">
        <f>MIN(AV23,MAX(0,Debt!$F$29-AU28))*Time!AV20</f>
        <v/>
      </c>
      <c r="AW27" s="19">
        <f>MIN(AW23,MAX(0,Debt!$F$29-AV28))*Time!AW20</f>
        <v/>
      </c>
      <c r="AX27" s="19">
        <f>MIN(AX23,MAX(0,Debt!$F$29-AW28))*Time!AX20</f>
        <v/>
      </c>
      <c r="AY27" s="19">
        <f>MIN(AY23,MAX(0,Debt!$F$29-AX28))*Time!AY20</f>
        <v/>
      </c>
      <c r="AZ27" s="19">
        <f>MIN(AZ23,MAX(0,Debt!$F$29-AY28))*Time!AZ20</f>
        <v/>
      </c>
      <c r="BA27" s="19">
        <f>MIN(BA23,MAX(0,Debt!$F$29-AZ28))*Time!BA20</f>
        <v/>
      </c>
      <c r="BB27" s="19">
        <f>MIN(BB23,MAX(0,Debt!$F$29-BA28))*Time!BB20</f>
        <v/>
      </c>
      <c r="BC27" s="19">
        <f>MIN(BC23,MAX(0,Debt!$F$29-BB28))*Time!BC20</f>
        <v/>
      </c>
      <c r="BD27" s="19">
        <f>MIN(BD23,MAX(0,Debt!$F$29-BC28))*Time!BD20</f>
        <v/>
      </c>
      <c r="BE27" s="19">
        <f>MIN(BE23,MAX(0,Debt!$F$29-BD28))*Time!BE20</f>
        <v/>
      </c>
      <c r="BF27" s="19">
        <f>MIN(BF23,MAX(0,Debt!$F$29-BE28))*Time!BF20</f>
        <v/>
      </c>
      <c r="BG27" s="19">
        <f>MIN(BG23,MAX(0,Debt!$F$29-BF28))*Time!BG20</f>
        <v/>
      </c>
      <c r="BH27" s="19">
        <f>MIN(BH23,MAX(0,Debt!$F$29-BG28))*Time!BH20</f>
        <v/>
      </c>
      <c r="BI27" s="19">
        <f>MIN(BI23,MAX(0,Debt!$F$29-BH28))*Time!BI20</f>
        <v/>
      </c>
      <c r="BJ27" s="19">
        <f>MIN(BJ23,MAX(0,Debt!$F$29-BI28))*Time!BJ20</f>
        <v/>
      </c>
      <c r="BK27" s="19">
        <f>MIN(BK23,MAX(0,Debt!$F$29-BJ28))*Time!BK20</f>
        <v/>
      </c>
      <c r="BL27" s="19">
        <f>MIN(BL23,MAX(0,Debt!$F$29-BK28))*Time!BL20</f>
        <v/>
      </c>
      <c r="BM27" s="19">
        <f>MIN(BM23,MAX(0,Debt!$F$29-BL28))*Time!BM20</f>
        <v/>
      </c>
      <c r="BN27" s="19">
        <f>MIN(BN23,MAX(0,Debt!$F$29-BM28))*Time!BN20</f>
        <v/>
      </c>
      <c r="BO27" s="19">
        <f>MIN(BO23,MAX(0,Debt!$F$29-BN28))*Time!BO20</f>
        <v/>
      </c>
      <c r="BP27" s="19">
        <f>MIN(BP23,MAX(0,Debt!$F$29-BO28))*Time!BP20</f>
        <v/>
      </c>
      <c r="BQ27" s="19">
        <f>MIN(BQ23,MAX(0,Debt!$F$29-BP28))*Time!BQ20</f>
        <v/>
      </c>
      <c r="BR27" s="19">
        <f>MIN(BR23,MAX(0,Debt!$F$29-BQ28))*Time!BR20</f>
        <v/>
      </c>
      <c r="BS27" s="19">
        <f>MIN(BS23,MAX(0,Debt!$F$29-BR28))*Time!BS20</f>
        <v/>
      </c>
      <c r="BT27" s="19">
        <f>MIN(BT23,MAX(0,Debt!$F$29-BS28))*Time!BT20</f>
        <v/>
      </c>
      <c r="BU27" s="19">
        <f>MIN(BU23,MAX(0,Debt!$F$29-BT28))*Time!BU20</f>
        <v/>
      </c>
      <c r="BV27" s="19">
        <f>MIN(BV23,MAX(0,Debt!$F$29-BU28))*Time!BV20</f>
        <v/>
      </c>
      <c r="BW27" s="19">
        <f>MIN(BW23,MAX(0,Debt!$F$29-BV28))*Time!BW20</f>
        <v/>
      </c>
      <c r="BX27" s="19">
        <f>MIN(BX23,MAX(0,Debt!$F$29-BW28))*Time!BX20</f>
        <v/>
      </c>
      <c r="BY27" s="19">
        <f>MIN(BY23,MAX(0,Debt!$F$29-BX28))*Time!BY20</f>
        <v/>
      </c>
      <c r="BZ27" s="19">
        <f>MIN(BZ23,MAX(0,Debt!$F$29-BY28))*Time!BZ20</f>
        <v/>
      </c>
      <c r="CA27" s="19">
        <f>MIN(CA23,MAX(0,Debt!$F$29-BZ28))*Time!CA20</f>
        <v/>
      </c>
      <c r="CB27" s="19">
        <f>MIN(CB23,MAX(0,Debt!$F$29-CA28))*Time!CB20</f>
        <v/>
      </c>
      <c r="CC27" s="19">
        <f>MIN(CC23,MAX(0,Debt!$F$29-CB28))*Time!CC20</f>
        <v/>
      </c>
      <c r="CD27" s="19">
        <f>MIN(CD23,MAX(0,Debt!$F$29-CC28))*Time!CD20</f>
        <v/>
      </c>
      <c r="CE27" s="19">
        <f>MIN(CE23,MAX(0,Debt!$F$29-CD28))*Time!CE20</f>
        <v/>
      </c>
      <c r="CF27" s="19">
        <f>MIN(CF23,MAX(0,Debt!$F$29-CE28))*Time!CF20</f>
        <v/>
      </c>
      <c r="CG27" s="19">
        <f>MIN(CG23,MAX(0,Debt!$F$29-CF28))*Time!CG20</f>
        <v/>
      </c>
      <c r="CH27" s="19">
        <f>MIN(CH23,MAX(0,Debt!$F$29-CG28))*Time!CH20</f>
        <v/>
      </c>
      <c r="CI27" s="19">
        <f>MIN(CI23,MAX(0,Debt!$F$29-CH28))*Time!CI20</f>
        <v/>
      </c>
      <c r="CJ27" s="19">
        <f>MIN(CJ23,MAX(0,Debt!$F$29-CI28))*Time!CJ20</f>
        <v/>
      </c>
      <c r="CK27" s="19">
        <f>MIN(CK23,MAX(0,Debt!$F$29-CJ28))*Time!CK20</f>
        <v/>
      </c>
      <c r="CL27" s="19">
        <f>MIN(CL23,MAX(0,Debt!$F$29-CK28))*Time!CL20</f>
        <v/>
      </c>
      <c r="CM27" s="19">
        <f>MIN(CM23,MAX(0,Debt!$F$29-CL28))*Time!CM20</f>
        <v/>
      </c>
      <c r="CN27" s="19">
        <f>MIN(CN23,MAX(0,Debt!$F$29-CM28))*Time!CN20</f>
        <v/>
      </c>
      <c r="CO27" s="19">
        <f>MIN(CO23,MAX(0,Debt!$F$29-CN28))*Time!CO20</f>
        <v/>
      </c>
      <c r="CP27" s="19">
        <f>MIN(CP23,MAX(0,Debt!$F$29-CO28))*Time!CP20</f>
        <v/>
      </c>
      <c r="CQ27" s="19">
        <f>MIN(CQ23,MAX(0,Debt!$F$29-CP28))*Time!CQ20</f>
        <v/>
      </c>
      <c r="CR27" s="19">
        <f>MIN(CR23,MAX(0,Debt!$F$29-CQ28))*Time!CR20</f>
        <v/>
      </c>
      <c r="CS27" s="19">
        <f>MIN(CS23,MAX(0,Debt!$F$29-CR28))*Time!CS20</f>
        <v/>
      </c>
      <c r="CT27" s="19">
        <f>MIN(CT23,MAX(0,Debt!$F$29-CS28))*Time!CT20</f>
        <v/>
      </c>
      <c r="CU27" s="19">
        <f>MIN(CU23,MAX(0,Debt!$F$29-CT28))*Time!CU20</f>
        <v/>
      </c>
      <c r="CV27" s="19">
        <f>MIN(CV23,MAX(0,Debt!$F$29-CU28))*Time!CV20</f>
        <v/>
      </c>
      <c r="CW27" s="19">
        <f>MIN(CW23,MAX(0,Debt!$F$29-CV28))*Time!CW20</f>
        <v/>
      </c>
      <c r="CX27" s="19">
        <f>MIN(CX23,MAX(0,Debt!$F$29-CW28))*Time!CX20</f>
        <v/>
      </c>
      <c r="CY27" s="19">
        <f>MIN(CY23,MAX(0,Debt!$F$29-CX28))*Time!CY20</f>
        <v/>
      </c>
      <c r="CZ27" s="19">
        <f>MIN(CZ23,MAX(0,Debt!$F$29-CY28))*Time!CZ20</f>
        <v/>
      </c>
      <c r="DA27" s="19">
        <f>MIN(DA23,MAX(0,Debt!$F$29-CZ28))*Time!DA20</f>
        <v/>
      </c>
      <c r="DB27" s="19">
        <f>MIN(DB23,MAX(0,Debt!$F$29-DA28))*Time!DB20</f>
        <v/>
      </c>
    </row>
    <row r="28">
      <c r="D28" t="inlineStr">
        <is>
          <t>Cumulative equity</t>
        </is>
      </c>
      <c r="E28" t="inlineStr">
        <is>
          <t>ARD m</t>
        </is>
      </c>
      <c r="J28" s="19">
        <f>I28+J27</f>
        <v/>
      </c>
      <c r="K28" s="19">
        <f>J28+K27</f>
        <v/>
      </c>
      <c r="L28" s="19">
        <f>K28+L27</f>
        <v/>
      </c>
      <c r="M28" s="19">
        <f>L28+M27</f>
        <v/>
      </c>
      <c r="N28" s="19">
        <f>M28+N27</f>
        <v/>
      </c>
      <c r="O28" s="19">
        <f>N28+O27</f>
        <v/>
      </c>
      <c r="P28" s="19">
        <f>O28+P27</f>
        <v/>
      </c>
      <c r="Q28" s="19">
        <f>P28+Q27</f>
        <v/>
      </c>
      <c r="R28" s="19">
        <f>Q28+R27</f>
        <v/>
      </c>
      <c r="S28" s="19">
        <f>R28+S27</f>
        <v/>
      </c>
      <c r="T28" s="19">
        <f>S28+T27</f>
        <v/>
      </c>
      <c r="U28" s="19">
        <f>T28+U27</f>
        <v/>
      </c>
      <c r="V28" s="19">
        <f>U28+V27</f>
        <v/>
      </c>
      <c r="W28" s="19">
        <f>V28+W27</f>
        <v/>
      </c>
      <c r="X28" s="19">
        <f>W28+X27</f>
        <v/>
      </c>
      <c r="Y28" s="19">
        <f>X28+Y27</f>
        <v/>
      </c>
      <c r="Z28" s="19">
        <f>Y28+Z27</f>
        <v/>
      </c>
      <c r="AA28" s="19">
        <f>Z28+AA27</f>
        <v/>
      </c>
      <c r="AB28" s="19">
        <f>AA28+AB27</f>
        <v/>
      </c>
      <c r="AC28" s="19">
        <f>AB28+AC27</f>
        <v/>
      </c>
      <c r="AD28" s="19">
        <f>AC28+AD27</f>
        <v/>
      </c>
      <c r="AE28" s="19">
        <f>AD28+AE27</f>
        <v/>
      </c>
      <c r="AF28" s="19">
        <f>AE28+AF27</f>
        <v/>
      </c>
      <c r="AG28" s="19">
        <f>AF28+AG27</f>
        <v/>
      </c>
      <c r="AH28" s="19">
        <f>AG28+AH27</f>
        <v/>
      </c>
      <c r="AI28" s="19">
        <f>AH28+AI27</f>
        <v/>
      </c>
      <c r="AJ28" s="19">
        <f>AI28+AJ27</f>
        <v/>
      </c>
      <c r="AK28" s="19">
        <f>AJ28+AK27</f>
        <v/>
      </c>
      <c r="AL28" s="19">
        <f>AK28+AL27</f>
        <v/>
      </c>
      <c r="AM28" s="19">
        <f>AL28+AM27</f>
        <v/>
      </c>
      <c r="AN28" s="19">
        <f>AM28+AN27</f>
        <v/>
      </c>
      <c r="AO28" s="19">
        <f>AN28+AO27</f>
        <v/>
      </c>
      <c r="AP28" s="19">
        <f>AO28+AP27</f>
        <v/>
      </c>
      <c r="AQ28" s="19">
        <f>AP28+AQ27</f>
        <v/>
      </c>
      <c r="AR28" s="19">
        <f>AQ28+AR27</f>
        <v/>
      </c>
      <c r="AS28" s="19">
        <f>AR28+AS27</f>
        <v/>
      </c>
      <c r="AT28" s="19">
        <f>AS28+AT27</f>
        <v/>
      </c>
      <c r="AU28" s="19">
        <f>AT28+AU27</f>
        <v/>
      </c>
      <c r="AV28" s="19">
        <f>AU28+AV27</f>
        <v/>
      </c>
      <c r="AW28" s="19">
        <f>AV28+AW27</f>
        <v/>
      </c>
      <c r="AX28" s="19">
        <f>AW28+AX27</f>
        <v/>
      </c>
      <c r="AY28" s="19">
        <f>AX28+AY27</f>
        <v/>
      </c>
      <c r="AZ28" s="19">
        <f>AY28+AZ27</f>
        <v/>
      </c>
      <c r="BA28" s="19">
        <f>AZ28+BA27</f>
        <v/>
      </c>
      <c r="BB28" s="19">
        <f>BA28+BB27</f>
        <v/>
      </c>
      <c r="BC28" s="19">
        <f>BB28+BC27</f>
        <v/>
      </c>
      <c r="BD28" s="19">
        <f>BC28+BD27</f>
        <v/>
      </c>
      <c r="BE28" s="19">
        <f>BD28+BE27</f>
        <v/>
      </c>
      <c r="BF28" s="19">
        <f>BE28+BF27</f>
        <v/>
      </c>
      <c r="BG28" s="19">
        <f>BF28+BG27</f>
        <v/>
      </c>
      <c r="BH28" s="19">
        <f>BG28+BH27</f>
        <v/>
      </c>
      <c r="BI28" s="19">
        <f>BH28+BI27</f>
        <v/>
      </c>
      <c r="BJ28" s="19">
        <f>BI28+BJ27</f>
        <v/>
      </c>
      <c r="BK28" s="19">
        <f>BJ28+BK27</f>
        <v/>
      </c>
      <c r="BL28" s="19">
        <f>BK28+BL27</f>
        <v/>
      </c>
      <c r="BM28" s="19">
        <f>BL28+BM27</f>
        <v/>
      </c>
      <c r="BN28" s="19">
        <f>BM28+BN27</f>
        <v/>
      </c>
      <c r="BO28" s="19">
        <f>BN28+BO27</f>
        <v/>
      </c>
      <c r="BP28" s="19">
        <f>BO28+BP27</f>
        <v/>
      </c>
      <c r="BQ28" s="19">
        <f>BP28+BQ27</f>
        <v/>
      </c>
      <c r="BR28" s="19">
        <f>BQ28+BR27</f>
        <v/>
      </c>
      <c r="BS28" s="19">
        <f>BR28+BS27</f>
        <v/>
      </c>
      <c r="BT28" s="19">
        <f>BS28+BT27</f>
        <v/>
      </c>
      <c r="BU28" s="19">
        <f>BT28+BU27</f>
        <v/>
      </c>
      <c r="BV28" s="19">
        <f>BU28+BV27</f>
        <v/>
      </c>
      <c r="BW28" s="19">
        <f>BV28+BW27</f>
        <v/>
      </c>
      <c r="BX28" s="19">
        <f>BW28+BX27</f>
        <v/>
      </c>
      <c r="BY28" s="19">
        <f>BX28+BY27</f>
        <v/>
      </c>
      <c r="BZ28" s="19">
        <f>BY28+BZ27</f>
        <v/>
      </c>
      <c r="CA28" s="19">
        <f>BZ28+CA27</f>
        <v/>
      </c>
      <c r="CB28" s="19">
        <f>CA28+CB27</f>
        <v/>
      </c>
      <c r="CC28" s="19">
        <f>CB28+CC27</f>
        <v/>
      </c>
      <c r="CD28" s="19">
        <f>CC28+CD27</f>
        <v/>
      </c>
      <c r="CE28" s="19">
        <f>CD28+CE27</f>
        <v/>
      </c>
      <c r="CF28" s="19">
        <f>CE28+CF27</f>
        <v/>
      </c>
      <c r="CG28" s="19">
        <f>CF28+CG27</f>
        <v/>
      </c>
      <c r="CH28" s="19">
        <f>CG28+CH27</f>
        <v/>
      </c>
      <c r="CI28" s="19">
        <f>CH28+CI27</f>
        <v/>
      </c>
      <c r="CJ28" s="19">
        <f>CI28+CJ27</f>
        <v/>
      </c>
      <c r="CK28" s="19">
        <f>CJ28+CK27</f>
        <v/>
      </c>
      <c r="CL28" s="19">
        <f>CK28+CL27</f>
        <v/>
      </c>
      <c r="CM28" s="19">
        <f>CL28+CM27</f>
        <v/>
      </c>
      <c r="CN28" s="19">
        <f>CM28+CN27</f>
        <v/>
      </c>
      <c r="CO28" s="19">
        <f>CN28+CO27</f>
        <v/>
      </c>
      <c r="CP28" s="19">
        <f>CO28+CP27</f>
        <v/>
      </c>
      <c r="CQ28" s="19">
        <f>CP28+CQ27</f>
        <v/>
      </c>
      <c r="CR28" s="19">
        <f>CQ28+CR27</f>
        <v/>
      </c>
      <c r="CS28" s="19">
        <f>CR28+CS27</f>
        <v/>
      </c>
      <c r="CT28" s="19">
        <f>CS28+CT27</f>
        <v/>
      </c>
      <c r="CU28" s="19">
        <f>CT28+CU27</f>
        <v/>
      </c>
      <c r="CV28" s="19">
        <f>CU28+CV27</f>
        <v/>
      </c>
      <c r="CW28" s="19">
        <f>CV28+CW27</f>
        <v/>
      </c>
      <c r="CX28" s="19">
        <f>CW28+CX27</f>
        <v/>
      </c>
      <c r="CY28" s="19">
        <f>CX28+CY27</f>
        <v/>
      </c>
      <c r="CZ28" s="19">
        <f>CY28+CZ27</f>
        <v/>
      </c>
      <c r="DA28" s="19">
        <f>CZ28+DA27</f>
        <v/>
      </c>
      <c r="DB28" s="19">
        <f>DA28+DB27</f>
        <v/>
      </c>
    </row>
    <row r="29">
      <c r="D29" t="inlineStr">
        <is>
          <t>Funding need after equity</t>
        </is>
      </c>
      <c r="E29" t="inlineStr">
        <is>
          <t>ARD m</t>
        </is>
      </c>
      <c r="G29" s="19">
        <f>SUM(J29:DB29)</f>
        <v/>
      </c>
      <c r="J29" s="19">
        <f>J23-J27</f>
        <v/>
      </c>
      <c r="K29" s="19">
        <f>K23-K27</f>
        <v/>
      </c>
      <c r="L29" s="19">
        <f>L23-L27</f>
        <v/>
      </c>
      <c r="M29" s="19">
        <f>M23-M27</f>
        <v/>
      </c>
      <c r="N29" s="19">
        <f>N23-N27</f>
        <v/>
      </c>
      <c r="O29" s="19">
        <f>O23-O27</f>
        <v/>
      </c>
      <c r="P29" s="19">
        <f>P23-P27</f>
        <v/>
      </c>
      <c r="Q29" s="19">
        <f>Q23-Q27</f>
        <v/>
      </c>
      <c r="R29" s="19">
        <f>R23-R27</f>
        <v/>
      </c>
      <c r="S29" s="19">
        <f>S23-S27</f>
        <v/>
      </c>
      <c r="T29" s="19">
        <f>T23-T27</f>
        <v/>
      </c>
      <c r="U29" s="19">
        <f>U23-U27</f>
        <v/>
      </c>
      <c r="V29" s="19">
        <f>V23-V27</f>
        <v/>
      </c>
      <c r="W29" s="19">
        <f>W23-W27</f>
        <v/>
      </c>
      <c r="X29" s="19">
        <f>X23-X27</f>
        <v/>
      </c>
      <c r="Y29" s="19">
        <f>Y23-Y27</f>
        <v/>
      </c>
      <c r="Z29" s="19">
        <f>Z23-Z27</f>
        <v/>
      </c>
      <c r="AA29" s="19">
        <f>AA23-AA27</f>
        <v/>
      </c>
      <c r="AB29" s="19">
        <f>AB23-AB27</f>
        <v/>
      </c>
      <c r="AC29" s="19">
        <f>AC23-AC27</f>
        <v/>
      </c>
      <c r="AD29" s="19">
        <f>AD23-AD27</f>
        <v/>
      </c>
      <c r="AE29" s="19">
        <f>AE23-AE27</f>
        <v/>
      </c>
      <c r="AF29" s="19">
        <f>AF23-AF27</f>
        <v/>
      </c>
      <c r="AG29" s="19">
        <f>AG23-AG27</f>
        <v/>
      </c>
      <c r="AH29" s="19">
        <f>AH23-AH27</f>
        <v/>
      </c>
      <c r="AI29" s="19">
        <f>AI23-AI27</f>
        <v/>
      </c>
      <c r="AJ29" s="19">
        <f>AJ23-AJ27</f>
        <v/>
      </c>
      <c r="AK29" s="19">
        <f>AK23-AK27</f>
        <v/>
      </c>
      <c r="AL29" s="19">
        <f>AL23-AL27</f>
        <v/>
      </c>
      <c r="AM29" s="19">
        <f>AM23-AM27</f>
        <v/>
      </c>
      <c r="AN29" s="19">
        <f>AN23-AN27</f>
        <v/>
      </c>
      <c r="AO29" s="19">
        <f>AO23-AO27</f>
        <v/>
      </c>
      <c r="AP29" s="19">
        <f>AP23-AP27</f>
        <v/>
      </c>
      <c r="AQ29" s="19">
        <f>AQ23-AQ27</f>
        <v/>
      </c>
      <c r="AR29" s="19">
        <f>AR23-AR27</f>
        <v/>
      </c>
      <c r="AS29" s="19">
        <f>AS23-AS27</f>
        <v/>
      </c>
      <c r="AT29" s="19">
        <f>AT23-AT27</f>
        <v/>
      </c>
      <c r="AU29" s="19">
        <f>AU23-AU27</f>
        <v/>
      </c>
      <c r="AV29" s="19">
        <f>AV23-AV27</f>
        <v/>
      </c>
      <c r="AW29" s="19">
        <f>AW23-AW27</f>
        <v/>
      </c>
      <c r="AX29" s="19">
        <f>AX23-AX27</f>
        <v/>
      </c>
      <c r="AY29" s="19">
        <f>AY23-AY27</f>
        <v/>
      </c>
      <c r="AZ29" s="19">
        <f>AZ23-AZ27</f>
        <v/>
      </c>
      <c r="BA29" s="19">
        <f>BA23-BA27</f>
        <v/>
      </c>
      <c r="BB29" s="19">
        <f>BB23-BB27</f>
        <v/>
      </c>
      <c r="BC29" s="19">
        <f>BC23-BC27</f>
        <v/>
      </c>
      <c r="BD29" s="19">
        <f>BD23-BD27</f>
        <v/>
      </c>
      <c r="BE29" s="19">
        <f>BE23-BE27</f>
        <v/>
      </c>
      <c r="BF29" s="19">
        <f>BF23-BF27</f>
        <v/>
      </c>
      <c r="BG29" s="19">
        <f>BG23-BG27</f>
        <v/>
      </c>
      <c r="BH29" s="19">
        <f>BH23-BH27</f>
        <v/>
      </c>
      <c r="BI29" s="19">
        <f>BI23-BI27</f>
        <v/>
      </c>
      <c r="BJ29" s="19">
        <f>BJ23-BJ27</f>
        <v/>
      </c>
      <c r="BK29" s="19">
        <f>BK23-BK27</f>
        <v/>
      </c>
      <c r="BL29" s="19">
        <f>BL23-BL27</f>
        <v/>
      </c>
      <c r="BM29" s="19">
        <f>BM23-BM27</f>
        <v/>
      </c>
      <c r="BN29" s="19">
        <f>BN23-BN27</f>
        <v/>
      </c>
      <c r="BO29" s="19">
        <f>BO23-BO27</f>
        <v/>
      </c>
      <c r="BP29" s="19">
        <f>BP23-BP27</f>
        <v/>
      </c>
      <c r="BQ29" s="19">
        <f>BQ23-BQ27</f>
        <v/>
      </c>
      <c r="BR29" s="19">
        <f>BR23-BR27</f>
        <v/>
      </c>
      <c r="BS29" s="19">
        <f>BS23-BS27</f>
        <v/>
      </c>
      <c r="BT29" s="19">
        <f>BT23-BT27</f>
        <v/>
      </c>
      <c r="BU29" s="19">
        <f>BU23-BU27</f>
        <v/>
      </c>
      <c r="BV29" s="19">
        <f>BV23-BV27</f>
        <v/>
      </c>
      <c r="BW29" s="19">
        <f>BW23-BW27</f>
        <v/>
      </c>
      <c r="BX29" s="19">
        <f>BX23-BX27</f>
        <v/>
      </c>
      <c r="BY29" s="19">
        <f>BY23-BY27</f>
        <v/>
      </c>
      <c r="BZ29" s="19">
        <f>BZ23-BZ27</f>
        <v/>
      </c>
      <c r="CA29" s="19">
        <f>CA23-CA27</f>
        <v/>
      </c>
      <c r="CB29" s="19">
        <f>CB23-CB27</f>
        <v/>
      </c>
      <c r="CC29" s="19">
        <f>CC23-CC27</f>
        <v/>
      </c>
      <c r="CD29" s="19">
        <f>CD23-CD27</f>
        <v/>
      </c>
      <c r="CE29" s="19">
        <f>CE23-CE27</f>
        <v/>
      </c>
      <c r="CF29" s="19">
        <f>CF23-CF27</f>
        <v/>
      </c>
      <c r="CG29" s="19">
        <f>CG23-CG27</f>
        <v/>
      </c>
      <c r="CH29" s="19">
        <f>CH23-CH27</f>
        <v/>
      </c>
      <c r="CI29" s="19">
        <f>CI23-CI27</f>
        <v/>
      </c>
      <c r="CJ29" s="19">
        <f>CJ23-CJ27</f>
        <v/>
      </c>
      <c r="CK29" s="19">
        <f>CK23-CK27</f>
        <v/>
      </c>
      <c r="CL29" s="19">
        <f>CL23-CL27</f>
        <v/>
      </c>
      <c r="CM29" s="19">
        <f>CM23-CM27</f>
        <v/>
      </c>
      <c r="CN29" s="19">
        <f>CN23-CN27</f>
        <v/>
      </c>
      <c r="CO29" s="19">
        <f>CO23-CO27</f>
        <v/>
      </c>
      <c r="CP29" s="19">
        <f>CP23-CP27</f>
        <v/>
      </c>
      <c r="CQ29" s="19">
        <f>CQ23-CQ27</f>
        <v/>
      </c>
      <c r="CR29" s="19">
        <f>CR23-CR27</f>
        <v/>
      </c>
      <c r="CS29" s="19">
        <f>CS23-CS27</f>
        <v/>
      </c>
      <c r="CT29" s="19">
        <f>CT23-CT27</f>
        <v/>
      </c>
      <c r="CU29" s="19">
        <f>CU23-CU27</f>
        <v/>
      </c>
      <c r="CV29" s="19">
        <f>CV23-CV27</f>
        <v/>
      </c>
      <c r="CW29" s="19">
        <f>CW23-CW27</f>
        <v/>
      </c>
      <c r="CX29" s="19">
        <f>CX23-CX27</f>
        <v/>
      </c>
      <c r="CY29" s="19">
        <f>CY23-CY27</f>
        <v/>
      </c>
      <c r="CZ29" s="19">
        <f>CZ23-CZ27</f>
        <v/>
      </c>
      <c r="DA29" s="19">
        <f>DA23-DA27</f>
        <v/>
      </c>
      <c r="DB29" s="19">
        <f>DB23-DB27</f>
        <v/>
      </c>
    </row>
    <row r="30">
      <c r="D30" t="inlineStr">
        <is>
          <t>Need in the bridge draw quarters</t>
        </is>
      </c>
      <c r="E30" t="inlineStr">
        <is>
          <t>ARD m</t>
        </is>
      </c>
      <c r="F30" s="19">
        <f>SUMPRODUCT($J$29:$DB$29,Time!$J$22:$DB$22)</f>
        <v/>
      </c>
    </row>
    <row r="31">
      <c r="D31" t="inlineStr">
        <is>
          <t>Bridge drawn</t>
        </is>
      </c>
      <c r="E31" t="inlineStr">
        <is>
          <t>ARD m</t>
        </is>
      </c>
      <c r="G31" s="19">
        <f>SUM(J31:DB31)</f>
        <v/>
      </c>
      <c r="J31" s="19">
        <f>IF(AND(Time!J22=1,$F$30&lt;&gt;0),Inputs!$F$228*J29/$F$30,0)</f>
        <v/>
      </c>
      <c r="K31" s="19">
        <f>IF(AND(Time!K22=1,$F$30&lt;&gt;0),Inputs!$F$228*K29/$F$30,0)</f>
        <v/>
      </c>
      <c r="L31" s="19">
        <f>IF(AND(Time!L22=1,$F$30&lt;&gt;0),Inputs!$F$228*L29/$F$30,0)</f>
        <v/>
      </c>
      <c r="M31" s="19">
        <f>IF(AND(Time!M22=1,$F$30&lt;&gt;0),Inputs!$F$228*M29/$F$30,0)</f>
        <v/>
      </c>
      <c r="N31" s="19">
        <f>IF(AND(Time!N22=1,$F$30&lt;&gt;0),Inputs!$F$228*N29/$F$30,0)</f>
        <v/>
      </c>
      <c r="O31" s="19">
        <f>IF(AND(Time!O22=1,$F$30&lt;&gt;0),Inputs!$F$228*O29/$F$30,0)</f>
        <v/>
      </c>
      <c r="P31" s="19">
        <f>IF(AND(Time!P22=1,$F$30&lt;&gt;0),Inputs!$F$228*P29/$F$30,0)</f>
        <v/>
      </c>
      <c r="Q31" s="19">
        <f>IF(AND(Time!Q22=1,$F$30&lt;&gt;0),Inputs!$F$228*Q29/$F$30,0)</f>
        <v/>
      </c>
      <c r="R31" s="19">
        <f>IF(AND(Time!R22=1,$F$30&lt;&gt;0),Inputs!$F$228*R29/$F$30,0)</f>
        <v/>
      </c>
      <c r="S31" s="19">
        <f>IF(AND(Time!S22=1,$F$30&lt;&gt;0),Inputs!$F$228*S29/$F$30,0)</f>
        <v/>
      </c>
      <c r="T31" s="19">
        <f>IF(AND(Time!T22=1,$F$30&lt;&gt;0),Inputs!$F$228*T29/$F$30,0)</f>
        <v/>
      </c>
      <c r="U31" s="19">
        <f>IF(AND(Time!U22=1,$F$30&lt;&gt;0),Inputs!$F$228*U29/$F$30,0)</f>
        <v/>
      </c>
      <c r="V31" s="19">
        <f>IF(AND(Time!V22=1,$F$30&lt;&gt;0),Inputs!$F$228*V29/$F$30,0)</f>
        <v/>
      </c>
      <c r="W31" s="19">
        <f>IF(AND(Time!W22=1,$F$30&lt;&gt;0),Inputs!$F$228*W29/$F$30,0)</f>
        <v/>
      </c>
      <c r="X31" s="19">
        <f>IF(AND(Time!X22=1,$F$30&lt;&gt;0),Inputs!$F$228*X29/$F$30,0)</f>
        <v/>
      </c>
      <c r="Y31" s="19">
        <f>IF(AND(Time!Y22=1,$F$30&lt;&gt;0),Inputs!$F$228*Y29/$F$30,0)</f>
        <v/>
      </c>
      <c r="Z31" s="19">
        <f>IF(AND(Time!Z22=1,$F$30&lt;&gt;0),Inputs!$F$228*Z29/$F$30,0)</f>
        <v/>
      </c>
      <c r="AA31" s="19">
        <f>IF(AND(Time!AA22=1,$F$30&lt;&gt;0),Inputs!$F$228*AA29/$F$30,0)</f>
        <v/>
      </c>
      <c r="AB31" s="19">
        <f>IF(AND(Time!AB22=1,$F$30&lt;&gt;0),Inputs!$F$228*AB29/$F$30,0)</f>
        <v/>
      </c>
      <c r="AC31" s="19">
        <f>IF(AND(Time!AC22=1,$F$30&lt;&gt;0),Inputs!$F$228*AC29/$F$30,0)</f>
        <v/>
      </c>
      <c r="AD31" s="19">
        <f>IF(AND(Time!AD22=1,$F$30&lt;&gt;0),Inputs!$F$228*AD29/$F$30,0)</f>
        <v/>
      </c>
      <c r="AE31" s="19">
        <f>IF(AND(Time!AE22=1,$F$30&lt;&gt;0),Inputs!$F$228*AE29/$F$30,0)</f>
        <v/>
      </c>
      <c r="AF31" s="19">
        <f>IF(AND(Time!AF22=1,$F$30&lt;&gt;0),Inputs!$F$228*AF29/$F$30,0)</f>
        <v/>
      </c>
      <c r="AG31" s="19">
        <f>IF(AND(Time!AG22=1,$F$30&lt;&gt;0),Inputs!$F$228*AG29/$F$30,0)</f>
        <v/>
      </c>
      <c r="AH31" s="19">
        <f>IF(AND(Time!AH22=1,$F$30&lt;&gt;0),Inputs!$F$228*AH29/$F$30,0)</f>
        <v/>
      </c>
      <c r="AI31" s="19">
        <f>IF(AND(Time!AI22=1,$F$30&lt;&gt;0),Inputs!$F$228*AI29/$F$30,0)</f>
        <v/>
      </c>
      <c r="AJ31" s="19">
        <f>IF(AND(Time!AJ22=1,$F$30&lt;&gt;0),Inputs!$F$228*AJ29/$F$30,0)</f>
        <v/>
      </c>
      <c r="AK31" s="19">
        <f>IF(AND(Time!AK22=1,$F$30&lt;&gt;0),Inputs!$F$228*AK29/$F$30,0)</f>
        <v/>
      </c>
      <c r="AL31" s="19">
        <f>IF(AND(Time!AL22=1,$F$30&lt;&gt;0),Inputs!$F$228*AL29/$F$30,0)</f>
        <v/>
      </c>
      <c r="AM31" s="19">
        <f>IF(AND(Time!AM22=1,$F$30&lt;&gt;0),Inputs!$F$228*AM29/$F$30,0)</f>
        <v/>
      </c>
      <c r="AN31" s="19">
        <f>IF(AND(Time!AN22=1,$F$30&lt;&gt;0),Inputs!$F$228*AN29/$F$30,0)</f>
        <v/>
      </c>
      <c r="AO31" s="19">
        <f>IF(AND(Time!AO22=1,$F$30&lt;&gt;0),Inputs!$F$228*AO29/$F$30,0)</f>
        <v/>
      </c>
      <c r="AP31" s="19">
        <f>IF(AND(Time!AP22=1,$F$30&lt;&gt;0),Inputs!$F$228*AP29/$F$30,0)</f>
        <v/>
      </c>
      <c r="AQ31" s="19">
        <f>IF(AND(Time!AQ22=1,$F$30&lt;&gt;0),Inputs!$F$228*AQ29/$F$30,0)</f>
        <v/>
      </c>
      <c r="AR31" s="19">
        <f>IF(AND(Time!AR22=1,$F$30&lt;&gt;0),Inputs!$F$228*AR29/$F$30,0)</f>
        <v/>
      </c>
      <c r="AS31" s="19">
        <f>IF(AND(Time!AS22=1,$F$30&lt;&gt;0),Inputs!$F$228*AS29/$F$30,0)</f>
        <v/>
      </c>
      <c r="AT31" s="19">
        <f>IF(AND(Time!AT22=1,$F$30&lt;&gt;0),Inputs!$F$228*AT29/$F$30,0)</f>
        <v/>
      </c>
      <c r="AU31" s="19">
        <f>IF(AND(Time!AU22=1,$F$30&lt;&gt;0),Inputs!$F$228*AU29/$F$30,0)</f>
        <v/>
      </c>
      <c r="AV31" s="19">
        <f>IF(AND(Time!AV22=1,$F$30&lt;&gt;0),Inputs!$F$228*AV29/$F$30,0)</f>
        <v/>
      </c>
      <c r="AW31" s="19">
        <f>IF(AND(Time!AW22=1,$F$30&lt;&gt;0),Inputs!$F$228*AW29/$F$30,0)</f>
        <v/>
      </c>
      <c r="AX31" s="19">
        <f>IF(AND(Time!AX22=1,$F$30&lt;&gt;0),Inputs!$F$228*AX29/$F$30,0)</f>
        <v/>
      </c>
      <c r="AY31" s="19">
        <f>IF(AND(Time!AY22=1,$F$30&lt;&gt;0),Inputs!$F$228*AY29/$F$30,0)</f>
        <v/>
      </c>
      <c r="AZ31" s="19">
        <f>IF(AND(Time!AZ22=1,$F$30&lt;&gt;0),Inputs!$F$228*AZ29/$F$30,0)</f>
        <v/>
      </c>
      <c r="BA31" s="19">
        <f>IF(AND(Time!BA22=1,$F$30&lt;&gt;0),Inputs!$F$228*BA29/$F$30,0)</f>
        <v/>
      </c>
      <c r="BB31" s="19">
        <f>IF(AND(Time!BB22=1,$F$30&lt;&gt;0),Inputs!$F$228*BB29/$F$30,0)</f>
        <v/>
      </c>
      <c r="BC31" s="19">
        <f>IF(AND(Time!BC22=1,$F$30&lt;&gt;0),Inputs!$F$228*BC29/$F$30,0)</f>
        <v/>
      </c>
      <c r="BD31" s="19">
        <f>IF(AND(Time!BD22=1,$F$30&lt;&gt;0),Inputs!$F$228*BD29/$F$30,0)</f>
        <v/>
      </c>
      <c r="BE31" s="19">
        <f>IF(AND(Time!BE22=1,$F$30&lt;&gt;0),Inputs!$F$228*BE29/$F$30,0)</f>
        <v/>
      </c>
      <c r="BF31" s="19">
        <f>IF(AND(Time!BF22=1,$F$30&lt;&gt;0),Inputs!$F$228*BF29/$F$30,0)</f>
        <v/>
      </c>
      <c r="BG31" s="19">
        <f>IF(AND(Time!BG22=1,$F$30&lt;&gt;0),Inputs!$F$228*BG29/$F$30,0)</f>
        <v/>
      </c>
      <c r="BH31" s="19">
        <f>IF(AND(Time!BH22=1,$F$30&lt;&gt;0),Inputs!$F$228*BH29/$F$30,0)</f>
        <v/>
      </c>
      <c r="BI31" s="19">
        <f>IF(AND(Time!BI22=1,$F$30&lt;&gt;0),Inputs!$F$228*BI29/$F$30,0)</f>
        <v/>
      </c>
      <c r="BJ31" s="19">
        <f>IF(AND(Time!BJ22=1,$F$30&lt;&gt;0),Inputs!$F$228*BJ29/$F$30,0)</f>
        <v/>
      </c>
      <c r="BK31" s="19">
        <f>IF(AND(Time!BK22=1,$F$30&lt;&gt;0),Inputs!$F$228*BK29/$F$30,0)</f>
        <v/>
      </c>
      <c r="BL31" s="19">
        <f>IF(AND(Time!BL22=1,$F$30&lt;&gt;0),Inputs!$F$228*BL29/$F$30,0)</f>
        <v/>
      </c>
      <c r="BM31" s="19">
        <f>IF(AND(Time!BM22=1,$F$30&lt;&gt;0),Inputs!$F$228*BM29/$F$30,0)</f>
        <v/>
      </c>
      <c r="BN31" s="19">
        <f>IF(AND(Time!BN22=1,$F$30&lt;&gt;0),Inputs!$F$228*BN29/$F$30,0)</f>
        <v/>
      </c>
      <c r="BO31" s="19">
        <f>IF(AND(Time!BO22=1,$F$30&lt;&gt;0),Inputs!$F$228*BO29/$F$30,0)</f>
        <v/>
      </c>
      <c r="BP31" s="19">
        <f>IF(AND(Time!BP22=1,$F$30&lt;&gt;0),Inputs!$F$228*BP29/$F$30,0)</f>
        <v/>
      </c>
      <c r="BQ31" s="19">
        <f>IF(AND(Time!BQ22=1,$F$30&lt;&gt;0),Inputs!$F$228*BQ29/$F$30,0)</f>
        <v/>
      </c>
      <c r="BR31" s="19">
        <f>IF(AND(Time!BR22=1,$F$30&lt;&gt;0),Inputs!$F$228*BR29/$F$30,0)</f>
        <v/>
      </c>
      <c r="BS31" s="19">
        <f>IF(AND(Time!BS22=1,$F$30&lt;&gt;0),Inputs!$F$228*BS29/$F$30,0)</f>
        <v/>
      </c>
      <c r="BT31" s="19">
        <f>IF(AND(Time!BT22=1,$F$30&lt;&gt;0),Inputs!$F$228*BT29/$F$30,0)</f>
        <v/>
      </c>
      <c r="BU31" s="19">
        <f>IF(AND(Time!BU22=1,$F$30&lt;&gt;0),Inputs!$F$228*BU29/$F$30,0)</f>
        <v/>
      </c>
      <c r="BV31" s="19">
        <f>IF(AND(Time!BV22=1,$F$30&lt;&gt;0),Inputs!$F$228*BV29/$F$30,0)</f>
        <v/>
      </c>
      <c r="BW31" s="19">
        <f>IF(AND(Time!BW22=1,$F$30&lt;&gt;0),Inputs!$F$228*BW29/$F$30,0)</f>
        <v/>
      </c>
      <c r="BX31" s="19">
        <f>IF(AND(Time!BX22=1,$F$30&lt;&gt;0),Inputs!$F$228*BX29/$F$30,0)</f>
        <v/>
      </c>
      <c r="BY31" s="19">
        <f>IF(AND(Time!BY22=1,$F$30&lt;&gt;0),Inputs!$F$228*BY29/$F$30,0)</f>
        <v/>
      </c>
      <c r="BZ31" s="19">
        <f>IF(AND(Time!BZ22=1,$F$30&lt;&gt;0),Inputs!$F$228*BZ29/$F$30,0)</f>
        <v/>
      </c>
      <c r="CA31" s="19">
        <f>IF(AND(Time!CA22=1,$F$30&lt;&gt;0),Inputs!$F$228*CA29/$F$30,0)</f>
        <v/>
      </c>
      <c r="CB31" s="19">
        <f>IF(AND(Time!CB22=1,$F$30&lt;&gt;0),Inputs!$F$228*CB29/$F$30,0)</f>
        <v/>
      </c>
      <c r="CC31" s="19">
        <f>IF(AND(Time!CC22=1,$F$30&lt;&gt;0),Inputs!$F$228*CC29/$F$30,0)</f>
        <v/>
      </c>
      <c r="CD31" s="19">
        <f>IF(AND(Time!CD22=1,$F$30&lt;&gt;0),Inputs!$F$228*CD29/$F$30,0)</f>
        <v/>
      </c>
      <c r="CE31" s="19">
        <f>IF(AND(Time!CE22=1,$F$30&lt;&gt;0),Inputs!$F$228*CE29/$F$30,0)</f>
        <v/>
      </c>
      <c r="CF31" s="19">
        <f>IF(AND(Time!CF22=1,$F$30&lt;&gt;0),Inputs!$F$228*CF29/$F$30,0)</f>
        <v/>
      </c>
      <c r="CG31" s="19">
        <f>IF(AND(Time!CG22=1,$F$30&lt;&gt;0),Inputs!$F$228*CG29/$F$30,0)</f>
        <v/>
      </c>
      <c r="CH31" s="19">
        <f>IF(AND(Time!CH22=1,$F$30&lt;&gt;0),Inputs!$F$228*CH29/$F$30,0)</f>
        <v/>
      </c>
      <c r="CI31" s="19">
        <f>IF(AND(Time!CI22=1,$F$30&lt;&gt;0),Inputs!$F$228*CI29/$F$30,0)</f>
        <v/>
      </c>
      <c r="CJ31" s="19">
        <f>IF(AND(Time!CJ22=1,$F$30&lt;&gt;0),Inputs!$F$228*CJ29/$F$30,0)</f>
        <v/>
      </c>
      <c r="CK31" s="19">
        <f>IF(AND(Time!CK22=1,$F$30&lt;&gt;0),Inputs!$F$228*CK29/$F$30,0)</f>
        <v/>
      </c>
      <c r="CL31" s="19">
        <f>IF(AND(Time!CL22=1,$F$30&lt;&gt;0),Inputs!$F$228*CL29/$F$30,0)</f>
        <v/>
      </c>
      <c r="CM31" s="19">
        <f>IF(AND(Time!CM22=1,$F$30&lt;&gt;0),Inputs!$F$228*CM29/$F$30,0)</f>
        <v/>
      </c>
      <c r="CN31" s="19">
        <f>IF(AND(Time!CN22=1,$F$30&lt;&gt;0),Inputs!$F$228*CN29/$F$30,0)</f>
        <v/>
      </c>
      <c r="CO31" s="19">
        <f>IF(AND(Time!CO22=1,$F$30&lt;&gt;0),Inputs!$F$228*CO29/$F$30,0)</f>
        <v/>
      </c>
      <c r="CP31" s="19">
        <f>IF(AND(Time!CP22=1,$F$30&lt;&gt;0),Inputs!$F$228*CP29/$F$30,0)</f>
        <v/>
      </c>
      <c r="CQ31" s="19">
        <f>IF(AND(Time!CQ22=1,$F$30&lt;&gt;0),Inputs!$F$228*CQ29/$F$30,0)</f>
        <v/>
      </c>
      <c r="CR31" s="19">
        <f>IF(AND(Time!CR22=1,$F$30&lt;&gt;0),Inputs!$F$228*CR29/$F$30,0)</f>
        <v/>
      </c>
      <c r="CS31" s="19">
        <f>IF(AND(Time!CS22=1,$F$30&lt;&gt;0),Inputs!$F$228*CS29/$F$30,0)</f>
        <v/>
      </c>
      <c r="CT31" s="19">
        <f>IF(AND(Time!CT22=1,$F$30&lt;&gt;0),Inputs!$F$228*CT29/$F$30,0)</f>
        <v/>
      </c>
      <c r="CU31" s="19">
        <f>IF(AND(Time!CU22=1,$F$30&lt;&gt;0),Inputs!$F$228*CU29/$F$30,0)</f>
        <v/>
      </c>
      <c r="CV31" s="19">
        <f>IF(AND(Time!CV22=1,$F$30&lt;&gt;0),Inputs!$F$228*CV29/$F$30,0)</f>
        <v/>
      </c>
      <c r="CW31" s="19">
        <f>IF(AND(Time!CW22=1,$F$30&lt;&gt;0),Inputs!$F$228*CW29/$F$30,0)</f>
        <v/>
      </c>
      <c r="CX31" s="19">
        <f>IF(AND(Time!CX22=1,$F$30&lt;&gt;0),Inputs!$F$228*CX29/$F$30,0)</f>
        <v/>
      </c>
      <c r="CY31" s="19">
        <f>IF(AND(Time!CY22=1,$F$30&lt;&gt;0),Inputs!$F$228*CY29/$F$30,0)</f>
        <v/>
      </c>
      <c r="CZ31" s="19">
        <f>IF(AND(Time!CZ22=1,$F$30&lt;&gt;0),Inputs!$F$228*CZ29/$F$30,0)</f>
        <v/>
      </c>
      <c r="DA31" s="19">
        <f>IF(AND(Time!DA22=1,$F$30&lt;&gt;0),Inputs!$F$228*DA29/$F$30,0)</f>
        <v/>
      </c>
      <c r="DB31" s="19">
        <f>IF(AND(Time!DB22=1,$F$30&lt;&gt;0),Inputs!$F$228*DB29/$F$30,0)</f>
        <v/>
      </c>
    </row>
    <row r="32">
      <c r="D32" t="inlineStr">
        <is>
          <t>Debt drawn (senior plus NILO)</t>
        </is>
      </c>
      <c r="E32" t="inlineStr">
        <is>
          <t>ARD m</t>
        </is>
      </c>
      <c r="G32" s="19">
        <f>SUM(J32:DB32)</f>
        <v/>
      </c>
      <c r="J32" s="19">
        <f>J29-J31</f>
        <v/>
      </c>
      <c r="K32" s="19">
        <f>K29-K31</f>
        <v/>
      </c>
      <c r="L32" s="19">
        <f>L29-L31</f>
        <v/>
      </c>
      <c r="M32" s="19">
        <f>M29-M31</f>
        <v/>
      </c>
      <c r="N32" s="19">
        <f>N29-N31</f>
        <v/>
      </c>
      <c r="O32" s="19">
        <f>O29-O31</f>
        <v/>
      </c>
      <c r="P32" s="19">
        <f>P29-P31</f>
        <v/>
      </c>
      <c r="Q32" s="19">
        <f>Q29-Q31</f>
        <v/>
      </c>
      <c r="R32" s="19">
        <f>R29-R31</f>
        <v/>
      </c>
      <c r="S32" s="19">
        <f>S29-S31</f>
        <v/>
      </c>
      <c r="T32" s="19">
        <f>T29-T31</f>
        <v/>
      </c>
      <c r="U32" s="19">
        <f>U29-U31</f>
        <v/>
      </c>
      <c r="V32" s="19">
        <f>V29-V31</f>
        <v/>
      </c>
      <c r="W32" s="19">
        <f>W29-W31</f>
        <v/>
      </c>
      <c r="X32" s="19">
        <f>X29-X31</f>
        <v/>
      </c>
      <c r="Y32" s="19">
        <f>Y29-Y31</f>
        <v/>
      </c>
      <c r="Z32" s="19">
        <f>Z29-Z31</f>
        <v/>
      </c>
      <c r="AA32" s="19">
        <f>AA29-AA31</f>
        <v/>
      </c>
      <c r="AB32" s="19">
        <f>AB29-AB31</f>
        <v/>
      </c>
      <c r="AC32" s="19">
        <f>AC29-AC31</f>
        <v/>
      </c>
      <c r="AD32" s="19">
        <f>AD29-AD31</f>
        <v/>
      </c>
      <c r="AE32" s="19">
        <f>AE29-AE31</f>
        <v/>
      </c>
      <c r="AF32" s="19">
        <f>AF29-AF31</f>
        <v/>
      </c>
      <c r="AG32" s="19">
        <f>AG29-AG31</f>
        <v/>
      </c>
      <c r="AH32" s="19">
        <f>AH29-AH31</f>
        <v/>
      </c>
      <c r="AI32" s="19">
        <f>AI29-AI31</f>
        <v/>
      </c>
      <c r="AJ32" s="19">
        <f>AJ29-AJ31</f>
        <v/>
      </c>
      <c r="AK32" s="19">
        <f>AK29-AK31</f>
        <v/>
      </c>
      <c r="AL32" s="19">
        <f>AL29-AL31</f>
        <v/>
      </c>
      <c r="AM32" s="19">
        <f>AM29-AM31</f>
        <v/>
      </c>
      <c r="AN32" s="19">
        <f>AN29-AN31</f>
        <v/>
      </c>
      <c r="AO32" s="19">
        <f>AO29-AO31</f>
        <v/>
      </c>
      <c r="AP32" s="19">
        <f>AP29-AP31</f>
        <v/>
      </c>
      <c r="AQ32" s="19">
        <f>AQ29-AQ31</f>
        <v/>
      </c>
      <c r="AR32" s="19">
        <f>AR29-AR31</f>
        <v/>
      </c>
      <c r="AS32" s="19">
        <f>AS29-AS31</f>
        <v/>
      </c>
      <c r="AT32" s="19">
        <f>AT29-AT31</f>
        <v/>
      </c>
      <c r="AU32" s="19">
        <f>AU29-AU31</f>
        <v/>
      </c>
      <c r="AV32" s="19">
        <f>AV29-AV31</f>
        <v/>
      </c>
      <c r="AW32" s="19">
        <f>AW29-AW31</f>
        <v/>
      </c>
      <c r="AX32" s="19">
        <f>AX29-AX31</f>
        <v/>
      </c>
      <c r="AY32" s="19">
        <f>AY29-AY31</f>
        <v/>
      </c>
      <c r="AZ32" s="19">
        <f>AZ29-AZ31</f>
        <v/>
      </c>
      <c r="BA32" s="19">
        <f>BA29-BA31</f>
        <v/>
      </c>
      <c r="BB32" s="19">
        <f>BB29-BB31</f>
        <v/>
      </c>
      <c r="BC32" s="19">
        <f>BC29-BC31</f>
        <v/>
      </c>
      <c r="BD32" s="19">
        <f>BD29-BD31</f>
        <v/>
      </c>
      <c r="BE32" s="19">
        <f>BE29-BE31</f>
        <v/>
      </c>
      <c r="BF32" s="19">
        <f>BF29-BF31</f>
        <v/>
      </c>
      <c r="BG32" s="19">
        <f>BG29-BG31</f>
        <v/>
      </c>
      <c r="BH32" s="19">
        <f>BH29-BH31</f>
        <v/>
      </c>
      <c r="BI32" s="19">
        <f>BI29-BI31</f>
        <v/>
      </c>
      <c r="BJ32" s="19">
        <f>BJ29-BJ31</f>
        <v/>
      </c>
      <c r="BK32" s="19">
        <f>BK29-BK31</f>
        <v/>
      </c>
      <c r="BL32" s="19">
        <f>BL29-BL31</f>
        <v/>
      </c>
      <c r="BM32" s="19">
        <f>BM29-BM31</f>
        <v/>
      </c>
      <c r="BN32" s="19">
        <f>BN29-BN31</f>
        <v/>
      </c>
      <c r="BO32" s="19">
        <f>BO29-BO31</f>
        <v/>
      </c>
      <c r="BP32" s="19">
        <f>BP29-BP31</f>
        <v/>
      </c>
      <c r="BQ32" s="19">
        <f>BQ29-BQ31</f>
        <v/>
      </c>
      <c r="BR32" s="19">
        <f>BR29-BR31</f>
        <v/>
      </c>
      <c r="BS32" s="19">
        <f>BS29-BS31</f>
        <v/>
      </c>
      <c r="BT32" s="19">
        <f>BT29-BT31</f>
        <v/>
      </c>
      <c r="BU32" s="19">
        <f>BU29-BU31</f>
        <v/>
      </c>
      <c r="BV32" s="19">
        <f>BV29-BV31</f>
        <v/>
      </c>
      <c r="BW32" s="19">
        <f>BW29-BW31</f>
        <v/>
      </c>
      <c r="BX32" s="19">
        <f>BX29-BX31</f>
        <v/>
      </c>
      <c r="BY32" s="19">
        <f>BY29-BY31</f>
        <v/>
      </c>
      <c r="BZ32" s="19">
        <f>BZ29-BZ31</f>
        <v/>
      </c>
      <c r="CA32" s="19">
        <f>CA29-CA31</f>
        <v/>
      </c>
      <c r="CB32" s="19">
        <f>CB29-CB31</f>
        <v/>
      </c>
      <c r="CC32" s="19">
        <f>CC29-CC31</f>
        <v/>
      </c>
      <c r="CD32" s="19">
        <f>CD29-CD31</f>
        <v/>
      </c>
      <c r="CE32" s="19">
        <f>CE29-CE31</f>
        <v/>
      </c>
      <c r="CF32" s="19">
        <f>CF29-CF31</f>
        <v/>
      </c>
      <c r="CG32" s="19">
        <f>CG29-CG31</f>
        <v/>
      </c>
      <c r="CH32" s="19">
        <f>CH29-CH31</f>
        <v/>
      </c>
      <c r="CI32" s="19">
        <f>CI29-CI31</f>
        <v/>
      </c>
      <c r="CJ32" s="19">
        <f>CJ29-CJ31</f>
        <v/>
      </c>
      <c r="CK32" s="19">
        <f>CK29-CK31</f>
        <v/>
      </c>
      <c r="CL32" s="19">
        <f>CL29-CL31</f>
        <v/>
      </c>
      <c r="CM32" s="19">
        <f>CM29-CM31</f>
        <v/>
      </c>
      <c r="CN32" s="19">
        <f>CN29-CN31</f>
        <v/>
      </c>
      <c r="CO32" s="19">
        <f>CO29-CO31</f>
        <v/>
      </c>
      <c r="CP32" s="19">
        <f>CP29-CP31</f>
        <v/>
      </c>
      <c r="CQ32" s="19">
        <f>CQ29-CQ31</f>
        <v/>
      </c>
      <c r="CR32" s="19">
        <f>CR29-CR31</f>
        <v/>
      </c>
      <c r="CS32" s="19">
        <f>CS29-CS31</f>
        <v/>
      </c>
      <c r="CT32" s="19">
        <f>CT29-CT31</f>
        <v/>
      </c>
      <c r="CU32" s="19">
        <f>CU29-CU31</f>
        <v/>
      </c>
      <c r="CV32" s="19">
        <f>CV29-CV31</f>
        <v/>
      </c>
      <c r="CW32" s="19">
        <f>CW29-CW31</f>
        <v/>
      </c>
      <c r="CX32" s="19">
        <f>CX29-CX31</f>
        <v/>
      </c>
      <c r="CY32" s="19">
        <f>CY29-CY31</f>
        <v/>
      </c>
      <c r="CZ32" s="19">
        <f>CZ29-CZ31</f>
        <v/>
      </c>
      <c r="DA32" s="19">
        <f>DA29-DA31</f>
        <v/>
      </c>
      <c r="DB32" s="19">
        <f>DB29-DB31</f>
        <v/>
      </c>
    </row>
    <row r="33">
      <c r="D33" t="inlineStr">
        <is>
          <t>Senior drawn</t>
        </is>
      </c>
      <c r="E33" t="inlineStr">
        <is>
          <t>ARD m</t>
        </is>
      </c>
      <c r="G33" s="19">
        <f>SUM(J33:DB33)</f>
        <v/>
      </c>
      <c r="J33" s="19">
        <f>IF(Debt!$F$26+Debt!$F$28=0,0,J32*Debt!$F$26/(Debt!$F$26+Debt!$F$28))</f>
        <v/>
      </c>
      <c r="K33" s="19">
        <f>IF(Debt!$F$26+Debt!$F$28=0,0,K32*Debt!$F$26/(Debt!$F$26+Debt!$F$28))</f>
        <v/>
      </c>
      <c r="L33" s="19">
        <f>IF(Debt!$F$26+Debt!$F$28=0,0,L32*Debt!$F$26/(Debt!$F$26+Debt!$F$28))</f>
        <v/>
      </c>
      <c r="M33" s="19">
        <f>IF(Debt!$F$26+Debt!$F$28=0,0,M32*Debt!$F$26/(Debt!$F$26+Debt!$F$28))</f>
        <v/>
      </c>
      <c r="N33" s="19">
        <f>IF(Debt!$F$26+Debt!$F$28=0,0,N32*Debt!$F$26/(Debt!$F$26+Debt!$F$28))</f>
        <v/>
      </c>
      <c r="O33" s="19">
        <f>IF(Debt!$F$26+Debt!$F$28=0,0,O32*Debt!$F$26/(Debt!$F$26+Debt!$F$28))</f>
        <v/>
      </c>
      <c r="P33" s="19">
        <f>IF(Debt!$F$26+Debt!$F$28=0,0,P32*Debt!$F$26/(Debt!$F$26+Debt!$F$28))</f>
        <v/>
      </c>
      <c r="Q33" s="19">
        <f>IF(Debt!$F$26+Debt!$F$28=0,0,Q32*Debt!$F$26/(Debt!$F$26+Debt!$F$28))</f>
        <v/>
      </c>
      <c r="R33" s="19">
        <f>IF(Debt!$F$26+Debt!$F$28=0,0,R32*Debt!$F$26/(Debt!$F$26+Debt!$F$28))</f>
        <v/>
      </c>
      <c r="S33" s="19">
        <f>IF(Debt!$F$26+Debt!$F$28=0,0,S32*Debt!$F$26/(Debt!$F$26+Debt!$F$28))</f>
        <v/>
      </c>
      <c r="T33" s="19">
        <f>IF(Debt!$F$26+Debt!$F$28=0,0,T32*Debt!$F$26/(Debt!$F$26+Debt!$F$28))</f>
        <v/>
      </c>
      <c r="U33" s="19">
        <f>IF(Debt!$F$26+Debt!$F$28=0,0,U32*Debt!$F$26/(Debt!$F$26+Debt!$F$28))</f>
        <v/>
      </c>
      <c r="V33" s="19">
        <f>IF(Debt!$F$26+Debt!$F$28=0,0,V32*Debt!$F$26/(Debt!$F$26+Debt!$F$28))</f>
        <v/>
      </c>
      <c r="W33" s="19">
        <f>IF(Debt!$F$26+Debt!$F$28=0,0,W32*Debt!$F$26/(Debt!$F$26+Debt!$F$28))</f>
        <v/>
      </c>
      <c r="X33" s="19">
        <f>IF(Debt!$F$26+Debt!$F$28=0,0,X32*Debt!$F$26/(Debt!$F$26+Debt!$F$28))</f>
        <v/>
      </c>
      <c r="Y33" s="19">
        <f>IF(Debt!$F$26+Debt!$F$28=0,0,Y32*Debt!$F$26/(Debt!$F$26+Debt!$F$28))</f>
        <v/>
      </c>
      <c r="Z33" s="19">
        <f>IF(Debt!$F$26+Debt!$F$28=0,0,Z32*Debt!$F$26/(Debt!$F$26+Debt!$F$28))</f>
        <v/>
      </c>
      <c r="AA33" s="19">
        <f>IF(Debt!$F$26+Debt!$F$28=0,0,AA32*Debt!$F$26/(Debt!$F$26+Debt!$F$28))</f>
        <v/>
      </c>
      <c r="AB33" s="19">
        <f>IF(Debt!$F$26+Debt!$F$28=0,0,AB32*Debt!$F$26/(Debt!$F$26+Debt!$F$28))</f>
        <v/>
      </c>
      <c r="AC33" s="19">
        <f>IF(Debt!$F$26+Debt!$F$28=0,0,AC32*Debt!$F$26/(Debt!$F$26+Debt!$F$28))</f>
        <v/>
      </c>
      <c r="AD33" s="19">
        <f>IF(Debt!$F$26+Debt!$F$28=0,0,AD32*Debt!$F$26/(Debt!$F$26+Debt!$F$28))</f>
        <v/>
      </c>
      <c r="AE33" s="19">
        <f>IF(Debt!$F$26+Debt!$F$28=0,0,AE32*Debt!$F$26/(Debt!$F$26+Debt!$F$28))</f>
        <v/>
      </c>
      <c r="AF33" s="19">
        <f>IF(Debt!$F$26+Debt!$F$28=0,0,AF32*Debt!$F$26/(Debt!$F$26+Debt!$F$28))</f>
        <v/>
      </c>
      <c r="AG33" s="19">
        <f>IF(Debt!$F$26+Debt!$F$28=0,0,AG32*Debt!$F$26/(Debt!$F$26+Debt!$F$28))</f>
        <v/>
      </c>
      <c r="AH33" s="19">
        <f>IF(Debt!$F$26+Debt!$F$28=0,0,AH32*Debt!$F$26/(Debt!$F$26+Debt!$F$28))</f>
        <v/>
      </c>
      <c r="AI33" s="19">
        <f>IF(Debt!$F$26+Debt!$F$28=0,0,AI32*Debt!$F$26/(Debt!$F$26+Debt!$F$28))</f>
        <v/>
      </c>
      <c r="AJ33" s="19">
        <f>IF(Debt!$F$26+Debt!$F$28=0,0,AJ32*Debt!$F$26/(Debt!$F$26+Debt!$F$28))</f>
        <v/>
      </c>
      <c r="AK33" s="19">
        <f>IF(Debt!$F$26+Debt!$F$28=0,0,AK32*Debt!$F$26/(Debt!$F$26+Debt!$F$28))</f>
        <v/>
      </c>
      <c r="AL33" s="19">
        <f>IF(Debt!$F$26+Debt!$F$28=0,0,AL32*Debt!$F$26/(Debt!$F$26+Debt!$F$28))</f>
        <v/>
      </c>
      <c r="AM33" s="19">
        <f>IF(Debt!$F$26+Debt!$F$28=0,0,AM32*Debt!$F$26/(Debt!$F$26+Debt!$F$28))</f>
        <v/>
      </c>
      <c r="AN33" s="19">
        <f>IF(Debt!$F$26+Debt!$F$28=0,0,AN32*Debt!$F$26/(Debt!$F$26+Debt!$F$28))</f>
        <v/>
      </c>
      <c r="AO33" s="19">
        <f>IF(Debt!$F$26+Debt!$F$28=0,0,AO32*Debt!$F$26/(Debt!$F$26+Debt!$F$28))</f>
        <v/>
      </c>
      <c r="AP33" s="19">
        <f>IF(Debt!$F$26+Debt!$F$28=0,0,AP32*Debt!$F$26/(Debt!$F$26+Debt!$F$28))</f>
        <v/>
      </c>
      <c r="AQ33" s="19">
        <f>IF(Debt!$F$26+Debt!$F$28=0,0,AQ32*Debt!$F$26/(Debt!$F$26+Debt!$F$28))</f>
        <v/>
      </c>
      <c r="AR33" s="19">
        <f>IF(Debt!$F$26+Debt!$F$28=0,0,AR32*Debt!$F$26/(Debt!$F$26+Debt!$F$28))</f>
        <v/>
      </c>
      <c r="AS33" s="19">
        <f>IF(Debt!$F$26+Debt!$F$28=0,0,AS32*Debt!$F$26/(Debt!$F$26+Debt!$F$28))</f>
        <v/>
      </c>
      <c r="AT33" s="19">
        <f>IF(Debt!$F$26+Debt!$F$28=0,0,AT32*Debt!$F$26/(Debt!$F$26+Debt!$F$28))</f>
        <v/>
      </c>
      <c r="AU33" s="19">
        <f>IF(Debt!$F$26+Debt!$F$28=0,0,AU32*Debt!$F$26/(Debt!$F$26+Debt!$F$28))</f>
        <v/>
      </c>
      <c r="AV33" s="19">
        <f>IF(Debt!$F$26+Debt!$F$28=0,0,AV32*Debt!$F$26/(Debt!$F$26+Debt!$F$28))</f>
        <v/>
      </c>
      <c r="AW33" s="19">
        <f>IF(Debt!$F$26+Debt!$F$28=0,0,AW32*Debt!$F$26/(Debt!$F$26+Debt!$F$28))</f>
        <v/>
      </c>
      <c r="AX33" s="19">
        <f>IF(Debt!$F$26+Debt!$F$28=0,0,AX32*Debt!$F$26/(Debt!$F$26+Debt!$F$28))</f>
        <v/>
      </c>
      <c r="AY33" s="19">
        <f>IF(Debt!$F$26+Debt!$F$28=0,0,AY32*Debt!$F$26/(Debt!$F$26+Debt!$F$28))</f>
        <v/>
      </c>
      <c r="AZ33" s="19">
        <f>IF(Debt!$F$26+Debt!$F$28=0,0,AZ32*Debt!$F$26/(Debt!$F$26+Debt!$F$28))</f>
        <v/>
      </c>
      <c r="BA33" s="19">
        <f>IF(Debt!$F$26+Debt!$F$28=0,0,BA32*Debt!$F$26/(Debt!$F$26+Debt!$F$28))</f>
        <v/>
      </c>
      <c r="BB33" s="19">
        <f>IF(Debt!$F$26+Debt!$F$28=0,0,BB32*Debt!$F$26/(Debt!$F$26+Debt!$F$28))</f>
        <v/>
      </c>
      <c r="BC33" s="19">
        <f>IF(Debt!$F$26+Debt!$F$28=0,0,BC32*Debt!$F$26/(Debt!$F$26+Debt!$F$28))</f>
        <v/>
      </c>
      <c r="BD33" s="19">
        <f>IF(Debt!$F$26+Debt!$F$28=0,0,BD32*Debt!$F$26/(Debt!$F$26+Debt!$F$28))</f>
        <v/>
      </c>
      <c r="BE33" s="19">
        <f>IF(Debt!$F$26+Debt!$F$28=0,0,BE32*Debt!$F$26/(Debt!$F$26+Debt!$F$28))</f>
        <v/>
      </c>
      <c r="BF33" s="19">
        <f>IF(Debt!$F$26+Debt!$F$28=0,0,BF32*Debt!$F$26/(Debt!$F$26+Debt!$F$28))</f>
        <v/>
      </c>
      <c r="BG33" s="19">
        <f>IF(Debt!$F$26+Debt!$F$28=0,0,BG32*Debt!$F$26/(Debt!$F$26+Debt!$F$28))</f>
        <v/>
      </c>
      <c r="BH33" s="19">
        <f>IF(Debt!$F$26+Debt!$F$28=0,0,BH32*Debt!$F$26/(Debt!$F$26+Debt!$F$28))</f>
        <v/>
      </c>
      <c r="BI33" s="19">
        <f>IF(Debt!$F$26+Debt!$F$28=0,0,BI32*Debt!$F$26/(Debt!$F$26+Debt!$F$28))</f>
        <v/>
      </c>
      <c r="BJ33" s="19">
        <f>IF(Debt!$F$26+Debt!$F$28=0,0,BJ32*Debt!$F$26/(Debt!$F$26+Debt!$F$28))</f>
        <v/>
      </c>
      <c r="BK33" s="19">
        <f>IF(Debt!$F$26+Debt!$F$28=0,0,BK32*Debt!$F$26/(Debt!$F$26+Debt!$F$28))</f>
        <v/>
      </c>
      <c r="BL33" s="19">
        <f>IF(Debt!$F$26+Debt!$F$28=0,0,BL32*Debt!$F$26/(Debt!$F$26+Debt!$F$28))</f>
        <v/>
      </c>
      <c r="BM33" s="19">
        <f>IF(Debt!$F$26+Debt!$F$28=0,0,BM32*Debt!$F$26/(Debt!$F$26+Debt!$F$28))</f>
        <v/>
      </c>
      <c r="BN33" s="19">
        <f>IF(Debt!$F$26+Debt!$F$28=0,0,BN32*Debt!$F$26/(Debt!$F$26+Debt!$F$28))</f>
        <v/>
      </c>
      <c r="BO33" s="19">
        <f>IF(Debt!$F$26+Debt!$F$28=0,0,BO32*Debt!$F$26/(Debt!$F$26+Debt!$F$28))</f>
        <v/>
      </c>
      <c r="BP33" s="19">
        <f>IF(Debt!$F$26+Debt!$F$28=0,0,BP32*Debt!$F$26/(Debt!$F$26+Debt!$F$28))</f>
        <v/>
      </c>
      <c r="BQ33" s="19">
        <f>IF(Debt!$F$26+Debt!$F$28=0,0,BQ32*Debt!$F$26/(Debt!$F$26+Debt!$F$28))</f>
        <v/>
      </c>
      <c r="BR33" s="19">
        <f>IF(Debt!$F$26+Debt!$F$28=0,0,BR32*Debt!$F$26/(Debt!$F$26+Debt!$F$28))</f>
        <v/>
      </c>
      <c r="BS33" s="19">
        <f>IF(Debt!$F$26+Debt!$F$28=0,0,BS32*Debt!$F$26/(Debt!$F$26+Debt!$F$28))</f>
        <v/>
      </c>
      <c r="BT33" s="19">
        <f>IF(Debt!$F$26+Debt!$F$28=0,0,BT32*Debt!$F$26/(Debt!$F$26+Debt!$F$28))</f>
        <v/>
      </c>
      <c r="BU33" s="19">
        <f>IF(Debt!$F$26+Debt!$F$28=0,0,BU32*Debt!$F$26/(Debt!$F$26+Debt!$F$28))</f>
        <v/>
      </c>
      <c r="BV33" s="19">
        <f>IF(Debt!$F$26+Debt!$F$28=0,0,BV32*Debt!$F$26/(Debt!$F$26+Debt!$F$28))</f>
        <v/>
      </c>
      <c r="BW33" s="19">
        <f>IF(Debt!$F$26+Debt!$F$28=0,0,BW32*Debt!$F$26/(Debt!$F$26+Debt!$F$28))</f>
        <v/>
      </c>
      <c r="BX33" s="19">
        <f>IF(Debt!$F$26+Debt!$F$28=0,0,BX32*Debt!$F$26/(Debt!$F$26+Debt!$F$28))</f>
        <v/>
      </c>
      <c r="BY33" s="19">
        <f>IF(Debt!$F$26+Debt!$F$28=0,0,BY32*Debt!$F$26/(Debt!$F$26+Debt!$F$28))</f>
        <v/>
      </c>
      <c r="BZ33" s="19">
        <f>IF(Debt!$F$26+Debt!$F$28=0,0,BZ32*Debt!$F$26/(Debt!$F$26+Debt!$F$28))</f>
        <v/>
      </c>
      <c r="CA33" s="19">
        <f>IF(Debt!$F$26+Debt!$F$28=0,0,CA32*Debt!$F$26/(Debt!$F$26+Debt!$F$28))</f>
        <v/>
      </c>
      <c r="CB33" s="19">
        <f>IF(Debt!$F$26+Debt!$F$28=0,0,CB32*Debt!$F$26/(Debt!$F$26+Debt!$F$28))</f>
        <v/>
      </c>
      <c r="CC33" s="19">
        <f>IF(Debt!$F$26+Debt!$F$28=0,0,CC32*Debt!$F$26/(Debt!$F$26+Debt!$F$28))</f>
        <v/>
      </c>
      <c r="CD33" s="19">
        <f>IF(Debt!$F$26+Debt!$F$28=0,0,CD32*Debt!$F$26/(Debt!$F$26+Debt!$F$28))</f>
        <v/>
      </c>
      <c r="CE33" s="19">
        <f>IF(Debt!$F$26+Debt!$F$28=0,0,CE32*Debt!$F$26/(Debt!$F$26+Debt!$F$28))</f>
        <v/>
      </c>
      <c r="CF33" s="19">
        <f>IF(Debt!$F$26+Debt!$F$28=0,0,CF32*Debt!$F$26/(Debt!$F$26+Debt!$F$28))</f>
        <v/>
      </c>
      <c r="CG33" s="19">
        <f>IF(Debt!$F$26+Debt!$F$28=0,0,CG32*Debt!$F$26/(Debt!$F$26+Debt!$F$28))</f>
        <v/>
      </c>
      <c r="CH33" s="19">
        <f>IF(Debt!$F$26+Debt!$F$28=0,0,CH32*Debt!$F$26/(Debt!$F$26+Debt!$F$28))</f>
        <v/>
      </c>
      <c r="CI33" s="19">
        <f>IF(Debt!$F$26+Debt!$F$28=0,0,CI32*Debt!$F$26/(Debt!$F$26+Debt!$F$28))</f>
        <v/>
      </c>
      <c r="CJ33" s="19">
        <f>IF(Debt!$F$26+Debt!$F$28=0,0,CJ32*Debt!$F$26/(Debt!$F$26+Debt!$F$28))</f>
        <v/>
      </c>
      <c r="CK33" s="19">
        <f>IF(Debt!$F$26+Debt!$F$28=0,0,CK32*Debt!$F$26/(Debt!$F$26+Debt!$F$28))</f>
        <v/>
      </c>
      <c r="CL33" s="19">
        <f>IF(Debt!$F$26+Debt!$F$28=0,0,CL32*Debt!$F$26/(Debt!$F$26+Debt!$F$28))</f>
        <v/>
      </c>
      <c r="CM33" s="19">
        <f>IF(Debt!$F$26+Debt!$F$28=0,0,CM32*Debt!$F$26/(Debt!$F$26+Debt!$F$28))</f>
        <v/>
      </c>
      <c r="CN33" s="19">
        <f>IF(Debt!$F$26+Debt!$F$28=0,0,CN32*Debt!$F$26/(Debt!$F$26+Debt!$F$28))</f>
        <v/>
      </c>
      <c r="CO33" s="19">
        <f>IF(Debt!$F$26+Debt!$F$28=0,0,CO32*Debt!$F$26/(Debt!$F$26+Debt!$F$28))</f>
        <v/>
      </c>
      <c r="CP33" s="19">
        <f>IF(Debt!$F$26+Debt!$F$28=0,0,CP32*Debt!$F$26/(Debt!$F$26+Debt!$F$28))</f>
        <v/>
      </c>
      <c r="CQ33" s="19">
        <f>IF(Debt!$F$26+Debt!$F$28=0,0,CQ32*Debt!$F$26/(Debt!$F$26+Debt!$F$28))</f>
        <v/>
      </c>
      <c r="CR33" s="19">
        <f>IF(Debt!$F$26+Debt!$F$28=0,0,CR32*Debt!$F$26/(Debt!$F$26+Debt!$F$28))</f>
        <v/>
      </c>
      <c r="CS33" s="19">
        <f>IF(Debt!$F$26+Debt!$F$28=0,0,CS32*Debt!$F$26/(Debt!$F$26+Debt!$F$28))</f>
        <v/>
      </c>
      <c r="CT33" s="19">
        <f>IF(Debt!$F$26+Debt!$F$28=0,0,CT32*Debt!$F$26/(Debt!$F$26+Debt!$F$28))</f>
        <v/>
      </c>
      <c r="CU33" s="19">
        <f>IF(Debt!$F$26+Debt!$F$28=0,0,CU32*Debt!$F$26/(Debt!$F$26+Debt!$F$28))</f>
        <v/>
      </c>
      <c r="CV33" s="19">
        <f>IF(Debt!$F$26+Debt!$F$28=0,0,CV32*Debt!$F$26/(Debt!$F$26+Debt!$F$28))</f>
        <v/>
      </c>
      <c r="CW33" s="19">
        <f>IF(Debt!$F$26+Debt!$F$28=0,0,CW32*Debt!$F$26/(Debt!$F$26+Debt!$F$28))</f>
        <v/>
      </c>
      <c r="CX33" s="19">
        <f>IF(Debt!$F$26+Debt!$F$28=0,0,CX32*Debt!$F$26/(Debt!$F$26+Debt!$F$28))</f>
        <v/>
      </c>
      <c r="CY33" s="19">
        <f>IF(Debt!$F$26+Debt!$F$28=0,0,CY32*Debt!$F$26/(Debt!$F$26+Debt!$F$28))</f>
        <v/>
      </c>
      <c r="CZ33" s="19">
        <f>IF(Debt!$F$26+Debt!$F$28=0,0,CZ32*Debt!$F$26/(Debt!$F$26+Debt!$F$28))</f>
        <v/>
      </c>
      <c r="DA33" s="19">
        <f>IF(Debt!$F$26+Debt!$F$28=0,0,DA32*Debt!$F$26/(Debt!$F$26+Debt!$F$28))</f>
        <v/>
      </c>
      <c r="DB33" s="19">
        <f>IF(Debt!$F$26+Debt!$F$28=0,0,DB32*Debt!$F$26/(Debt!$F$26+Debt!$F$28))</f>
        <v/>
      </c>
    </row>
    <row r="34">
      <c r="D34" t="inlineStr">
        <is>
          <t>NILO drawn</t>
        </is>
      </c>
      <c r="E34" t="inlineStr">
        <is>
          <t>ARD m</t>
        </is>
      </c>
      <c r="G34" s="19">
        <f>SUM(J34:DB34)</f>
        <v/>
      </c>
      <c r="J34" s="19">
        <f>J32-J33</f>
        <v/>
      </c>
      <c r="K34" s="19">
        <f>K32-K33</f>
        <v/>
      </c>
      <c r="L34" s="19">
        <f>L32-L33</f>
        <v/>
      </c>
      <c r="M34" s="19">
        <f>M32-M33</f>
        <v/>
      </c>
      <c r="N34" s="19">
        <f>N32-N33</f>
        <v/>
      </c>
      <c r="O34" s="19">
        <f>O32-O33</f>
        <v/>
      </c>
      <c r="P34" s="19">
        <f>P32-P33</f>
        <v/>
      </c>
      <c r="Q34" s="19">
        <f>Q32-Q33</f>
        <v/>
      </c>
      <c r="R34" s="19">
        <f>R32-R33</f>
        <v/>
      </c>
      <c r="S34" s="19">
        <f>S32-S33</f>
        <v/>
      </c>
      <c r="T34" s="19">
        <f>T32-T33</f>
        <v/>
      </c>
      <c r="U34" s="19">
        <f>U32-U33</f>
        <v/>
      </c>
      <c r="V34" s="19">
        <f>V32-V33</f>
        <v/>
      </c>
      <c r="W34" s="19">
        <f>W32-W33</f>
        <v/>
      </c>
      <c r="X34" s="19">
        <f>X32-X33</f>
        <v/>
      </c>
      <c r="Y34" s="19">
        <f>Y32-Y33</f>
        <v/>
      </c>
      <c r="Z34" s="19">
        <f>Z32-Z33</f>
        <v/>
      </c>
      <c r="AA34" s="19">
        <f>AA32-AA33</f>
        <v/>
      </c>
      <c r="AB34" s="19">
        <f>AB32-AB33</f>
        <v/>
      </c>
      <c r="AC34" s="19">
        <f>AC32-AC33</f>
        <v/>
      </c>
      <c r="AD34" s="19">
        <f>AD32-AD33</f>
        <v/>
      </c>
      <c r="AE34" s="19">
        <f>AE32-AE33</f>
        <v/>
      </c>
      <c r="AF34" s="19">
        <f>AF32-AF33</f>
        <v/>
      </c>
      <c r="AG34" s="19">
        <f>AG32-AG33</f>
        <v/>
      </c>
      <c r="AH34" s="19">
        <f>AH32-AH33</f>
        <v/>
      </c>
      <c r="AI34" s="19">
        <f>AI32-AI33</f>
        <v/>
      </c>
      <c r="AJ34" s="19">
        <f>AJ32-AJ33</f>
        <v/>
      </c>
      <c r="AK34" s="19">
        <f>AK32-AK33</f>
        <v/>
      </c>
      <c r="AL34" s="19">
        <f>AL32-AL33</f>
        <v/>
      </c>
      <c r="AM34" s="19">
        <f>AM32-AM33</f>
        <v/>
      </c>
      <c r="AN34" s="19">
        <f>AN32-AN33</f>
        <v/>
      </c>
      <c r="AO34" s="19">
        <f>AO32-AO33</f>
        <v/>
      </c>
      <c r="AP34" s="19">
        <f>AP32-AP33</f>
        <v/>
      </c>
      <c r="AQ34" s="19">
        <f>AQ32-AQ33</f>
        <v/>
      </c>
      <c r="AR34" s="19">
        <f>AR32-AR33</f>
        <v/>
      </c>
      <c r="AS34" s="19">
        <f>AS32-AS33</f>
        <v/>
      </c>
      <c r="AT34" s="19">
        <f>AT32-AT33</f>
        <v/>
      </c>
      <c r="AU34" s="19">
        <f>AU32-AU33</f>
        <v/>
      </c>
      <c r="AV34" s="19">
        <f>AV32-AV33</f>
        <v/>
      </c>
      <c r="AW34" s="19">
        <f>AW32-AW33</f>
        <v/>
      </c>
      <c r="AX34" s="19">
        <f>AX32-AX33</f>
        <v/>
      </c>
      <c r="AY34" s="19">
        <f>AY32-AY33</f>
        <v/>
      </c>
      <c r="AZ34" s="19">
        <f>AZ32-AZ33</f>
        <v/>
      </c>
      <c r="BA34" s="19">
        <f>BA32-BA33</f>
        <v/>
      </c>
      <c r="BB34" s="19">
        <f>BB32-BB33</f>
        <v/>
      </c>
      <c r="BC34" s="19">
        <f>BC32-BC33</f>
        <v/>
      </c>
      <c r="BD34" s="19">
        <f>BD32-BD33</f>
        <v/>
      </c>
      <c r="BE34" s="19">
        <f>BE32-BE33</f>
        <v/>
      </c>
      <c r="BF34" s="19">
        <f>BF32-BF33</f>
        <v/>
      </c>
      <c r="BG34" s="19">
        <f>BG32-BG33</f>
        <v/>
      </c>
      <c r="BH34" s="19">
        <f>BH32-BH33</f>
        <v/>
      </c>
      <c r="BI34" s="19">
        <f>BI32-BI33</f>
        <v/>
      </c>
      <c r="BJ34" s="19">
        <f>BJ32-BJ33</f>
        <v/>
      </c>
      <c r="BK34" s="19">
        <f>BK32-BK33</f>
        <v/>
      </c>
      <c r="BL34" s="19">
        <f>BL32-BL33</f>
        <v/>
      </c>
      <c r="BM34" s="19">
        <f>BM32-BM33</f>
        <v/>
      </c>
      <c r="BN34" s="19">
        <f>BN32-BN33</f>
        <v/>
      </c>
      <c r="BO34" s="19">
        <f>BO32-BO33</f>
        <v/>
      </c>
      <c r="BP34" s="19">
        <f>BP32-BP33</f>
        <v/>
      </c>
      <c r="BQ34" s="19">
        <f>BQ32-BQ33</f>
        <v/>
      </c>
      <c r="BR34" s="19">
        <f>BR32-BR33</f>
        <v/>
      </c>
      <c r="BS34" s="19">
        <f>BS32-BS33</f>
        <v/>
      </c>
      <c r="BT34" s="19">
        <f>BT32-BT33</f>
        <v/>
      </c>
      <c r="BU34" s="19">
        <f>BU32-BU33</f>
        <v/>
      </c>
      <c r="BV34" s="19">
        <f>BV32-BV33</f>
        <v/>
      </c>
      <c r="BW34" s="19">
        <f>BW32-BW33</f>
        <v/>
      </c>
      <c r="BX34" s="19">
        <f>BX32-BX33</f>
        <v/>
      </c>
      <c r="BY34" s="19">
        <f>BY32-BY33</f>
        <v/>
      </c>
      <c r="BZ34" s="19">
        <f>BZ32-BZ33</f>
        <v/>
      </c>
      <c r="CA34" s="19">
        <f>CA32-CA33</f>
        <v/>
      </c>
      <c r="CB34" s="19">
        <f>CB32-CB33</f>
        <v/>
      </c>
      <c r="CC34" s="19">
        <f>CC32-CC33</f>
        <v/>
      </c>
      <c r="CD34" s="19">
        <f>CD32-CD33</f>
        <v/>
      </c>
      <c r="CE34" s="19">
        <f>CE32-CE33</f>
        <v/>
      </c>
      <c r="CF34" s="19">
        <f>CF32-CF33</f>
        <v/>
      </c>
      <c r="CG34" s="19">
        <f>CG32-CG33</f>
        <v/>
      </c>
      <c r="CH34" s="19">
        <f>CH32-CH33</f>
        <v/>
      </c>
      <c r="CI34" s="19">
        <f>CI32-CI33</f>
        <v/>
      </c>
      <c r="CJ34" s="19">
        <f>CJ32-CJ33</f>
        <v/>
      </c>
      <c r="CK34" s="19">
        <f>CK32-CK33</f>
        <v/>
      </c>
      <c r="CL34" s="19">
        <f>CL32-CL33</f>
        <v/>
      </c>
      <c r="CM34" s="19">
        <f>CM32-CM33</f>
        <v/>
      </c>
      <c r="CN34" s="19">
        <f>CN32-CN33</f>
        <v/>
      </c>
      <c r="CO34" s="19">
        <f>CO32-CO33</f>
        <v/>
      </c>
      <c r="CP34" s="19">
        <f>CP32-CP33</f>
        <v/>
      </c>
      <c r="CQ34" s="19">
        <f>CQ32-CQ33</f>
        <v/>
      </c>
      <c r="CR34" s="19">
        <f>CR32-CR33</f>
        <v/>
      </c>
      <c r="CS34" s="19">
        <f>CS32-CS33</f>
        <v/>
      </c>
      <c r="CT34" s="19">
        <f>CT32-CT33</f>
        <v/>
      </c>
      <c r="CU34" s="19">
        <f>CU32-CU33</f>
        <v/>
      </c>
      <c r="CV34" s="19">
        <f>CV32-CV33</f>
        <v/>
      </c>
      <c r="CW34" s="19">
        <f>CW32-CW33</f>
        <v/>
      </c>
      <c r="CX34" s="19">
        <f>CX32-CX33</f>
        <v/>
      </c>
      <c r="CY34" s="19">
        <f>CY32-CY33</f>
        <v/>
      </c>
      <c r="CZ34" s="19">
        <f>CZ32-CZ33</f>
        <v/>
      </c>
      <c r="DA34" s="19">
        <f>DA32-DA33</f>
        <v/>
      </c>
      <c r="DB34" s="19">
        <f>DB32-DB33</f>
        <v/>
      </c>
    </row>
    <row r="35">
      <c r="D35" t="inlineStr">
        <is>
          <t>Bank drawn</t>
        </is>
      </c>
      <c r="E35" t="inlineStr">
        <is>
          <t>ARD m</t>
        </is>
      </c>
      <c r="G35" s="19">
        <f>SUM(J35:DB35)</f>
        <v/>
      </c>
      <c r="J35" s="19">
        <f>Inputs!$F$97*J33</f>
        <v/>
      </c>
      <c r="K35" s="19">
        <f>Inputs!$F$97*K33</f>
        <v/>
      </c>
      <c r="L35" s="19">
        <f>Inputs!$F$97*L33</f>
        <v/>
      </c>
      <c r="M35" s="19">
        <f>Inputs!$F$97*M33</f>
        <v/>
      </c>
      <c r="N35" s="19">
        <f>Inputs!$F$97*N33</f>
        <v/>
      </c>
      <c r="O35" s="19">
        <f>Inputs!$F$97*O33</f>
        <v/>
      </c>
      <c r="P35" s="19">
        <f>Inputs!$F$97*P33</f>
        <v/>
      </c>
      <c r="Q35" s="19">
        <f>Inputs!$F$97*Q33</f>
        <v/>
      </c>
      <c r="R35" s="19">
        <f>Inputs!$F$97*R33</f>
        <v/>
      </c>
      <c r="S35" s="19">
        <f>Inputs!$F$97*S33</f>
        <v/>
      </c>
      <c r="T35" s="19">
        <f>Inputs!$F$97*T33</f>
        <v/>
      </c>
      <c r="U35" s="19">
        <f>Inputs!$F$97*U33</f>
        <v/>
      </c>
      <c r="V35" s="19">
        <f>Inputs!$F$97*V33</f>
        <v/>
      </c>
      <c r="W35" s="19">
        <f>Inputs!$F$97*W33</f>
        <v/>
      </c>
      <c r="X35" s="19">
        <f>Inputs!$F$97*X33</f>
        <v/>
      </c>
      <c r="Y35" s="19">
        <f>Inputs!$F$97*Y33</f>
        <v/>
      </c>
      <c r="Z35" s="19">
        <f>Inputs!$F$97*Z33</f>
        <v/>
      </c>
      <c r="AA35" s="19">
        <f>Inputs!$F$97*AA33</f>
        <v/>
      </c>
      <c r="AB35" s="19">
        <f>Inputs!$F$97*AB33</f>
        <v/>
      </c>
      <c r="AC35" s="19">
        <f>Inputs!$F$97*AC33</f>
        <v/>
      </c>
      <c r="AD35" s="19">
        <f>Inputs!$F$97*AD33</f>
        <v/>
      </c>
      <c r="AE35" s="19">
        <f>Inputs!$F$97*AE33</f>
        <v/>
      </c>
      <c r="AF35" s="19">
        <f>Inputs!$F$97*AF33</f>
        <v/>
      </c>
      <c r="AG35" s="19">
        <f>Inputs!$F$97*AG33</f>
        <v/>
      </c>
      <c r="AH35" s="19">
        <f>Inputs!$F$97*AH33</f>
        <v/>
      </c>
      <c r="AI35" s="19">
        <f>Inputs!$F$97*AI33</f>
        <v/>
      </c>
      <c r="AJ35" s="19">
        <f>Inputs!$F$97*AJ33</f>
        <v/>
      </c>
      <c r="AK35" s="19">
        <f>Inputs!$F$97*AK33</f>
        <v/>
      </c>
      <c r="AL35" s="19">
        <f>Inputs!$F$97*AL33</f>
        <v/>
      </c>
      <c r="AM35" s="19">
        <f>Inputs!$F$97*AM33</f>
        <v/>
      </c>
      <c r="AN35" s="19">
        <f>Inputs!$F$97*AN33</f>
        <v/>
      </c>
      <c r="AO35" s="19">
        <f>Inputs!$F$97*AO33</f>
        <v/>
      </c>
      <c r="AP35" s="19">
        <f>Inputs!$F$97*AP33</f>
        <v/>
      </c>
      <c r="AQ35" s="19">
        <f>Inputs!$F$97*AQ33</f>
        <v/>
      </c>
      <c r="AR35" s="19">
        <f>Inputs!$F$97*AR33</f>
        <v/>
      </c>
      <c r="AS35" s="19">
        <f>Inputs!$F$97*AS33</f>
        <v/>
      </c>
      <c r="AT35" s="19">
        <f>Inputs!$F$97*AT33</f>
        <v/>
      </c>
      <c r="AU35" s="19">
        <f>Inputs!$F$97*AU33</f>
        <v/>
      </c>
      <c r="AV35" s="19">
        <f>Inputs!$F$97*AV33</f>
        <v/>
      </c>
      <c r="AW35" s="19">
        <f>Inputs!$F$97*AW33</f>
        <v/>
      </c>
      <c r="AX35" s="19">
        <f>Inputs!$F$97*AX33</f>
        <v/>
      </c>
      <c r="AY35" s="19">
        <f>Inputs!$F$97*AY33</f>
        <v/>
      </c>
      <c r="AZ35" s="19">
        <f>Inputs!$F$97*AZ33</f>
        <v/>
      </c>
      <c r="BA35" s="19">
        <f>Inputs!$F$97*BA33</f>
        <v/>
      </c>
      <c r="BB35" s="19">
        <f>Inputs!$F$97*BB33</f>
        <v/>
      </c>
      <c r="BC35" s="19">
        <f>Inputs!$F$97*BC33</f>
        <v/>
      </c>
      <c r="BD35" s="19">
        <f>Inputs!$F$97*BD33</f>
        <v/>
      </c>
      <c r="BE35" s="19">
        <f>Inputs!$F$97*BE33</f>
        <v/>
      </c>
      <c r="BF35" s="19">
        <f>Inputs!$F$97*BF33</f>
        <v/>
      </c>
      <c r="BG35" s="19">
        <f>Inputs!$F$97*BG33</f>
        <v/>
      </c>
      <c r="BH35" s="19">
        <f>Inputs!$F$97*BH33</f>
        <v/>
      </c>
      <c r="BI35" s="19">
        <f>Inputs!$F$97*BI33</f>
        <v/>
      </c>
      <c r="BJ35" s="19">
        <f>Inputs!$F$97*BJ33</f>
        <v/>
      </c>
      <c r="BK35" s="19">
        <f>Inputs!$F$97*BK33</f>
        <v/>
      </c>
      <c r="BL35" s="19">
        <f>Inputs!$F$97*BL33</f>
        <v/>
      </c>
      <c r="BM35" s="19">
        <f>Inputs!$F$97*BM33</f>
        <v/>
      </c>
      <c r="BN35" s="19">
        <f>Inputs!$F$97*BN33</f>
        <v/>
      </c>
      <c r="BO35" s="19">
        <f>Inputs!$F$97*BO33</f>
        <v/>
      </c>
      <c r="BP35" s="19">
        <f>Inputs!$F$97*BP33</f>
        <v/>
      </c>
      <c r="BQ35" s="19">
        <f>Inputs!$F$97*BQ33</f>
        <v/>
      </c>
      <c r="BR35" s="19">
        <f>Inputs!$F$97*BR33</f>
        <v/>
      </c>
      <c r="BS35" s="19">
        <f>Inputs!$F$97*BS33</f>
        <v/>
      </c>
      <c r="BT35" s="19">
        <f>Inputs!$F$97*BT33</f>
        <v/>
      </c>
      <c r="BU35" s="19">
        <f>Inputs!$F$97*BU33</f>
        <v/>
      </c>
      <c r="BV35" s="19">
        <f>Inputs!$F$97*BV33</f>
        <v/>
      </c>
      <c r="BW35" s="19">
        <f>Inputs!$F$97*BW33</f>
        <v/>
      </c>
      <c r="BX35" s="19">
        <f>Inputs!$F$97*BX33</f>
        <v/>
      </c>
      <c r="BY35" s="19">
        <f>Inputs!$F$97*BY33</f>
        <v/>
      </c>
      <c r="BZ35" s="19">
        <f>Inputs!$F$97*BZ33</f>
        <v/>
      </c>
      <c r="CA35" s="19">
        <f>Inputs!$F$97*CA33</f>
        <v/>
      </c>
      <c r="CB35" s="19">
        <f>Inputs!$F$97*CB33</f>
        <v/>
      </c>
      <c r="CC35" s="19">
        <f>Inputs!$F$97*CC33</f>
        <v/>
      </c>
      <c r="CD35" s="19">
        <f>Inputs!$F$97*CD33</f>
        <v/>
      </c>
      <c r="CE35" s="19">
        <f>Inputs!$F$97*CE33</f>
        <v/>
      </c>
      <c r="CF35" s="19">
        <f>Inputs!$F$97*CF33</f>
        <v/>
      </c>
      <c r="CG35" s="19">
        <f>Inputs!$F$97*CG33</f>
        <v/>
      </c>
      <c r="CH35" s="19">
        <f>Inputs!$F$97*CH33</f>
        <v/>
      </c>
      <c r="CI35" s="19">
        <f>Inputs!$F$97*CI33</f>
        <v/>
      </c>
      <c r="CJ35" s="19">
        <f>Inputs!$F$97*CJ33</f>
        <v/>
      </c>
      <c r="CK35" s="19">
        <f>Inputs!$F$97*CK33</f>
        <v/>
      </c>
      <c r="CL35" s="19">
        <f>Inputs!$F$97*CL33</f>
        <v/>
      </c>
      <c r="CM35" s="19">
        <f>Inputs!$F$97*CM33</f>
        <v/>
      </c>
      <c r="CN35" s="19">
        <f>Inputs!$F$97*CN33</f>
        <v/>
      </c>
      <c r="CO35" s="19">
        <f>Inputs!$F$97*CO33</f>
        <v/>
      </c>
      <c r="CP35" s="19">
        <f>Inputs!$F$97*CP33</f>
        <v/>
      </c>
      <c r="CQ35" s="19">
        <f>Inputs!$F$97*CQ33</f>
        <v/>
      </c>
      <c r="CR35" s="19">
        <f>Inputs!$F$97*CR33</f>
        <v/>
      </c>
      <c r="CS35" s="19">
        <f>Inputs!$F$97*CS33</f>
        <v/>
      </c>
      <c r="CT35" s="19">
        <f>Inputs!$F$97*CT33</f>
        <v/>
      </c>
      <c r="CU35" s="19">
        <f>Inputs!$F$97*CU33</f>
        <v/>
      </c>
      <c r="CV35" s="19">
        <f>Inputs!$F$97*CV33</f>
        <v/>
      </c>
      <c r="CW35" s="19">
        <f>Inputs!$F$97*CW33</f>
        <v/>
      </c>
      <c r="CX35" s="19">
        <f>Inputs!$F$97*CX33</f>
        <v/>
      </c>
      <c r="CY35" s="19">
        <f>Inputs!$F$97*CY33</f>
        <v/>
      </c>
      <c r="CZ35" s="19">
        <f>Inputs!$F$97*CZ33</f>
        <v/>
      </c>
      <c r="DA35" s="19">
        <f>Inputs!$F$97*DA33</f>
        <v/>
      </c>
      <c r="DB35" s="19">
        <f>Inputs!$F$97*DB33</f>
        <v/>
      </c>
    </row>
    <row r="36">
      <c r="D36" t="inlineStr">
        <is>
          <t>Bond escrow released</t>
        </is>
      </c>
      <c r="E36" t="inlineStr">
        <is>
          <t>ARD m</t>
        </is>
      </c>
      <c r="G36" s="19">
        <f>SUM(J36:DB36)</f>
        <v/>
      </c>
      <c r="J36" s="19">
        <f>Inputs!$F$98*J33</f>
        <v/>
      </c>
      <c r="K36" s="19">
        <f>Inputs!$F$98*K33</f>
        <v/>
      </c>
      <c r="L36" s="19">
        <f>Inputs!$F$98*L33</f>
        <v/>
      </c>
      <c r="M36" s="19">
        <f>Inputs!$F$98*M33</f>
        <v/>
      </c>
      <c r="N36" s="19">
        <f>Inputs!$F$98*N33</f>
        <v/>
      </c>
      <c r="O36" s="19">
        <f>Inputs!$F$98*O33</f>
        <v/>
      </c>
      <c r="P36" s="19">
        <f>Inputs!$F$98*P33</f>
        <v/>
      </c>
      <c r="Q36" s="19">
        <f>Inputs!$F$98*Q33</f>
        <v/>
      </c>
      <c r="R36" s="19">
        <f>Inputs!$F$98*R33</f>
        <v/>
      </c>
      <c r="S36" s="19">
        <f>Inputs!$F$98*S33</f>
        <v/>
      </c>
      <c r="T36" s="19">
        <f>Inputs!$F$98*T33</f>
        <v/>
      </c>
      <c r="U36" s="19">
        <f>Inputs!$F$98*U33</f>
        <v/>
      </c>
      <c r="V36" s="19">
        <f>Inputs!$F$98*V33</f>
        <v/>
      </c>
      <c r="W36" s="19">
        <f>Inputs!$F$98*W33</f>
        <v/>
      </c>
      <c r="X36" s="19">
        <f>Inputs!$F$98*X33</f>
        <v/>
      </c>
      <c r="Y36" s="19">
        <f>Inputs!$F$98*Y33</f>
        <v/>
      </c>
      <c r="Z36" s="19">
        <f>Inputs!$F$98*Z33</f>
        <v/>
      </c>
      <c r="AA36" s="19">
        <f>Inputs!$F$98*AA33</f>
        <v/>
      </c>
      <c r="AB36" s="19">
        <f>Inputs!$F$98*AB33</f>
        <v/>
      </c>
      <c r="AC36" s="19">
        <f>Inputs!$F$98*AC33</f>
        <v/>
      </c>
      <c r="AD36" s="19">
        <f>Inputs!$F$98*AD33</f>
        <v/>
      </c>
      <c r="AE36" s="19">
        <f>Inputs!$F$98*AE33</f>
        <v/>
      </c>
      <c r="AF36" s="19">
        <f>Inputs!$F$98*AF33</f>
        <v/>
      </c>
      <c r="AG36" s="19">
        <f>Inputs!$F$98*AG33</f>
        <v/>
      </c>
      <c r="AH36" s="19">
        <f>Inputs!$F$98*AH33</f>
        <v/>
      </c>
      <c r="AI36" s="19">
        <f>Inputs!$F$98*AI33</f>
        <v/>
      </c>
      <c r="AJ36" s="19">
        <f>Inputs!$F$98*AJ33</f>
        <v/>
      </c>
      <c r="AK36" s="19">
        <f>Inputs!$F$98*AK33</f>
        <v/>
      </c>
      <c r="AL36" s="19">
        <f>Inputs!$F$98*AL33</f>
        <v/>
      </c>
      <c r="AM36" s="19">
        <f>Inputs!$F$98*AM33</f>
        <v/>
      </c>
      <c r="AN36" s="19">
        <f>Inputs!$F$98*AN33</f>
        <v/>
      </c>
      <c r="AO36" s="19">
        <f>Inputs!$F$98*AO33</f>
        <v/>
      </c>
      <c r="AP36" s="19">
        <f>Inputs!$F$98*AP33</f>
        <v/>
      </c>
      <c r="AQ36" s="19">
        <f>Inputs!$F$98*AQ33</f>
        <v/>
      </c>
      <c r="AR36" s="19">
        <f>Inputs!$F$98*AR33</f>
        <v/>
      </c>
      <c r="AS36" s="19">
        <f>Inputs!$F$98*AS33</f>
        <v/>
      </c>
      <c r="AT36" s="19">
        <f>Inputs!$F$98*AT33</f>
        <v/>
      </c>
      <c r="AU36" s="19">
        <f>Inputs!$F$98*AU33</f>
        <v/>
      </c>
      <c r="AV36" s="19">
        <f>Inputs!$F$98*AV33</f>
        <v/>
      </c>
      <c r="AW36" s="19">
        <f>Inputs!$F$98*AW33</f>
        <v/>
      </c>
      <c r="AX36" s="19">
        <f>Inputs!$F$98*AX33</f>
        <v/>
      </c>
      <c r="AY36" s="19">
        <f>Inputs!$F$98*AY33</f>
        <v/>
      </c>
      <c r="AZ36" s="19">
        <f>Inputs!$F$98*AZ33</f>
        <v/>
      </c>
      <c r="BA36" s="19">
        <f>Inputs!$F$98*BA33</f>
        <v/>
      </c>
      <c r="BB36" s="19">
        <f>Inputs!$F$98*BB33</f>
        <v/>
      </c>
      <c r="BC36" s="19">
        <f>Inputs!$F$98*BC33</f>
        <v/>
      </c>
      <c r="BD36" s="19">
        <f>Inputs!$F$98*BD33</f>
        <v/>
      </c>
      <c r="BE36" s="19">
        <f>Inputs!$F$98*BE33</f>
        <v/>
      </c>
      <c r="BF36" s="19">
        <f>Inputs!$F$98*BF33</f>
        <v/>
      </c>
      <c r="BG36" s="19">
        <f>Inputs!$F$98*BG33</f>
        <v/>
      </c>
      <c r="BH36" s="19">
        <f>Inputs!$F$98*BH33</f>
        <v/>
      </c>
      <c r="BI36" s="19">
        <f>Inputs!$F$98*BI33</f>
        <v/>
      </c>
      <c r="BJ36" s="19">
        <f>Inputs!$F$98*BJ33</f>
        <v/>
      </c>
      <c r="BK36" s="19">
        <f>Inputs!$F$98*BK33</f>
        <v/>
      </c>
      <c r="BL36" s="19">
        <f>Inputs!$F$98*BL33</f>
        <v/>
      </c>
      <c r="BM36" s="19">
        <f>Inputs!$F$98*BM33</f>
        <v/>
      </c>
      <c r="BN36" s="19">
        <f>Inputs!$F$98*BN33</f>
        <v/>
      </c>
      <c r="BO36" s="19">
        <f>Inputs!$F$98*BO33</f>
        <v/>
      </c>
      <c r="BP36" s="19">
        <f>Inputs!$F$98*BP33</f>
        <v/>
      </c>
      <c r="BQ36" s="19">
        <f>Inputs!$F$98*BQ33</f>
        <v/>
      </c>
      <c r="BR36" s="19">
        <f>Inputs!$F$98*BR33</f>
        <v/>
      </c>
      <c r="BS36" s="19">
        <f>Inputs!$F$98*BS33</f>
        <v/>
      </c>
      <c r="BT36" s="19">
        <f>Inputs!$F$98*BT33</f>
        <v/>
      </c>
      <c r="BU36" s="19">
        <f>Inputs!$F$98*BU33</f>
        <v/>
      </c>
      <c r="BV36" s="19">
        <f>Inputs!$F$98*BV33</f>
        <v/>
      </c>
      <c r="BW36" s="19">
        <f>Inputs!$F$98*BW33</f>
        <v/>
      </c>
      <c r="BX36" s="19">
        <f>Inputs!$F$98*BX33</f>
        <v/>
      </c>
      <c r="BY36" s="19">
        <f>Inputs!$F$98*BY33</f>
        <v/>
      </c>
      <c r="BZ36" s="19">
        <f>Inputs!$F$98*BZ33</f>
        <v/>
      </c>
      <c r="CA36" s="19">
        <f>Inputs!$F$98*CA33</f>
        <v/>
      </c>
      <c r="CB36" s="19">
        <f>Inputs!$F$98*CB33</f>
        <v/>
      </c>
      <c r="CC36" s="19">
        <f>Inputs!$F$98*CC33</f>
        <v/>
      </c>
      <c r="CD36" s="19">
        <f>Inputs!$F$98*CD33</f>
        <v/>
      </c>
      <c r="CE36" s="19">
        <f>Inputs!$F$98*CE33</f>
        <v/>
      </c>
      <c r="CF36" s="19">
        <f>Inputs!$F$98*CF33</f>
        <v/>
      </c>
      <c r="CG36" s="19">
        <f>Inputs!$F$98*CG33</f>
        <v/>
      </c>
      <c r="CH36" s="19">
        <f>Inputs!$F$98*CH33</f>
        <v/>
      </c>
      <c r="CI36" s="19">
        <f>Inputs!$F$98*CI33</f>
        <v/>
      </c>
      <c r="CJ36" s="19">
        <f>Inputs!$F$98*CJ33</f>
        <v/>
      </c>
      <c r="CK36" s="19">
        <f>Inputs!$F$98*CK33</f>
        <v/>
      </c>
      <c r="CL36" s="19">
        <f>Inputs!$F$98*CL33</f>
        <v/>
      </c>
      <c r="CM36" s="19">
        <f>Inputs!$F$98*CM33</f>
        <v/>
      </c>
      <c r="CN36" s="19">
        <f>Inputs!$F$98*CN33</f>
        <v/>
      </c>
      <c r="CO36" s="19">
        <f>Inputs!$F$98*CO33</f>
        <v/>
      </c>
      <c r="CP36" s="19">
        <f>Inputs!$F$98*CP33</f>
        <v/>
      </c>
      <c r="CQ36" s="19">
        <f>Inputs!$F$98*CQ33</f>
        <v/>
      </c>
      <c r="CR36" s="19">
        <f>Inputs!$F$98*CR33</f>
        <v/>
      </c>
      <c r="CS36" s="19">
        <f>Inputs!$F$98*CS33</f>
        <v/>
      </c>
      <c r="CT36" s="19">
        <f>Inputs!$F$98*CT33</f>
        <v/>
      </c>
      <c r="CU36" s="19">
        <f>Inputs!$F$98*CU33</f>
        <v/>
      </c>
      <c r="CV36" s="19">
        <f>Inputs!$F$98*CV33</f>
        <v/>
      </c>
      <c r="CW36" s="19">
        <f>Inputs!$F$98*CW33</f>
        <v/>
      </c>
      <c r="CX36" s="19">
        <f>Inputs!$F$98*CX33</f>
        <v/>
      </c>
      <c r="CY36" s="19">
        <f>Inputs!$F$98*CY33</f>
        <v/>
      </c>
      <c r="CZ36" s="19">
        <f>Inputs!$F$98*CZ33</f>
        <v/>
      </c>
      <c r="DA36" s="19">
        <f>Inputs!$F$98*DA33</f>
        <v/>
      </c>
      <c r="DB36" s="19">
        <f>Inputs!$F$98*DB33</f>
        <v/>
      </c>
    </row>
    <row r="37">
      <c r="D37" t="inlineStr">
        <is>
          <t>Equity: share capital</t>
        </is>
      </c>
      <c r="E37" t="inlineStr">
        <is>
          <t>ARD m</t>
        </is>
      </c>
      <c r="G37" s="19">
        <f>SUM(J37:DB37)</f>
        <v/>
      </c>
      <c r="J37" s="19">
        <f>Inputs!$F$89*J27</f>
        <v/>
      </c>
      <c r="K37" s="19">
        <f>Inputs!$F$89*K27</f>
        <v/>
      </c>
      <c r="L37" s="19">
        <f>Inputs!$F$89*L27</f>
        <v/>
      </c>
      <c r="M37" s="19">
        <f>Inputs!$F$89*M27</f>
        <v/>
      </c>
      <c r="N37" s="19">
        <f>Inputs!$F$89*N27</f>
        <v/>
      </c>
      <c r="O37" s="19">
        <f>Inputs!$F$89*O27</f>
        <v/>
      </c>
      <c r="P37" s="19">
        <f>Inputs!$F$89*P27</f>
        <v/>
      </c>
      <c r="Q37" s="19">
        <f>Inputs!$F$89*Q27</f>
        <v/>
      </c>
      <c r="R37" s="19">
        <f>Inputs!$F$89*R27</f>
        <v/>
      </c>
      <c r="S37" s="19">
        <f>Inputs!$F$89*S27</f>
        <v/>
      </c>
      <c r="T37" s="19">
        <f>Inputs!$F$89*T27</f>
        <v/>
      </c>
      <c r="U37" s="19">
        <f>Inputs!$F$89*U27</f>
        <v/>
      </c>
      <c r="V37" s="19">
        <f>Inputs!$F$89*V27</f>
        <v/>
      </c>
      <c r="W37" s="19">
        <f>Inputs!$F$89*W27</f>
        <v/>
      </c>
      <c r="X37" s="19">
        <f>Inputs!$F$89*X27</f>
        <v/>
      </c>
      <c r="Y37" s="19">
        <f>Inputs!$F$89*Y27</f>
        <v/>
      </c>
      <c r="Z37" s="19">
        <f>Inputs!$F$89*Z27</f>
        <v/>
      </c>
      <c r="AA37" s="19">
        <f>Inputs!$F$89*AA27</f>
        <v/>
      </c>
      <c r="AB37" s="19">
        <f>Inputs!$F$89*AB27</f>
        <v/>
      </c>
      <c r="AC37" s="19">
        <f>Inputs!$F$89*AC27</f>
        <v/>
      </c>
      <c r="AD37" s="19">
        <f>Inputs!$F$89*AD27</f>
        <v/>
      </c>
      <c r="AE37" s="19">
        <f>Inputs!$F$89*AE27</f>
        <v/>
      </c>
      <c r="AF37" s="19">
        <f>Inputs!$F$89*AF27</f>
        <v/>
      </c>
      <c r="AG37" s="19">
        <f>Inputs!$F$89*AG27</f>
        <v/>
      </c>
      <c r="AH37" s="19">
        <f>Inputs!$F$89*AH27</f>
        <v/>
      </c>
      <c r="AI37" s="19">
        <f>Inputs!$F$89*AI27</f>
        <v/>
      </c>
      <c r="AJ37" s="19">
        <f>Inputs!$F$89*AJ27</f>
        <v/>
      </c>
      <c r="AK37" s="19">
        <f>Inputs!$F$89*AK27</f>
        <v/>
      </c>
      <c r="AL37" s="19">
        <f>Inputs!$F$89*AL27</f>
        <v/>
      </c>
      <c r="AM37" s="19">
        <f>Inputs!$F$89*AM27</f>
        <v/>
      </c>
      <c r="AN37" s="19">
        <f>Inputs!$F$89*AN27</f>
        <v/>
      </c>
      <c r="AO37" s="19">
        <f>Inputs!$F$89*AO27</f>
        <v/>
      </c>
      <c r="AP37" s="19">
        <f>Inputs!$F$89*AP27</f>
        <v/>
      </c>
      <c r="AQ37" s="19">
        <f>Inputs!$F$89*AQ27</f>
        <v/>
      </c>
      <c r="AR37" s="19">
        <f>Inputs!$F$89*AR27</f>
        <v/>
      </c>
      <c r="AS37" s="19">
        <f>Inputs!$F$89*AS27</f>
        <v/>
      </c>
      <c r="AT37" s="19">
        <f>Inputs!$F$89*AT27</f>
        <v/>
      </c>
      <c r="AU37" s="19">
        <f>Inputs!$F$89*AU27</f>
        <v/>
      </c>
      <c r="AV37" s="19">
        <f>Inputs!$F$89*AV27</f>
        <v/>
      </c>
      <c r="AW37" s="19">
        <f>Inputs!$F$89*AW27</f>
        <v/>
      </c>
      <c r="AX37" s="19">
        <f>Inputs!$F$89*AX27</f>
        <v/>
      </c>
      <c r="AY37" s="19">
        <f>Inputs!$F$89*AY27</f>
        <v/>
      </c>
      <c r="AZ37" s="19">
        <f>Inputs!$F$89*AZ27</f>
        <v/>
      </c>
      <c r="BA37" s="19">
        <f>Inputs!$F$89*BA27</f>
        <v/>
      </c>
      <c r="BB37" s="19">
        <f>Inputs!$F$89*BB27</f>
        <v/>
      </c>
      <c r="BC37" s="19">
        <f>Inputs!$F$89*BC27</f>
        <v/>
      </c>
      <c r="BD37" s="19">
        <f>Inputs!$F$89*BD27</f>
        <v/>
      </c>
      <c r="BE37" s="19">
        <f>Inputs!$F$89*BE27</f>
        <v/>
      </c>
      <c r="BF37" s="19">
        <f>Inputs!$F$89*BF27</f>
        <v/>
      </c>
      <c r="BG37" s="19">
        <f>Inputs!$F$89*BG27</f>
        <v/>
      </c>
      <c r="BH37" s="19">
        <f>Inputs!$F$89*BH27</f>
        <v/>
      </c>
      <c r="BI37" s="19">
        <f>Inputs!$F$89*BI27</f>
        <v/>
      </c>
      <c r="BJ37" s="19">
        <f>Inputs!$F$89*BJ27</f>
        <v/>
      </c>
      <c r="BK37" s="19">
        <f>Inputs!$F$89*BK27</f>
        <v/>
      </c>
      <c r="BL37" s="19">
        <f>Inputs!$F$89*BL27</f>
        <v/>
      </c>
      <c r="BM37" s="19">
        <f>Inputs!$F$89*BM27</f>
        <v/>
      </c>
      <c r="BN37" s="19">
        <f>Inputs!$F$89*BN27</f>
        <v/>
      </c>
      <c r="BO37" s="19">
        <f>Inputs!$F$89*BO27</f>
        <v/>
      </c>
      <c r="BP37" s="19">
        <f>Inputs!$F$89*BP27</f>
        <v/>
      </c>
      <c r="BQ37" s="19">
        <f>Inputs!$F$89*BQ27</f>
        <v/>
      </c>
      <c r="BR37" s="19">
        <f>Inputs!$F$89*BR27</f>
        <v/>
      </c>
      <c r="BS37" s="19">
        <f>Inputs!$F$89*BS27</f>
        <v/>
      </c>
      <c r="BT37" s="19">
        <f>Inputs!$F$89*BT27</f>
        <v/>
      </c>
      <c r="BU37" s="19">
        <f>Inputs!$F$89*BU27</f>
        <v/>
      </c>
      <c r="BV37" s="19">
        <f>Inputs!$F$89*BV27</f>
        <v/>
      </c>
      <c r="BW37" s="19">
        <f>Inputs!$F$89*BW27</f>
        <v/>
      </c>
      <c r="BX37" s="19">
        <f>Inputs!$F$89*BX27</f>
        <v/>
      </c>
      <c r="BY37" s="19">
        <f>Inputs!$F$89*BY27</f>
        <v/>
      </c>
      <c r="BZ37" s="19">
        <f>Inputs!$F$89*BZ27</f>
        <v/>
      </c>
      <c r="CA37" s="19">
        <f>Inputs!$F$89*CA27</f>
        <v/>
      </c>
      <c r="CB37" s="19">
        <f>Inputs!$F$89*CB27</f>
        <v/>
      </c>
      <c r="CC37" s="19">
        <f>Inputs!$F$89*CC27</f>
        <v/>
      </c>
      <c r="CD37" s="19">
        <f>Inputs!$F$89*CD27</f>
        <v/>
      </c>
      <c r="CE37" s="19">
        <f>Inputs!$F$89*CE27</f>
        <v/>
      </c>
      <c r="CF37" s="19">
        <f>Inputs!$F$89*CF27</f>
        <v/>
      </c>
      <c r="CG37" s="19">
        <f>Inputs!$F$89*CG27</f>
        <v/>
      </c>
      <c r="CH37" s="19">
        <f>Inputs!$F$89*CH27</f>
        <v/>
      </c>
      <c r="CI37" s="19">
        <f>Inputs!$F$89*CI27</f>
        <v/>
      </c>
      <c r="CJ37" s="19">
        <f>Inputs!$F$89*CJ27</f>
        <v/>
      </c>
      <c r="CK37" s="19">
        <f>Inputs!$F$89*CK27</f>
        <v/>
      </c>
      <c r="CL37" s="19">
        <f>Inputs!$F$89*CL27</f>
        <v/>
      </c>
      <c r="CM37" s="19">
        <f>Inputs!$F$89*CM27</f>
        <v/>
      </c>
      <c r="CN37" s="19">
        <f>Inputs!$F$89*CN27</f>
        <v/>
      </c>
      <c r="CO37" s="19">
        <f>Inputs!$F$89*CO27</f>
        <v/>
      </c>
      <c r="CP37" s="19">
        <f>Inputs!$F$89*CP27</f>
        <v/>
      </c>
      <c r="CQ37" s="19">
        <f>Inputs!$F$89*CQ27</f>
        <v/>
      </c>
      <c r="CR37" s="19">
        <f>Inputs!$F$89*CR27</f>
        <v/>
      </c>
      <c r="CS37" s="19">
        <f>Inputs!$F$89*CS27</f>
        <v/>
      </c>
      <c r="CT37" s="19">
        <f>Inputs!$F$89*CT27</f>
        <v/>
      </c>
      <c r="CU37" s="19">
        <f>Inputs!$F$89*CU27</f>
        <v/>
      </c>
      <c r="CV37" s="19">
        <f>Inputs!$F$89*CV27</f>
        <v/>
      </c>
      <c r="CW37" s="19">
        <f>Inputs!$F$89*CW27</f>
        <v/>
      </c>
      <c r="CX37" s="19">
        <f>Inputs!$F$89*CX27</f>
        <v/>
      </c>
      <c r="CY37" s="19">
        <f>Inputs!$F$89*CY27</f>
        <v/>
      </c>
      <c r="CZ37" s="19">
        <f>Inputs!$F$89*CZ27</f>
        <v/>
      </c>
      <c r="DA37" s="19">
        <f>Inputs!$F$89*DA27</f>
        <v/>
      </c>
      <c r="DB37" s="19">
        <f>Inputs!$F$89*DB27</f>
        <v/>
      </c>
    </row>
    <row r="38">
      <c r="D38" t="inlineStr">
        <is>
          <t>Equity: shareholder loans</t>
        </is>
      </c>
      <c r="E38" t="inlineStr">
        <is>
          <t>ARD m</t>
        </is>
      </c>
      <c r="G38" s="19">
        <f>SUM(J38:DB38)</f>
        <v/>
      </c>
      <c r="J38" s="19">
        <f>J27-J37</f>
        <v/>
      </c>
      <c r="K38" s="19">
        <f>K27-K37</f>
        <v/>
      </c>
      <c r="L38" s="19">
        <f>L27-L37</f>
        <v/>
      </c>
      <c r="M38" s="19">
        <f>M27-M37</f>
        <v/>
      </c>
      <c r="N38" s="19">
        <f>N27-N37</f>
        <v/>
      </c>
      <c r="O38" s="19">
        <f>O27-O37</f>
        <v/>
      </c>
      <c r="P38" s="19">
        <f>P27-P37</f>
        <v/>
      </c>
      <c r="Q38" s="19">
        <f>Q27-Q37</f>
        <v/>
      </c>
      <c r="R38" s="19">
        <f>R27-R37</f>
        <v/>
      </c>
      <c r="S38" s="19">
        <f>S27-S37</f>
        <v/>
      </c>
      <c r="T38" s="19">
        <f>T27-T37</f>
        <v/>
      </c>
      <c r="U38" s="19">
        <f>U27-U37</f>
        <v/>
      </c>
      <c r="V38" s="19">
        <f>V27-V37</f>
        <v/>
      </c>
      <c r="W38" s="19">
        <f>W27-W37</f>
        <v/>
      </c>
      <c r="X38" s="19">
        <f>X27-X37</f>
        <v/>
      </c>
      <c r="Y38" s="19">
        <f>Y27-Y37</f>
        <v/>
      </c>
      <c r="Z38" s="19">
        <f>Z27-Z37</f>
        <v/>
      </c>
      <c r="AA38" s="19">
        <f>AA27-AA37</f>
        <v/>
      </c>
      <c r="AB38" s="19">
        <f>AB27-AB37</f>
        <v/>
      </c>
      <c r="AC38" s="19">
        <f>AC27-AC37</f>
        <v/>
      </c>
      <c r="AD38" s="19">
        <f>AD27-AD37</f>
        <v/>
      </c>
      <c r="AE38" s="19">
        <f>AE27-AE37</f>
        <v/>
      </c>
      <c r="AF38" s="19">
        <f>AF27-AF37</f>
        <v/>
      </c>
      <c r="AG38" s="19">
        <f>AG27-AG37</f>
        <v/>
      </c>
      <c r="AH38" s="19">
        <f>AH27-AH37</f>
        <v/>
      </c>
      <c r="AI38" s="19">
        <f>AI27-AI37</f>
        <v/>
      </c>
      <c r="AJ38" s="19">
        <f>AJ27-AJ37</f>
        <v/>
      </c>
      <c r="AK38" s="19">
        <f>AK27-AK37</f>
        <v/>
      </c>
      <c r="AL38" s="19">
        <f>AL27-AL37</f>
        <v/>
      </c>
      <c r="AM38" s="19">
        <f>AM27-AM37</f>
        <v/>
      </c>
      <c r="AN38" s="19">
        <f>AN27-AN37</f>
        <v/>
      </c>
      <c r="AO38" s="19">
        <f>AO27-AO37</f>
        <v/>
      </c>
      <c r="AP38" s="19">
        <f>AP27-AP37</f>
        <v/>
      </c>
      <c r="AQ38" s="19">
        <f>AQ27-AQ37</f>
        <v/>
      </c>
      <c r="AR38" s="19">
        <f>AR27-AR37</f>
        <v/>
      </c>
      <c r="AS38" s="19">
        <f>AS27-AS37</f>
        <v/>
      </c>
      <c r="AT38" s="19">
        <f>AT27-AT37</f>
        <v/>
      </c>
      <c r="AU38" s="19">
        <f>AU27-AU37</f>
        <v/>
      </c>
      <c r="AV38" s="19">
        <f>AV27-AV37</f>
        <v/>
      </c>
      <c r="AW38" s="19">
        <f>AW27-AW37</f>
        <v/>
      </c>
      <c r="AX38" s="19">
        <f>AX27-AX37</f>
        <v/>
      </c>
      <c r="AY38" s="19">
        <f>AY27-AY37</f>
        <v/>
      </c>
      <c r="AZ38" s="19">
        <f>AZ27-AZ37</f>
        <v/>
      </c>
      <c r="BA38" s="19">
        <f>BA27-BA37</f>
        <v/>
      </c>
      <c r="BB38" s="19">
        <f>BB27-BB37</f>
        <v/>
      </c>
      <c r="BC38" s="19">
        <f>BC27-BC37</f>
        <v/>
      </c>
      <c r="BD38" s="19">
        <f>BD27-BD37</f>
        <v/>
      </c>
      <c r="BE38" s="19">
        <f>BE27-BE37</f>
        <v/>
      </c>
      <c r="BF38" s="19">
        <f>BF27-BF37</f>
        <v/>
      </c>
      <c r="BG38" s="19">
        <f>BG27-BG37</f>
        <v/>
      </c>
      <c r="BH38" s="19">
        <f>BH27-BH37</f>
        <v/>
      </c>
      <c r="BI38" s="19">
        <f>BI27-BI37</f>
        <v/>
      </c>
      <c r="BJ38" s="19">
        <f>BJ27-BJ37</f>
        <v/>
      </c>
      <c r="BK38" s="19">
        <f>BK27-BK37</f>
        <v/>
      </c>
      <c r="BL38" s="19">
        <f>BL27-BL37</f>
        <v/>
      </c>
      <c r="BM38" s="19">
        <f>BM27-BM37</f>
        <v/>
      </c>
      <c r="BN38" s="19">
        <f>BN27-BN37</f>
        <v/>
      </c>
      <c r="BO38" s="19">
        <f>BO27-BO37</f>
        <v/>
      </c>
      <c r="BP38" s="19">
        <f>BP27-BP37</f>
        <v/>
      </c>
      <c r="BQ38" s="19">
        <f>BQ27-BQ37</f>
        <v/>
      </c>
      <c r="BR38" s="19">
        <f>BR27-BR37</f>
        <v/>
      </c>
      <c r="BS38" s="19">
        <f>BS27-BS37</f>
        <v/>
      </c>
      <c r="BT38" s="19">
        <f>BT27-BT37</f>
        <v/>
      </c>
      <c r="BU38" s="19">
        <f>BU27-BU37</f>
        <v/>
      </c>
      <c r="BV38" s="19">
        <f>BV27-BV37</f>
        <v/>
      </c>
      <c r="BW38" s="19">
        <f>BW27-BW37</f>
        <v/>
      </c>
      <c r="BX38" s="19">
        <f>BX27-BX37</f>
        <v/>
      </c>
      <c r="BY38" s="19">
        <f>BY27-BY37</f>
        <v/>
      </c>
      <c r="BZ38" s="19">
        <f>BZ27-BZ37</f>
        <v/>
      </c>
      <c r="CA38" s="19">
        <f>CA27-CA37</f>
        <v/>
      </c>
      <c r="CB38" s="19">
        <f>CB27-CB37</f>
        <v/>
      </c>
      <c r="CC38" s="19">
        <f>CC27-CC37</f>
        <v/>
      </c>
      <c r="CD38" s="19">
        <f>CD27-CD37</f>
        <v/>
      </c>
      <c r="CE38" s="19">
        <f>CE27-CE37</f>
        <v/>
      </c>
      <c r="CF38" s="19">
        <f>CF27-CF37</f>
        <v/>
      </c>
      <c r="CG38" s="19">
        <f>CG27-CG37</f>
        <v/>
      </c>
      <c r="CH38" s="19">
        <f>CH27-CH37</f>
        <v/>
      </c>
      <c r="CI38" s="19">
        <f>CI27-CI37</f>
        <v/>
      </c>
      <c r="CJ38" s="19">
        <f>CJ27-CJ37</f>
        <v/>
      </c>
      <c r="CK38" s="19">
        <f>CK27-CK37</f>
        <v/>
      </c>
      <c r="CL38" s="19">
        <f>CL27-CL37</f>
        <v/>
      </c>
      <c r="CM38" s="19">
        <f>CM27-CM37</f>
        <v/>
      </c>
      <c r="CN38" s="19">
        <f>CN27-CN37</f>
        <v/>
      </c>
      <c r="CO38" s="19">
        <f>CO27-CO37</f>
        <v/>
      </c>
      <c r="CP38" s="19">
        <f>CP27-CP37</f>
        <v/>
      </c>
      <c r="CQ38" s="19">
        <f>CQ27-CQ37</f>
        <v/>
      </c>
      <c r="CR38" s="19">
        <f>CR27-CR37</f>
        <v/>
      </c>
      <c r="CS38" s="19">
        <f>CS27-CS37</f>
        <v/>
      </c>
      <c r="CT38" s="19">
        <f>CT27-CT37</f>
        <v/>
      </c>
      <c r="CU38" s="19">
        <f>CU27-CU37</f>
        <v/>
      </c>
      <c r="CV38" s="19">
        <f>CV27-CV37</f>
        <v/>
      </c>
      <c r="CW38" s="19">
        <f>CW27-CW37</f>
        <v/>
      </c>
      <c r="CX38" s="19">
        <f>CX27-CX37</f>
        <v/>
      </c>
      <c r="CY38" s="19">
        <f>CY27-CY37</f>
        <v/>
      </c>
      <c r="CZ38" s="19">
        <f>CZ27-CZ37</f>
        <v/>
      </c>
      <c r="DA38" s="19">
        <f>DA27-DA37</f>
        <v/>
      </c>
      <c r="DB38" s="19">
        <f>DB27-DB37</f>
        <v/>
      </c>
    </row>
    <row r="39">
      <c r="D39" t="inlineStr">
        <is>
          <t>State contribution received (repays the bridge)</t>
        </is>
      </c>
      <c r="E39" t="inlineStr">
        <is>
          <t>ARD m</t>
        </is>
      </c>
      <c r="G39" s="19">
        <f>SUM(J39:DB39)</f>
        <v/>
      </c>
      <c r="J39" s="19">
        <f>Inputs!$F$228*Time!J27</f>
        <v/>
      </c>
      <c r="K39" s="19">
        <f>Inputs!$F$228*Time!K27</f>
        <v/>
      </c>
      <c r="L39" s="19">
        <f>Inputs!$F$228*Time!L27</f>
        <v/>
      </c>
      <c r="M39" s="19">
        <f>Inputs!$F$228*Time!M27</f>
        <v/>
      </c>
      <c r="N39" s="19">
        <f>Inputs!$F$228*Time!N27</f>
        <v/>
      </c>
      <c r="O39" s="19">
        <f>Inputs!$F$228*Time!O27</f>
        <v/>
      </c>
      <c r="P39" s="19">
        <f>Inputs!$F$228*Time!P27</f>
        <v/>
      </c>
      <c r="Q39" s="19">
        <f>Inputs!$F$228*Time!Q27</f>
        <v/>
      </c>
      <c r="R39" s="19">
        <f>Inputs!$F$228*Time!R27</f>
        <v/>
      </c>
      <c r="S39" s="19">
        <f>Inputs!$F$228*Time!S27</f>
        <v/>
      </c>
      <c r="T39" s="19">
        <f>Inputs!$F$228*Time!T27</f>
        <v/>
      </c>
      <c r="U39" s="19">
        <f>Inputs!$F$228*Time!U27</f>
        <v/>
      </c>
      <c r="V39" s="19">
        <f>Inputs!$F$228*Time!V27</f>
        <v/>
      </c>
      <c r="W39" s="19">
        <f>Inputs!$F$228*Time!W27</f>
        <v/>
      </c>
      <c r="X39" s="19">
        <f>Inputs!$F$228*Time!X27</f>
        <v/>
      </c>
      <c r="Y39" s="19">
        <f>Inputs!$F$228*Time!Y27</f>
        <v/>
      </c>
      <c r="Z39" s="19">
        <f>Inputs!$F$228*Time!Z27</f>
        <v/>
      </c>
      <c r="AA39" s="19">
        <f>Inputs!$F$228*Time!AA27</f>
        <v/>
      </c>
      <c r="AB39" s="19">
        <f>Inputs!$F$228*Time!AB27</f>
        <v/>
      </c>
      <c r="AC39" s="19">
        <f>Inputs!$F$228*Time!AC27</f>
        <v/>
      </c>
      <c r="AD39" s="19">
        <f>Inputs!$F$228*Time!AD27</f>
        <v/>
      </c>
      <c r="AE39" s="19">
        <f>Inputs!$F$228*Time!AE27</f>
        <v/>
      </c>
      <c r="AF39" s="19">
        <f>Inputs!$F$228*Time!AF27</f>
        <v/>
      </c>
      <c r="AG39" s="19">
        <f>Inputs!$F$228*Time!AG27</f>
        <v/>
      </c>
      <c r="AH39" s="19">
        <f>Inputs!$F$228*Time!AH27</f>
        <v/>
      </c>
      <c r="AI39" s="19">
        <f>Inputs!$F$228*Time!AI27</f>
        <v/>
      </c>
      <c r="AJ39" s="19">
        <f>Inputs!$F$228*Time!AJ27</f>
        <v/>
      </c>
      <c r="AK39" s="19">
        <f>Inputs!$F$228*Time!AK27</f>
        <v/>
      </c>
      <c r="AL39" s="19">
        <f>Inputs!$F$228*Time!AL27</f>
        <v/>
      </c>
      <c r="AM39" s="19">
        <f>Inputs!$F$228*Time!AM27</f>
        <v/>
      </c>
      <c r="AN39" s="19">
        <f>Inputs!$F$228*Time!AN27</f>
        <v/>
      </c>
      <c r="AO39" s="19">
        <f>Inputs!$F$228*Time!AO27</f>
        <v/>
      </c>
      <c r="AP39" s="19">
        <f>Inputs!$F$228*Time!AP27</f>
        <v/>
      </c>
      <c r="AQ39" s="19">
        <f>Inputs!$F$228*Time!AQ27</f>
        <v/>
      </c>
      <c r="AR39" s="19">
        <f>Inputs!$F$228*Time!AR27</f>
        <v/>
      </c>
      <c r="AS39" s="19">
        <f>Inputs!$F$228*Time!AS27</f>
        <v/>
      </c>
      <c r="AT39" s="19">
        <f>Inputs!$F$228*Time!AT27</f>
        <v/>
      </c>
      <c r="AU39" s="19">
        <f>Inputs!$F$228*Time!AU27</f>
        <v/>
      </c>
      <c r="AV39" s="19">
        <f>Inputs!$F$228*Time!AV27</f>
        <v/>
      </c>
      <c r="AW39" s="19">
        <f>Inputs!$F$228*Time!AW27</f>
        <v/>
      </c>
      <c r="AX39" s="19">
        <f>Inputs!$F$228*Time!AX27</f>
        <v/>
      </c>
      <c r="AY39" s="19">
        <f>Inputs!$F$228*Time!AY27</f>
        <v/>
      </c>
      <c r="AZ39" s="19">
        <f>Inputs!$F$228*Time!AZ27</f>
        <v/>
      </c>
      <c r="BA39" s="19">
        <f>Inputs!$F$228*Time!BA27</f>
        <v/>
      </c>
      <c r="BB39" s="19">
        <f>Inputs!$F$228*Time!BB27</f>
        <v/>
      </c>
      <c r="BC39" s="19">
        <f>Inputs!$F$228*Time!BC27</f>
        <v/>
      </c>
      <c r="BD39" s="19">
        <f>Inputs!$F$228*Time!BD27</f>
        <v/>
      </c>
      <c r="BE39" s="19">
        <f>Inputs!$F$228*Time!BE27</f>
        <v/>
      </c>
      <c r="BF39" s="19">
        <f>Inputs!$F$228*Time!BF27</f>
        <v/>
      </c>
      <c r="BG39" s="19">
        <f>Inputs!$F$228*Time!BG27</f>
        <v/>
      </c>
      <c r="BH39" s="19">
        <f>Inputs!$F$228*Time!BH27</f>
        <v/>
      </c>
      <c r="BI39" s="19">
        <f>Inputs!$F$228*Time!BI27</f>
        <v/>
      </c>
      <c r="BJ39" s="19">
        <f>Inputs!$F$228*Time!BJ27</f>
        <v/>
      </c>
      <c r="BK39" s="19">
        <f>Inputs!$F$228*Time!BK27</f>
        <v/>
      </c>
      <c r="BL39" s="19">
        <f>Inputs!$F$228*Time!BL27</f>
        <v/>
      </c>
      <c r="BM39" s="19">
        <f>Inputs!$F$228*Time!BM27</f>
        <v/>
      </c>
      <c r="BN39" s="19">
        <f>Inputs!$F$228*Time!BN27</f>
        <v/>
      </c>
      <c r="BO39" s="19">
        <f>Inputs!$F$228*Time!BO27</f>
        <v/>
      </c>
      <c r="BP39" s="19">
        <f>Inputs!$F$228*Time!BP27</f>
        <v/>
      </c>
      <c r="BQ39" s="19">
        <f>Inputs!$F$228*Time!BQ27</f>
        <v/>
      </c>
      <c r="BR39" s="19">
        <f>Inputs!$F$228*Time!BR27</f>
        <v/>
      </c>
      <c r="BS39" s="19">
        <f>Inputs!$F$228*Time!BS27</f>
        <v/>
      </c>
      <c r="BT39" s="19">
        <f>Inputs!$F$228*Time!BT27</f>
        <v/>
      </c>
      <c r="BU39" s="19">
        <f>Inputs!$F$228*Time!BU27</f>
        <v/>
      </c>
      <c r="BV39" s="19">
        <f>Inputs!$F$228*Time!BV27</f>
        <v/>
      </c>
      <c r="BW39" s="19">
        <f>Inputs!$F$228*Time!BW27</f>
        <v/>
      </c>
      <c r="BX39" s="19">
        <f>Inputs!$F$228*Time!BX27</f>
        <v/>
      </c>
      <c r="BY39" s="19">
        <f>Inputs!$F$228*Time!BY27</f>
        <v/>
      </c>
      <c r="BZ39" s="19">
        <f>Inputs!$F$228*Time!BZ27</f>
        <v/>
      </c>
      <c r="CA39" s="19">
        <f>Inputs!$F$228*Time!CA27</f>
        <v/>
      </c>
      <c r="CB39" s="19">
        <f>Inputs!$F$228*Time!CB27</f>
        <v/>
      </c>
      <c r="CC39" s="19">
        <f>Inputs!$F$228*Time!CC27</f>
        <v/>
      </c>
      <c r="CD39" s="19">
        <f>Inputs!$F$228*Time!CD27</f>
        <v/>
      </c>
      <c r="CE39" s="19">
        <f>Inputs!$F$228*Time!CE27</f>
        <v/>
      </c>
      <c r="CF39" s="19">
        <f>Inputs!$F$228*Time!CF27</f>
        <v/>
      </c>
      <c r="CG39" s="19">
        <f>Inputs!$F$228*Time!CG27</f>
        <v/>
      </c>
      <c r="CH39" s="19">
        <f>Inputs!$F$228*Time!CH27</f>
        <v/>
      </c>
      <c r="CI39" s="19">
        <f>Inputs!$F$228*Time!CI27</f>
        <v/>
      </c>
      <c r="CJ39" s="19">
        <f>Inputs!$F$228*Time!CJ27</f>
        <v/>
      </c>
      <c r="CK39" s="19">
        <f>Inputs!$F$228*Time!CK27</f>
        <v/>
      </c>
      <c r="CL39" s="19">
        <f>Inputs!$F$228*Time!CL27</f>
        <v/>
      </c>
      <c r="CM39" s="19">
        <f>Inputs!$F$228*Time!CM27</f>
        <v/>
      </c>
      <c r="CN39" s="19">
        <f>Inputs!$F$228*Time!CN27</f>
        <v/>
      </c>
      <c r="CO39" s="19">
        <f>Inputs!$F$228*Time!CO27</f>
        <v/>
      </c>
      <c r="CP39" s="19">
        <f>Inputs!$F$228*Time!CP27</f>
        <v/>
      </c>
      <c r="CQ39" s="19">
        <f>Inputs!$F$228*Time!CQ27</f>
        <v/>
      </c>
      <c r="CR39" s="19">
        <f>Inputs!$F$228*Time!CR27</f>
        <v/>
      </c>
      <c r="CS39" s="19">
        <f>Inputs!$F$228*Time!CS27</f>
        <v/>
      </c>
      <c r="CT39" s="19">
        <f>Inputs!$F$228*Time!CT27</f>
        <v/>
      </c>
      <c r="CU39" s="19">
        <f>Inputs!$F$228*Time!CU27</f>
        <v/>
      </c>
      <c r="CV39" s="19">
        <f>Inputs!$F$228*Time!CV27</f>
        <v/>
      </c>
      <c r="CW39" s="19">
        <f>Inputs!$F$228*Time!CW27</f>
        <v/>
      </c>
      <c r="CX39" s="19">
        <f>Inputs!$F$228*Time!CX27</f>
        <v/>
      </c>
      <c r="CY39" s="19">
        <f>Inputs!$F$228*Time!CY27</f>
        <v/>
      </c>
      <c r="CZ39" s="19">
        <f>Inputs!$F$228*Time!CZ27</f>
        <v/>
      </c>
      <c r="DA39" s="19">
        <f>Inputs!$F$228*Time!DA27</f>
        <v/>
      </c>
      <c r="DB39" s="19">
        <f>Inputs!$F$228*Time!DB27</f>
        <v/>
      </c>
    </row>
    <row r="40">
      <c r="D40" t="inlineStr">
        <is>
          <t>Contribution bridge: closing</t>
        </is>
      </c>
      <c r="E40" t="inlineStr">
        <is>
          <t>ARD m</t>
        </is>
      </c>
      <c r="J40" s="19">
        <f>J17+J31-J39</f>
        <v/>
      </c>
      <c r="K40" s="19">
        <f>K17+K31-K39</f>
        <v/>
      </c>
      <c r="L40" s="19">
        <f>L17+L31-L39</f>
        <v/>
      </c>
      <c r="M40" s="19">
        <f>M17+M31-M39</f>
        <v/>
      </c>
      <c r="N40" s="19">
        <f>N17+N31-N39</f>
        <v/>
      </c>
      <c r="O40" s="19">
        <f>O17+O31-O39</f>
        <v/>
      </c>
      <c r="P40" s="19">
        <f>P17+P31-P39</f>
        <v/>
      </c>
      <c r="Q40" s="19">
        <f>Q17+Q31-Q39</f>
        <v/>
      </c>
      <c r="R40" s="19">
        <f>R17+R31-R39</f>
        <v/>
      </c>
      <c r="S40" s="19">
        <f>S17+S31-S39</f>
        <v/>
      </c>
      <c r="T40" s="19">
        <f>T17+T31-T39</f>
        <v/>
      </c>
      <c r="U40" s="19">
        <f>U17+U31-U39</f>
        <v/>
      </c>
      <c r="V40" s="19">
        <f>V17+V31-V39</f>
        <v/>
      </c>
      <c r="W40" s="19">
        <f>W17+W31-W39</f>
        <v/>
      </c>
      <c r="X40" s="19">
        <f>X17+X31-X39</f>
        <v/>
      </c>
      <c r="Y40" s="19">
        <f>Y17+Y31-Y39</f>
        <v/>
      </c>
      <c r="Z40" s="19">
        <f>Z17+Z31-Z39</f>
        <v/>
      </c>
      <c r="AA40" s="19">
        <f>AA17+AA31-AA39</f>
        <v/>
      </c>
      <c r="AB40" s="19">
        <f>AB17+AB31-AB39</f>
        <v/>
      </c>
      <c r="AC40" s="19">
        <f>AC17+AC31-AC39</f>
        <v/>
      </c>
      <c r="AD40" s="19">
        <f>AD17+AD31-AD39</f>
        <v/>
      </c>
      <c r="AE40" s="19">
        <f>AE17+AE31-AE39</f>
        <v/>
      </c>
      <c r="AF40" s="19">
        <f>AF17+AF31-AF39</f>
        <v/>
      </c>
      <c r="AG40" s="19">
        <f>AG17+AG31-AG39</f>
        <v/>
      </c>
      <c r="AH40" s="19">
        <f>AH17+AH31-AH39</f>
        <v/>
      </c>
      <c r="AI40" s="19">
        <f>AI17+AI31-AI39</f>
        <v/>
      </c>
      <c r="AJ40" s="19">
        <f>AJ17+AJ31-AJ39</f>
        <v/>
      </c>
      <c r="AK40" s="19">
        <f>AK17+AK31-AK39</f>
        <v/>
      </c>
      <c r="AL40" s="19">
        <f>AL17+AL31-AL39</f>
        <v/>
      </c>
      <c r="AM40" s="19">
        <f>AM17+AM31-AM39</f>
        <v/>
      </c>
      <c r="AN40" s="19">
        <f>AN17+AN31-AN39</f>
        <v/>
      </c>
      <c r="AO40" s="19">
        <f>AO17+AO31-AO39</f>
        <v/>
      </c>
      <c r="AP40" s="19">
        <f>AP17+AP31-AP39</f>
        <v/>
      </c>
      <c r="AQ40" s="19">
        <f>AQ17+AQ31-AQ39</f>
        <v/>
      </c>
      <c r="AR40" s="19">
        <f>AR17+AR31-AR39</f>
        <v/>
      </c>
      <c r="AS40" s="19">
        <f>AS17+AS31-AS39</f>
        <v/>
      </c>
      <c r="AT40" s="19">
        <f>AT17+AT31-AT39</f>
        <v/>
      </c>
      <c r="AU40" s="19">
        <f>AU17+AU31-AU39</f>
        <v/>
      </c>
      <c r="AV40" s="19">
        <f>AV17+AV31-AV39</f>
        <v/>
      </c>
      <c r="AW40" s="19">
        <f>AW17+AW31-AW39</f>
        <v/>
      </c>
      <c r="AX40" s="19">
        <f>AX17+AX31-AX39</f>
        <v/>
      </c>
      <c r="AY40" s="19">
        <f>AY17+AY31-AY39</f>
        <v/>
      </c>
      <c r="AZ40" s="19">
        <f>AZ17+AZ31-AZ39</f>
        <v/>
      </c>
      <c r="BA40" s="19">
        <f>BA17+BA31-BA39</f>
        <v/>
      </c>
      <c r="BB40" s="19">
        <f>BB17+BB31-BB39</f>
        <v/>
      </c>
      <c r="BC40" s="19">
        <f>BC17+BC31-BC39</f>
        <v/>
      </c>
      <c r="BD40" s="19">
        <f>BD17+BD31-BD39</f>
        <v/>
      </c>
      <c r="BE40" s="19">
        <f>BE17+BE31-BE39</f>
        <v/>
      </c>
      <c r="BF40" s="19">
        <f>BF17+BF31-BF39</f>
        <v/>
      </c>
      <c r="BG40" s="19">
        <f>BG17+BG31-BG39</f>
        <v/>
      </c>
      <c r="BH40" s="19">
        <f>BH17+BH31-BH39</f>
        <v/>
      </c>
      <c r="BI40" s="19">
        <f>BI17+BI31-BI39</f>
        <v/>
      </c>
      <c r="BJ40" s="19">
        <f>BJ17+BJ31-BJ39</f>
        <v/>
      </c>
      <c r="BK40" s="19">
        <f>BK17+BK31-BK39</f>
        <v/>
      </c>
      <c r="BL40" s="19">
        <f>BL17+BL31-BL39</f>
        <v/>
      </c>
      <c r="BM40" s="19">
        <f>BM17+BM31-BM39</f>
        <v/>
      </c>
      <c r="BN40" s="19">
        <f>BN17+BN31-BN39</f>
        <v/>
      </c>
      <c r="BO40" s="19">
        <f>BO17+BO31-BO39</f>
        <v/>
      </c>
      <c r="BP40" s="19">
        <f>BP17+BP31-BP39</f>
        <v/>
      </c>
      <c r="BQ40" s="19">
        <f>BQ17+BQ31-BQ39</f>
        <v/>
      </c>
      <c r="BR40" s="19">
        <f>BR17+BR31-BR39</f>
        <v/>
      </c>
      <c r="BS40" s="19">
        <f>BS17+BS31-BS39</f>
        <v/>
      </c>
      <c r="BT40" s="19">
        <f>BT17+BT31-BT39</f>
        <v/>
      </c>
      <c r="BU40" s="19">
        <f>BU17+BU31-BU39</f>
        <v/>
      </c>
      <c r="BV40" s="19">
        <f>BV17+BV31-BV39</f>
        <v/>
      </c>
      <c r="BW40" s="19">
        <f>BW17+BW31-BW39</f>
        <v/>
      </c>
      <c r="BX40" s="19">
        <f>BX17+BX31-BX39</f>
        <v/>
      </c>
      <c r="BY40" s="19">
        <f>BY17+BY31-BY39</f>
        <v/>
      </c>
      <c r="BZ40" s="19">
        <f>BZ17+BZ31-BZ39</f>
        <v/>
      </c>
      <c r="CA40" s="19">
        <f>CA17+CA31-CA39</f>
        <v/>
      </c>
      <c r="CB40" s="19">
        <f>CB17+CB31-CB39</f>
        <v/>
      </c>
      <c r="CC40" s="19">
        <f>CC17+CC31-CC39</f>
        <v/>
      </c>
      <c r="CD40" s="19">
        <f>CD17+CD31-CD39</f>
        <v/>
      </c>
      <c r="CE40" s="19">
        <f>CE17+CE31-CE39</f>
        <v/>
      </c>
      <c r="CF40" s="19">
        <f>CF17+CF31-CF39</f>
        <v/>
      </c>
      <c r="CG40" s="19">
        <f>CG17+CG31-CG39</f>
        <v/>
      </c>
      <c r="CH40" s="19">
        <f>CH17+CH31-CH39</f>
        <v/>
      </c>
      <c r="CI40" s="19">
        <f>CI17+CI31-CI39</f>
        <v/>
      </c>
      <c r="CJ40" s="19">
        <f>CJ17+CJ31-CJ39</f>
        <v/>
      </c>
      <c r="CK40" s="19">
        <f>CK17+CK31-CK39</f>
        <v/>
      </c>
      <c r="CL40" s="19">
        <f>CL17+CL31-CL39</f>
        <v/>
      </c>
      <c r="CM40" s="19">
        <f>CM17+CM31-CM39</f>
        <v/>
      </c>
      <c r="CN40" s="19">
        <f>CN17+CN31-CN39</f>
        <v/>
      </c>
      <c r="CO40" s="19">
        <f>CO17+CO31-CO39</f>
        <v/>
      </c>
      <c r="CP40" s="19">
        <f>CP17+CP31-CP39</f>
        <v/>
      </c>
      <c r="CQ40" s="19">
        <f>CQ17+CQ31-CQ39</f>
        <v/>
      </c>
      <c r="CR40" s="19">
        <f>CR17+CR31-CR39</f>
        <v/>
      </c>
      <c r="CS40" s="19">
        <f>CS17+CS31-CS39</f>
        <v/>
      </c>
      <c r="CT40" s="19">
        <f>CT17+CT31-CT39</f>
        <v/>
      </c>
      <c r="CU40" s="19">
        <f>CU17+CU31-CU39</f>
        <v/>
      </c>
      <c r="CV40" s="19">
        <f>CV17+CV31-CV39</f>
        <v/>
      </c>
      <c r="CW40" s="19">
        <f>CW17+CW31-CW39</f>
        <v/>
      </c>
      <c r="CX40" s="19">
        <f>CX17+CX31-CX39</f>
        <v/>
      </c>
      <c r="CY40" s="19">
        <f>CY17+CY31-CY39</f>
        <v/>
      </c>
      <c r="CZ40" s="19">
        <f>CZ17+CZ31-CZ39</f>
        <v/>
      </c>
      <c r="DA40" s="19">
        <f>DA17+DA31-DA39</f>
        <v/>
      </c>
      <c r="DB40" s="19">
        <f>DB17+DB31-DB39</f>
        <v/>
      </c>
    </row>
    <row r="41">
      <c r="D41" t="inlineStr">
        <is>
          <t>Capitalized cost (uses less reserves plus capitalized NILO and SHL interest)</t>
        </is>
      </c>
      <c r="E41" t="inlineStr">
        <is>
          <t>ARD m</t>
        </is>
      </c>
      <c r="G41" s="19">
        <f>SUM(J41:DB41)</f>
        <v/>
      </c>
      <c r="J41" s="19">
        <f>(J23-J21-J22+Debt!J97+Waterfall!J54)*Time!J20</f>
        <v/>
      </c>
      <c r="K41" s="19">
        <f>(K23-K21-K22+Debt!K97+Waterfall!K54)*Time!K20</f>
        <v/>
      </c>
      <c r="L41" s="19">
        <f>(L23-L21-L22+Debt!L97+Waterfall!L54)*Time!L20</f>
        <v/>
      </c>
      <c r="M41" s="19">
        <f>(M23-M21-M22+Debt!M97+Waterfall!M54)*Time!M20</f>
        <v/>
      </c>
      <c r="N41" s="19">
        <f>(N23-N21-N22+Debt!N97+Waterfall!N54)*Time!N20</f>
        <v/>
      </c>
      <c r="O41" s="19">
        <f>(O23-O21-O22+Debt!O97+Waterfall!O54)*Time!O20</f>
        <v/>
      </c>
      <c r="P41" s="19">
        <f>(P23-P21-P22+Debt!P97+Waterfall!P54)*Time!P20</f>
        <v/>
      </c>
      <c r="Q41" s="19">
        <f>(Q23-Q21-Q22+Debt!Q97+Waterfall!Q54)*Time!Q20</f>
        <v/>
      </c>
      <c r="R41" s="19">
        <f>(R23-R21-R22+Debt!R97+Waterfall!R54)*Time!R20</f>
        <v/>
      </c>
      <c r="S41" s="19">
        <f>(S23-S21-S22+Debt!S97+Waterfall!S54)*Time!S20</f>
        <v/>
      </c>
      <c r="T41" s="19">
        <f>(T23-T21-T22+Debt!T97+Waterfall!T54)*Time!T20</f>
        <v/>
      </c>
      <c r="U41" s="19">
        <f>(U23-U21-U22+Debt!U97+Waterfall!U54)*Time!U20</f>
        <v/>
      </c>
      <c r="V41" s="19">
        <f>(V23-V21-V22+Debt!V97+Waterfall!V54)*Time!V20</f>
        <v/>
      </c>
      <c r="W41" s="19">
        <f>(W23-W21-W22+Debt!W97+Waterfall!W54)*Time!W20</f>
        <v/>
      </c>
      <c r="X41" s="19">
        <f>(X23-X21-X22+Debt!X97+Waterfall!X54)*Time!X20</f>
        <v/>
      </c>
      <c r="Y41" s="19">
        <f>(Y23-Y21-Y22+Debt!Y97+Waterfall!Y54)*Time!Y20</f>
        <v/>
      </c>
      <c r="Z41" s="19">
        <f>(Z23-Z21-Z22+Debt!Z97+Waterfall!Z54)*Time!Z20</f>
        <v/>
      </c>
      <c r="AA41" s="19">
        <f>(AA23-AA21-AA22+Debt!AA97+Waterfall!AA54)*Time!AA20</f>
        <v/>
      </c>
      <c r="AB41" s="19">
        <f>(AB23-AB21-AB22+Debt!AB97+Waterfall!AB54)*Time!AB20</f>
        <v/>
      </c>
      <c r="AC41" s="19">
        <f>(AC23-AC21-AC22+Debt!AC97+Waterfall!AC54)*Time!AC20</f>
        <v/>
      </c>
      <c r="AD41" s="19">
        <f>(AD23-AD21-AD22+Debt!AD97+Waterfall!AD54)*Time!AD20</f>
        <v/>
      </c>
      <c r="AE41" s="19">
        <f>(AE23-AE21-AE22+Debt!AE97+Waterfall!AE54)*Time!AE20</f>
        <v/>
      </c>
      <c r="AF41" s="19">
        <f>(AF23-AF21-AF22+Debt!AF97+Waterfall!AF54)*Time!AF20</f>
        <v/>
      </c>
      <c r="AG41" s="19">
        <f>(AG23-AG21-AG22+Debt!AG97+Waterfall!AG54)*Time!AG20</f>
        <v/>
      </c>
      <c r="AH41" s="19">
        <f>(AH23-AH21-AH22+Debt!AH97+Waterfall!AH54)*Time!AH20</f>
        <v/>
      </c>
      <c r="AI41" s="19">
        <f>(AI23-AI21-AI22+Debt!AI97+Waterfall!AI54)*Time!AI20</f>
        <v/>
      </c>
      <c r="AJ41" s="19">
        <f>(AJ23-AJ21-AJ22+Debt!AJ97+Waterfall!AJ54)*Time!AJ20</f>
        <v/>
      </c>
      <c r="AK41" s="19">
        <f>(AK23-AK21-AK22+Debt!AK97+Waterfall!AK54)*Time!AK20</f>
        <v/>
      </c>
      <c r="AL41" s="19">
        <f>(AL23-AL21-AL22+Debt!AL97+Waterfall!AL54)*Time!AL20</f>
        <v/>
      </c>
      <c r="AM41" s="19">
        <f>(AM23-AM21-AM22+Debt!AM97+Waterfall!AM54)*Time!AM20</f>
        <v/>
      </c>
      <c r="AN41" s="19">
        <f>(AN23-AN21-AN22+Debt!AN97+Waterfall!AN54)*Time!AN20</f>
        <v/>
      </c>
      <c r="AO41" s="19">
        <f>(AO23-AO21-AO22+Debt!AO97+Waterfall!AO54)*Time!AO20</f>
        <v/>
      </c>
      <c r="AP41" s="19">
        <f>(AP23-AP21-AP22+Debt!AP97+Waterfall!AP54)*Time!AP20</f>
        <v/>
      </c>
      <c r="AQ41" s="19">
        <f>(AQ23-AQ21-AQ22+Debt!AQ97+Waterfall!AQ54)*Time!AQ20</f>
        <v/>
      </c>
      <c r="AR41" s="19">
        <f>(AR23-AR21-AR22+Debt!AR97+Waterfall!AR54)*Time!AR20</f>
        <v/>
      </c>
      <c r="AS41" s="19">
        <f>(AS23-AS21-AS22+Debt!AS97+Waterfall!AS54)*Time!AS20</f>
        <v/>
      </c>
      <c r="AT41" s="19">
        <f>(AT23-AT21-AT22+Debt!AT97+Waterfall!AT54)*Time!AT20</f>
        <v/>
      </c>
      <c r="AU41" s="19">
        <f>(AU23-AU21-AU22+Debt!AU97+Waterfall!AU54)*Time!AU20</f>
        <v/>
      </c>
      <c r="AV41" s="19">
        <f>(AV23-AV21-AV22+Debt!AV97+Waterfall!AV54)*Time!AV20</f>
        <v/>
      </c>
      <c r="AW41" s="19">
        <f>(AW23-AW21-AW22+Debt!AW97+Waterfall!AW54)*Time!AW20</f>
        <v/>
      </c>
      <c r="AX41" s="19">
        <f>(AX23-AX21-AX22+Debt!AX97+Waterfall!AX54)*Time!AX20</f>
        <v/>
      </c>
      <c r="AY41" s="19">
        <f>(AY23-AY21-AY22+Debt!AY97+Waterfall!AY54)*Time!AY20</f>
        <v/>
      </c>
      <c r="AZ41" s="19">
        <f>(AZ23-AZ21-AZ22+Debt!AZ97+Waterfall!AZ54)*Time!AZ20</f>
        <v/>
      </c>
      <c r="BA41" s="19">
        <f>(BA23-BA21-BA22+Debt!BA97+Waterfall!BA54)*Time!BA20</f>
        <v/>
      </c>
      <c r="BB41" s="19">
        <f>(BB23-BB21-BB22+Debt!BB97+Waterfall!BB54)*Time!BB20</f>
        <v/>
      </c>
      <c r="BC41" s="19">
        <f>(BC23-BC21-BC22+Debt!BC97+Waterfall!BC54)*Time!BC20</f>
        <v/>
      </c>
      <c r="BD41" s="19">
        <f>(BD23-BD21-BD22+Debt!BD97+Waterfall!BD54)*Time!BD20</f>
        <v/>
      </c>
      <c r="BE41" s="19">
        <f>(BE23-BE21-BE22+Debt!BE97+Waterfall!BE54)*Time!BE20</f>
        <v/>
      </c>
      <c r="BF41" s="19">
        <f>(BF23-BF21-BF22+Debt!BF97+Waterfall!BF54)*Time!BF20</f>
        <v/>
      </c>
      <c r="BG41" s="19">
        <f>(BG23-BG21-BG22+Debt!BG97+Waterfall!BG54)*Time!BG20</f>
        <v/>
      </c>
      <c r="BH41" s="19">
        <f>(BH23-BH21-BH22+Debt!BH97+Waterfall!BH54)*Time!BH20</f>
        <v/>
      </c>
      <c r="BI41" s="19">
        <f>(BI23-BI21-BI22+Debt!BI97+Waterfall!BI54)*Time!BI20</f>
        <v/>
      </c>
      <c r="BJ41" s="19">
        <f>(BJ23-BJ21-BJ22+Debt!BJ97+Waterfall!BJ54)*Time!BJ20</f>
        <v/>
      </c>
      <c r="BK41" s="19">
        <f>(BK23-BK21-BK22+Debt!BK97+Waterfall!BK54)*Time!BK20</f>
        <v/>
      </c>
      <c r="BL41" s="19">
        <f>(BL23-BL21-BL22+Debt!BL97+Waterfall!BL54)*Time!BL20</f>
        <v/>
      </c>
      <c r="BM41" s="19">
        <f>(BM23-BM21-BM22+Debt!BM97+Waterfall!BM54)*Time!BM20</f>
        <v/>
      </c>
      <c r="BN41" s="19">
        <f>(BN23-BN21-BN22+Debt!BN97+Waterfall!BN54)*Time!BN20</f>
        <v/>
      </c>
      <c r="BO41" s="19">
        <f>(BO23-BO21-BO22+Debt!BO97+Waterfall!BO54)*Time!BO20</f>
        <v/>
      </c>
      <c r="BP41" s="19">
        <f>(BP23-BP21-BP22+Debt!BP97+Waterfall!BP54)*Time!BP20</f>
        <v/>
      </c>
      <c r="BQ41" s="19">
        <f>(BQ23-BQ21-BQ22+Debt!BQ97+Waterfall!BQ54)*Time!BQ20</f>
        <v/>
      </c>
      <c r="BR41" s="19">
        <f>(BR23-BR21-BR22+Debt!BR97+Waterfall!BR54)*Time!BR20</f>
        <v/>
      </c>
      <c r="BS41" s="19">
        <f>(BS23-BS21-BS22+Debt!BS97+Waterfall!BS54)*Time!BS20</f>
        <v/>
      </c>
      <c r="BT41" s="19">
        <f>(BT23-BT21-BT22+Debt!BT97+Waterfall!BT54)*Time!BT20</f>
        <v/>
      </c>
      <c r="BU41" s="19">
        <f>(BU23-BU21-BU22+Debt!BU97+Waterfall!BU54)*Time!BU20</f>
        <v/>
      </c>
      <c r="BV41" s="19">
        <f>(BV23-BV21-BV22+Debt!BV97+Waterfall!BV54)*Time!BV20</f>
        <v/>
      </c>
      <c r="BW41" s="19">
        <f>(BW23-BW21-BW22+Debt!BW97+Waterfall!BW54)*Time!BW20</f>
        <v/>
      </c>
      <c r="BX41" s="19">
        <f>(BX23-BX21-BX22+Debt!BX97+Waterfall!BX54)*Time!BX20</f>
        <v/>
      </c>
      <c r="BY41" s="19">
        <f>(BY23-BY21-BY22+Debt!BY97+Waterfall!BY54)*Time!BY20</f>
        <v/>
      </c>
      <c r="BZ41" s="19">
        <f>(BZ23-BZ21-BZ22+Debt!BZ97+Waterfall!BZ54)*Time!BZ20</f>
        <v/>
      </c>
      <c r="CA41" s="19">
        <f>(CA23-CA21-CA22+Debt!CA97+Waterfall!CA54)*Time!CA20</f>
        <v/>
      </c>
      <c r="CB41" s="19">
        <f>(CB23-CB21-CB22+Debt!CB97+Waterfall!CB54)*Time!CB20</f>
        <v/>
      </c>
      <c r="CC41" s="19">
        <f>(CC23-CC21-CC22+Debt!CC97+Waterfall!CC54)*Time!CC20</f>
        <v/>
      </c>
      <c r="CD41" s="19">
        <f>(CD23-CD21-CD22+Debt!CD97+Waterfall!CD54)*Time!CD20</f>
        <v/>
      </c>
      <c r="CE41" s="19">
        <f>(CE23-CE21-CE22+Debt!CE97+Waterfall!CE54)*Time!CE20</f>
        <v/>
      </c>
      <c r="CF41" s="19">
        <f>(CF23-CF21-CF22+Debt!CF97+Waterfall!CF54)*Time!CF20</f>
        <v/>
      </c>
      <c r="CG41" s="19">
        <f>(CG23-CG21-CG22+Debt!CG97+Waterfall!CG54)*Time!CG20</f>
        <v/>
      </c>
      <c r="CH41" s="19">
        <f>(CH23-CH21-CH22+Debt!CH97+Waterfall!CH54)*Time!CH20</f>
        <v/>
      </c>
      <c r="CI41" s="19">
        <f>(CI23-CI21-CI22+Debt!CI97+Waterfall!CI54)*Time!CI20</f>
        <v/>
      </c>
      <c r="CJ41" s="19">
        <f>(CJ23-CJ21-CJ22+Debt!CJ97+Waterfall!CJ54)*Time!CJ20</f>
        <v/>
      </c>
      <c r="CK41" s="19">
        <f>(CK23-CK21-CK22+Debt!CK97+Waterfall!CK54)*Time!CK20</f>
        <v/>
      </c>
      <c r="CL41" s="19">
        <f>(CL23-CL21-CL22+Debt!CL97+Waterfall!CL54)*Time!CL20</f>
        <v/>
      </c>
      <c r="CM41" s="19">
        <f>(CM23-CM21-CM22+Debt!CM97+Waterfall!CM54)*Time!CM20</f>
        <v/>
      </c>
      <c r="CN41" s="19">
        <f>(CN23-CN21-CN22+Debt!CN97+Waterfall!CN54)*Time!CN20</f>
        <v/>
      </c>
      <c r="CO41" s="19">
        <f>(CO23-CO21-CO22+Debt!CO97+Waterfall!CO54)*Time!CO20</f>
        <v/>
      </c>
      <c r="CP41" s="19">
        <f>(CP23-CP21-CP22+Debt!CP97+Waterfall!CP54)*Time!CP20</f>
        <v/>
      </c>
      <c r="CQ41" s="19">
        <f>(CQ23-CQ21-CQ22+Debt!CQ97+Waterfall!CQ54)*Time!CQ20</f>
        <v/>
      </c>
      <c r="CR41" s="19">
        <f>(CR23-CR21-CR22+Debt!CR97+Waterfall!CR54)*Time!CR20</f>
        <v/>
      </c>
      <c r="CS41" s="19">
        <f>(CS23-CS21-CS22+Debt!CS97+Waterfall!CS54)*Time!CS20</f>
        <v/>
      </c>
      <c r="CT41" s="19">
        <f>(CT23-CT21-CT22+Debt!CT97+Waterfall!CT54)*Time!CT20</f>
        <v/>
      </c>
      <c r="CU41" s="19">
        <f>(CU23-CU21-CU22+Debt!CU97+Waterfall!CU54)*Time!CU20</f>
        <v/>
      </c>
      <c r="CV41" s="19">
        <f>(CV23-CV21-CV22+Debt!CV97+Waterfall!CV54)*Time!CV20</f>
        <v/>
      </c>
      <c r="CW41" s="19">
        <f>(CW23-CW21-CW22+Debt!CW97+Waterfall!CW54)*Time!CW20</f>
        <v/>
      </c>
      <c r="CX41" s="19">
        <f>(CX23-CX21-CX22+Debt!CX97+Waterfall!CX54)*Time!CX20</f>
        <v/>
      </c>
      <c r="CY41" s="19">
        <f>(CY23-CY21-CY22+Debt!CY97+Waterfall!CY54)*Time!CY20</f>
        <v/>
      </c>
      <c r="CZ41" s="19">
        <f>(CZ23-CZ21-CZ22+Debt!CZ97+Waterfall!CZ54)*Time!CZ20</f>
        <v/>
      </c>
      <c r="DA41" s="19">
        <f>(DA23-DA21-DA22+Debt!DA97+Waterfall!DA54)*Time!DA20</f>
        <v/>
      </c>
      <c r="DB41" s="19">
        <f>(DB23-DB21-DB22+Debt!DB97+Waterfall!DB54)*Time!DB20</f>
        <v/>
      </c>
    </row>
    <row r="42">
      <c r="D42" t="inlineStr">
        <is>
          <t>Sources less uses</t>
        </is>
      </c>
      <c r="E42" t="inlineStr">
        <is>
          <t>ARD m</t>
        </is>
      </c>
      <c r="G42" s="19">
        <f>SUM(J42:DB42)</f>
        <v/>
      </c>
      <c r="J42" s="19">
        <f>J27+J31+J32-J23</f>
        <v/>
      </c>
      <c r="K42" s="19">
        <f>K27+K31+K32-K23</f>
        <v/>
      </c>
      <c r="L42" s="19">
        <f>L27+L31+L32-L23</f>
        <v/>
      </c>
      <c r="M42" s="19">
        <f>M27+M31+M32-M23</f>
        <v/>
      </c>
      <c r="N42" s="19">
        <f>N27+N31+N32-N23</f>
        <v/>
      </c>
      <c r="O42" s="19">
        <f>O27+O31+O32-O23</f>
        <v/>
      </c>
      <c r="P42" s="19">
        <f>P27+P31+P32-P23</f>
        <v/>
      </c>
      <c r="Q42" s="19">
        <f>Q27+Q31+Q32-Q23</f>
        <v/>
      </c>
      <c r="R42" s="19">
        <f>R27+R31+R32-R23</f>
        <v/>
      </c>
      <c r="S42" s="19">
        <f>S27+S31+S32-S23</f>
        <v/>
      </c>
      <c r="T42" s="19">
        <f>T27+T31+T32-T23</f>
        <v/>
      </c>
      <c r="U42" s="19">
        <f>U27+U31+U32-U23</f>
        <v/>
      </c>
      <c r="V42" s="19">
        <f>V27+V31+V32-V23</f>
        <v/>
      </c>
      <c r="W42" s="19">
        <f>W27+W31+W32-W23</f>
        <v/>
      </c>
      <c r="X42" s="19">
        <f>X27+X31+X32-X23</f>
        <v/>
      </c>
      <c r="Y42" s="19">
        <f>Y27+Y31+Y32-Y23</f>
        <v/>
      </c>
      <c r="Z42" s="19">
        <f>Z27+Z31+Z32-Z23</f>
        <v/>
      </c>
      <c r="AA42" s="19">
        <f>AA27+AA31+AA32-AA23</f>
        <v/>
      </c>
      <c r="AB42" s="19">
        <f>AB27+AB31+AB32-AB23</f>
        <v/>
      </c>
      <c r="AC42" s="19">
        <f>AC27+AC31+AC32-AC23</f>
        <v/>
      </c>
      <c r="AD42" s="19">
        <f>AD27+AD31+AD32-AD23</f>
        <v/>
      </c>
      <c r="AE42" s="19">
        <f>AE27+AE31+AE32-AE23</f>
        <v/>
      </c>
      <c r="AF42" s="19">
        <f>AF27+AF31+AF32-AF23</f>
        <v/>
      </c>
      <c r="AG42" s="19">
        <f>AG27+AG31+AG32-AG23</f>
        <v/>
      </c>
      <c r="AH42" s="19">
        <f>AH27+AH31+AH32-AH23</f>
        <v/>
      </c>
      <c r="AI42" s="19">
        <f>AI27+AI31+AI32-AI23</f>
        <v/>
      </c>
      <c r="AJ42" s="19">
        <f>AJ27+AJ31+AJ32-AJ23</f>
        <v/>
      </c>
      <c r="AK42" s="19">
        <f>AK27+AK31+AK32-AK23</f>
        <v/>
      </c>
      <c r="AL42" s="19">
        <f>AL27+AL31+AL32-AL23</f>
        <v/>
      </c>
      <c r="AM42" s="19">
        <f>AM27+AM31+AM32-AM23</f>
        <v/>
      </c>
      <c r="AN42" s="19">
        <f>AN27+AN31+AN32-AN23</f>
        <v/>
      </c>
      <c r="AO42" s="19">
        <f>AO27+AO31+AO32-AO23</f>
        <v/>
      </c>
      <c r="AP42" s="19">
        <f>AP27+AP31+AP32-AP23</f>
        <v/>
      </c>
      <c r="AQ42" s="19">
        <f>AQ27+AQ31+AQ32-AQ23</f>
        <v/>
      </c>
      <c r="AR42" s="19">
        <f>AR27+AR31+AR32-AR23</f>
        <v/>
      </c>
      <c r="AS42" s="19">
        <f>AS27+AS31+AS32-AS23</f>
        <v/>
      </c>
      <c r="AT42" s="19">
        <f>AT27+AT31+AT32-AT23</f>
        <v/>
      </c>
      <c r="AU42" s="19">
        <f>AU27+AU31+AU32-AU23</f>
        <v/>
      </c>
      <c r="AV42" s="19">
        <f>AV27+AV31+AV32-AV23</f>
        <v/>
      </c>
      <c r="AW42" s="19">
        <f>AW27+AW31+AW32-AW23</f>
        <v/>
      </c>
      <c r="AX42" s="19">
        <f>AX27+AX31+AX32-AX23</f>
        <v/>
      </c>
      <c r="AY42" s="19">
        <f>AY27+AY31+AY32-AY23</f>
        <v/>
      </c>
      <c r="AZ42" s="19">
        <f>AZ27+AZ31+AZ32-AZ23</f>
        <v/>
      </c>
      <c r="BA42" s="19">
        <f>BA27+BA31+BA32-BA23</f>
        <v/>
      </c>
      <c r="BB42" s="19">
        <f>BB27+BB31+BB32-BB23</f>
        <v/>
      </c>
      <c r="BC42" s="19">
        <f>BC27+BC31+BC32-BC23</f>
        <v/>
      </c>
      <c r="BD42" s="19">
        <f>BD27+BD31+BD32-BD23</f>
        <v/>
      </c>
      <c r="BE42" s="19">
        <f>BE27+BE31+BE32-BE23</f>
        <v/>
      </c>
      <c r="BF42" s="19">
        <f>BF27+BF31+BF32-BF23</f>
        <v/>
      </c>
      <c r="BG42" s="19">
        <f>BG27+BG31+BG32-BG23</f>
        <v/>
      </c>
      <c r="BH42" s="19">
        <f>BH27+BH31+BH32-BH23</f>
        <v/>
      </c>
      <c r="BI42" s="19">
        <f>BI27+BI31+BI32-BI23</f>
        <v/>
      </c>
      <c r="BJ42" s="19">
        <f>BJ27+BJ31+BJ32-BJ23</f>
        <v/>
      </c>
      <c r="BK42" s="19">
        <f>BK27+BK31+BK32-BK23</f>
        <v/>
      </c>
      <c r="BL42" s="19">
        <f>BL27+BL31+BL32-BL23</f>
        <v/>
      </c>
      <c r="BM42" s="19">
        <f>BM27+BM31+BM32-BM23</f>
        <v/>
      </c>
      <c r="BN42" s="19">
        <f>BN27+BN31+BN32-BN23</f>
        <v/>
      </c>
      <c r="BO42" s="19">
        <f>BO27+BO31+BO32-BO23</f>
        <v/>
      </c>
      <c r="BP42" s="19">
        <f>BP27+BP31+BP32-BP23</f>
        <v/>
      </c>
      <c r="BQ42" s="19">
        <f>BQ27+BQ31+BQ32-BQ23</f>
        <v/>
      </c>
      <c r="BR42" s="19">
        <f>BR27+BR31+BR32-BR23</f>
        <v/>
      </c>
      <c r="BS42" s="19">
        <f>BS27+BS31+BS32-BS23</f>
        <v/>
      </c>
      <c r="BT42" s="19">
        <f>BT27+BT31+BT32-BT23</f>
        <v/>
      </c>
      <c r="BU42" s="19">
        <f>BU27+BU31+BU32-BU23</f>
        <v/>
      </c>
      <c r="BV42" s="19">
        <f>BV27+BV31+BV32-BV23</f>
        <v/>
      </c>
      <c r="BW42" s="19">
        <f>BW27+BW31+BW32-BW23</f>
        <v/>
      </c>
      <c r="BX42" s="19">
        <f>BX27+BX31+BX32-BX23</f>
        <v/>
      </c>
      <c r="BY42" s="19">
        <f>BY27+BY31+BY32-BY23</f>
        <v/>
      </c>
      <c r="BZ42" s="19">
        <f>BZ27+BZ31+BZ32-BZ23</f>
        <v/>
      </c>
      <c r="CA42" s="19">
        <f>CA27+CA31+CA32-CA23</f>
        <v/>
      </c>
      <c r="CB42" s="19">
        <f>CB27+CB31+CB32-CB23</f>
        <v/>
      </c>
      <c r="CC42" s="19">
        <f>CC27+CC31+CC32-CC23</f>
        <v/>
      </c>
      <c r="CD42" s="19">
        <f>CD27+CD31+CD32-CD23</f>
        <v/>
      </c>
      <c r="CE42" s="19">
        <f>CE27+CE31+CE32-CE23</f>
        <v/>
      </c>
      <c r="CF42" s="19">
        <f>CF27+CF31+CF32-CF23</f>
        <v/>
      </c>
      <c r="CG42" s="19">
        <f>CG27+CG31+CG32-CG23</f>
        <v/>
      </c>
      <c r="CH42" s="19">
        <f>CH27+CH31+CH32-CH23</f>
        <v/>
      </c>
      <c r="CI42" s="19">
        <f>CI27+CI31+CI32-CI23</f>
        <v/>
      </c>
      <c r="CJ42" s="19">
        <f>CJ27+CJ31+CJ32-CJ23</f>
        <v/>
      </c>
      <c r="CK42" s="19">
        <f>CK27+CK31+CK32-CK23</f>
        <v/>
      </c>
      <c r="CL42" s="19">
        <f>CL27+CL31+CL32-CL23</f>
        <v/>
      </c>
      <c r="CM42" s="19">
        <f>CM27+CM31+CM32-CM23</f>
        <v/>
      </c>
      <c r="CN42" s="19">
        <f>CN27+CN31+CN32-CN23</f>
        <v/>
      </c>
      <c r="CO42" s="19">
        <f>CO27+CO31+CO32-CO23</f>
        <v/>
      </c>
      <c r="CP42" s="19">
        <f>CP27+CP31+CP32-CP23</f>
        <v/>
      </c>
      <c r="CQ42" s="19">
        <f>CQ27+CQ31+CQ32-CQ23</f>
        <v/>
      </c>
      <c r="CR42" s="19">
        <f>CR27+CR31+CR32-CR23</f>
        <v/>
      </c>
      <c r="CS42" s="19">
        <f>CS27+CS31+CS32-CS23</f>
        <v/>
      </c>
      <c r="CT42" s="19">
        <f>CT27+CT31+CT32-CT23</f>
        <v/>
      </c>
      <c r="CU42" s="19">
        <f>CU27+CU31+CU32-CU23</f>
        <v/>
      </c>
      <c r="CV42" s="19">
        <f>CV27+CV31+CV32-CV23</f>
        <v/>
      </c>
      <c r="CW42" s="19">
        <f>CW27+CW31+CW32-CW23</f>
        <v/>
      </c>
      <c r="CX42" s="19">
        <f>CX27+CX31+CX32-CX23</f>
        <v/>
      </c>
      <c r="CY42" s="19">
        <f>CY27+CY31+CY32-CY23</f>
        <v/>
      </c>
      <c r="CZ42" s="19">
        <f>CZ27+CZ31+CZ32-CZ23</f>
        <v/>
      </c>
      <c r="DA42" s="19">
        <f>DA27+DA31+DA32-DA23</f>
        <v/>
      </c>
      <c r="DB42" s="19">
        <f>DB27+DB31+DB32-DB23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D1:DB116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Debt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Rates</t>
        </is>
      </c>
    </row>
    <row r="6">
      <c r="D6" t="inlineStr">
        <is>
          <t>Bank margin after the mini-perm maturity</t>
        </is>
      </c>
      <c r="E6" t="inlineStr">
        <is>
          <t>%pa</t>
        </is>
      </c>
      <c r="F6" s="18">
        <f>IF(Inputs!$F$214=1,Inputs!$F$106,Inputs!$F$105+Inputs!$F$224)</f>
        <v/>
      </c>
    </row>
    <row r="7">
      <c r="D7" t="inlineStr">
        <is>
          <t>Bank margin (day-weighted)</t>
        </is>
      </c>
      <c r="E7" t="inlineStr">
        <is>
          <t>%pa</t>
        </is>
      </c>
      <c r="J7" s="18">
        <f>Inputs!$F$103*Time!J40+Inputs!$F$104*(Time!J41-Time!J40)+$F$6*(1-Time!J41)</f>
        <v/>
      </c>
      <c r="K7" s="18">
        <f>Inputs!$F$103*Time!K40+Inputs!$F$104*(Time!K41-Time!K40)+$F$6*(1-Time!K41)</f>
        <v/>
      </c>
      <c r="L7" s="18">
        <f>Inputs!$F$103*Time!L40+Inputs!$F$104*(Time!L41-Time!L40)+$F$6*(1-Time!L41)</f>
        <v/>
      </c>
      <c r="M7" s="18">
        <f>Inputs!$F$103*Time!M40+Inputs!$F$104*(Time!M41-Time!M40)+$F$6*(1-Time!M41)</f>
        <v/>
      </c>
      <c r="N7" s="18">
        <f>Inputs!$F$103*Time!N40+Inputs!$F$104*(Time!N41-Time!N40)+$F$6*(1-Time!N41)</f>
        <v/>
      </c>
      <c r="O7" s="18">
        <f>Inputs!$F$103*Time!O40+Inputs!$F$104*(Time!O41-Time!O40)+$F$6*(1-Time!O41)</f>
        <v/>
      </c>
      <c r="P7" s="18">
        <f>Inputs!$F$103*Time!P40+Inputs!$F$104*(Time!P41-Time!P40)+$F$6*(1-Time!P41)</f>
        <v/>
      </c>
      <c r="Q7" s="18">
        <f>Inputs!$F$103*Time!Q40+Inputs!$F$104*(Time!Q41-Time!Q40)+$F$6*(1-Time!Q41)</f>
        <v/>
      </c>
      <c r="R7" s="18">
        <f>Inputs!$F$103*Time!R40+Inputs!$F$104*(Time!R41-Time!R40)+$F$6*(1-Time!R41)</f>
        <v/>
      </c>
      <c r="S7" s="18">
        <f>Inputs!$F$103*Time!S40+Inputs!$F$104*(Time!S41-Time!S40)+$F$6*(1-Time!S41)</f>
        <v/>
      </c>
      <c r="T7" s="18">
        <f>Inputs!$F$103*Time!T40+Inputs!$F$104*(Time!T41-Time!T40)+$F$6*(1-Time!T41)</f>
        <v/>
      </c>
      <c r="U7" s="18">
        <f>Inputs!$F$103*Time!U40+Inputs!$F$104*(Time!U41-Time!U40)+$F$6*(1-Time!U41)</f>
        <v/>
      </c>
      <c r="V7" s="18">
        <f>Inputs!$F$103*Time!V40+Inputs!$F$104*(Time!V41-Time!V40)+$F$6*(1-Time!V41)</f>
        <v/>
      </c>
      <c r="W7" s="18">
        <f>Inputs!$F$103*Time!W40+Inputs!$F$104*(Time!W41-Time!W40)+$F$6*(1-Time!W41)</f>
        <v/>
      </c>
      <c r="X7" s="18">
        <f>Inputs!$F$103*Time!X40+Inputs!$F$104*(Time!X41-Time!X40)+$F$6*(1-Time!X41)</f>
        <v/>
      </c>
      <c r="Y7" s="18">
        <f>Inputs!$F$103*Time!Y40+Inputs!$F$104*(Time!Y41-Time!Y40)+$F$6*(1-Time!Y41)</f>
        <v/>
      </c>
      <c r="Z7" s="18">
        <f>Inputs!$F$103*Time!Z40+Inputs!$F$104*(Time!Z41-Time!Z40)+$F$6*(1-Time!Z41)</f>
        <v/>
      </c>
      <c r="AA7" s="18">
        <f>Inputs!$F$103*Time!AA40+Inputs!$F$104*(Time!AA41-Time!AA40)+$F$6*(1-Time!AA41)</f>
        <v/>
      </c>
      <c r="AB7" s="18">
        <f>Inputs!$F$103*Time!AB40+Inputs!$F$104*(Time!AB41-Time!AB40)+$F$6*(1-Time!AB41)</f>
        <v/>
      </c>
      <c r="AC7" s="18">
        <f>Inputs!$F$103*Time!AC40+Inputs!$F$104*(Time!AC41-Time!AC40)+$F$6*(1-Time!AC41)</f>
        <v/>
      </c>
      <c r="AD7" s="18">
        <f>Inputs!$F$103*Time!AD40+Inputs!$F$104*(Time!AD41-Time!AD40)+$F$6*(1-Time!AD41)</f>
        <v/>
      </c>
      <c r="AE7" s="18">
        <f>Inputs!$F$103*Time!AE40+Inputs!$F$104*(Time!AE41-Time!AE40)+$F$6*(1-Time!AE41)</f>
        <v/>
      </c>
      <c r="AF7" s="18">
        <f>Inputs!$F$103*Time!AF40+Inputs!$F$104*(Time!AF41-Time!AF40)+$F$6*(1-Time!AF41)</f>
        <v/>
      </c>
      <c r="AG7" s="18">
        <f>Inputs!$F$103*Time!AG40+Inputs!$F$104*(Time!AG41-Time!AG40)+$F$6*(1-Time!AG41)</f>
        <v/>
      </c>
      <c r="AH7" s="18">
        <f>Inputs!$F$103*Time!AH40+Inputs!$F$104*(Time!AH41-Time!AH40)+$F$6*(1-Time!AH41)</f>
        <v/>
      </c>
      <c r="AI7" s="18">
        <f>Inputs!$F$103*Time!AI40+Inputs!$F$104*(Time!AI41-Time!AI40)+$F$6*(1-Time!AI41)</f>
        <v/>
      </c>
      <c r="AJ7" s="18">
        <f>Inputs!$F$103*Time!AJ40+Inputs!$F$104*(Time!AJ41-Time!AJ40)+$F$6*(1-Time!AJ41)</f>
        <v/>
      </c>
      <c r="AK7" s="18">
        <f>Inputs!$F$103*Time!AK40+Inputs!$F$104*(Time!AK41-Time!AK40)+$F$6*(1-Time!AK41)</f>
        <v/>
      </c>
      <c r="AL7" s="18">
        <f>Inputs!$F$103*Time!AL40+Inputs!$F$104*(Time!AL41-Time!AL40)+$F$6*(1-Time!AL41)</f>
        <v/>
      </c>
      <c r="AM7" s="18">
        <f>Inputs!$F$103*Time!AM40+Inputs!$F$104*(Time!AM41-Time!AM40)+$F$6*(1-Time!AM41)</f>
        <v/>
      </c>
      <c r="AN7" s="18">
        <f>Inputs!$F$103*Time!AN40+Inputs!$F$104*(Time!AN41-Time!AN40)+$F$6*(1-Time!AN41)</f>
        <v/>
      </c>
      <c r="AO7" s="18">
        <f>Inputs!$F$103*Time!AO40+Inputs!$F$104*(Time!AO41-Time!AO40)+$F$6*(1-Time!AO41)</f>
        <v/>
      </c>
      <c r="AP7" s="18">
        <f>Inputs!$F$103*Time!AP40+Inputs!$F$104*(Time!AP41-Time!AP40)+$F$6*(1-Time!AP41)</f>
        <v/>
      </c>
      <c r="AQ7" s="18">
        <f>Inputs!$F$103*Time!AQ40+Inputs!$F$104*(Time!AQ41-Time!AQ40)+$F$6*(1-Time!AQ41)</f>
        <v/>
      </c>
      <c r="AR7" s="18">
        <f>Inputs!$F$103*Time!AR40+Inputs!$F$104*(Time!AR41-Time!AR40)+$F$6*(1-Time!AR41)</f>
        <v/>
      </c>
      <c r="AS7" s="18">
        <f>Inputs!$F$103*Time!AS40+Inputs!$F$104*(Time!AS41-Time!AS40)+$F$6*(1-Time!AS41)</f>
        <v/>
      </c>
      <c r="AT7" s="18">
        <f>Inputs!$F$103*Time!AT40+Inputs!$F$104*(Time!AT41-Time!AT40)+$F$6*(1-Time!AT41)</f>
        <v/>
      </c>
      <c r="AU7" s="18">
        <f>Inputs!$F$103*Time!AU40+Inputs!$F$104*(Time!AU41-Time!AU40)+$F$6*(1-Time!AU41)</f>
        <v/>
      </c>
      <c r="AV7" s="18">
        <f>Inputs!$F$103*Time!AV40+Inputs!$F$104*(Time!AV41-Time!AV40)+$F$6*(1-Time!AV41)</f>
        <v/>
      </c>
      <c r="AW7" s="18">
        <f>Inputs!$F$103*Time!AW40+Inputs!$F$104*(Time!AW41-Time!AW40)+$F$6*(1-Time!AW41)</f>
        <v/>
      </c>
      <c r="AX7" s="18">
        <f>Inputs!$F$103*Time!AX40+Inputs!$F$104*(Time!AX41-Time!AX40)+$F$6*(1-Time!AX41)</f>
        <v/>
      </c>
      <c r="AY7" s="18">
        <f>Inputs!$F$103*Time!AY40+Inputs!$F$104*(Time!AY41-Time!AY40)+$F$6*(1-Time!AY41)</f>
        <v/>
      </c>
      <c r="AZ7" s="18">
        <f>Inputs!$F$103*Time!AZ40+Inputs!$F$104*(Time!AZ41-Time!AZ40)+$F$6*(1-Time!AZ41)</f>
        <v/>
      </c>
      <c r="BA7" s="18">
        <f>Inputs!$F$103*Time!BA40+Inputs!$F$104*(Time!BA41-Time!BA40)+$F$6*(1-Time!BA41)</f>
        <v/>
      </c>
      <c r="BB7" s="18">
        <f>Inputs!$F$103*Time!BB40+Inputs!$F$104*(Time!BB41-Time!BB40)+$F$6*(1-Time!BB41)</f>
        <v/>
      </c>
      <c r="BC7" s="18">
        <f>Inputs!$F$103*Time!BC40+Inputs!$F$104*(Time!BC41-Time!BC40)+$F$6*(1-Time!BC41)</f>
        <v/>
      </c>
      <c r="BD7" s="18">
        <f>Inputs!$F$103*Time!BD40+Inputs!$F$104*(Time!BD41-Time!BD40)+$F$6*(1-Time!BD41)</f>
        <v/>
      </c>
      <c r="BE7" s="18">
        <f>Inputs!$F$103*Time!BE40+Inputs!$F$104*(Time!BE41-Time!BE40)+$F$6*(1-Time!BE41)</f>
        <v/>
      </c>
      <c r="BF7" s="18">
        <f>Inputs!$F$103*Time!BF40+Inputs!$F$104*(Time!BF41-Time!BF40)+$F$6*(1-Time!BF41)</f>
        <v/>
      </c>
      <c r="BG7" s="18">
        <f>Inputs!$F$103*Time!BG40+Inputs!$F$104*(Time!BG41-Time!BG40)+$F$6*(1-Time!BG41)</f>
        <v/>
      </c>
      <c r="BH7" s="18">
        <f>Inputs!$F$103*Time!BH40+Inputs!$F$104*(Time!BH41-Time!BH40)+$F$6*(1-Time!BH41)</f>
        <v/>
      </c>
      <c r="BI7" s="18">
        <f>Inputs!$F$103*Time!BI40+Inputs!$F$104*(Time!BI41-Time!BI40)+$F$6*(1-Time!BI41)</f>
        <v/>
      </c>
      <c r="BJ7" s="18">
        <f>Inputs!$F$103*Time!BJ40+Inputs!$F$104*(Time!BJ41-Time!BJ40)+$F$6*(1-Time!BJ41)</f>
        <v/>
      </c>
      <c r="BK7" s="18">
        <f>Inputs!$F$103*Time!BK40+Inputs!$F$104*(Time!BK41-Time!BK40)+$F$6*(1-Time!BK41)</f>
        <v/>
      </c>
      <c r="BL7" s="18">
        <f>Inputs!$F$103*Time!BL40+Inputs!$F$104*(Time!BL41-Time!BL40)+$F$6*(1-Time!BL41)</f>
        <v/>
      </c>
      <c r="BM7" s="18">
        <f>Inputs!$F$103*Time!BM40+Inputs!$F$104*(Time!BM41-Time!BM40)+$F$6*(1-Time!BM41)</f>
        <v/>
      </c>
      <c r="BN7" s="18">
        <f>Inputs!$F$103*Time!BN40+Inputs!$F$104*(Time!BN41-Time!BN40)+$F$6*(1-Time!BN41)</f>
        <v/>
      </c>
      <c r="BO7" s="18">
        <f>Inputs!$F$103*Time!BO40+Inputs!$F$104*(Time!BO41-Time!BO40)+$F$6*(1-Time!BO41)</f>
        <v/>
      </c>
      <c r="BP7" s="18">
        <f>Inputs!$F$103*Time!BP40+Inputs!$F$104*(Time!BP41-Time!BP40)+$F$6*(1-Time!BP41)</f>
        <v/>
      </c>
      <c r="BQ7" s="18">
        <f>Inputs!$F$103*Time!BQ40+Inputs!$F$104*(Time!BQ41-Time!BQ40)+$F$6*(1-Time!BQ41)</f>
        <v/>
      </c>
      <c r="BR7" s="18">
        <f>Inputs!$F$103*Time!BR40+Inputs!$F$104*(Time!BR41-Time!BR40)+$F$6*(1-Time!BR41)</f>
        <v/>
      </c>
      <c r="BS7" s="18">
        <f>Inputs!$F$103*Time!BS40+Inputs!$F$104*(Time!BS41-Time!BS40)+$F$6*(1-Time!BS41)</f>
        <v/>
      </c>
      <c r="BT7" s="18">
        <f>Inputs!$F$103*Time!BT40+Inputs!$F$104*(Time!BT41-Time!BT40)+$F$6*(1-Time!BT41)</f>
        <v/>
      </c>
      <c r="BU7" s="18">
        <f>Inputs!$F$103*Time!BU40+Inputs!$F$104*(Time!BU41-Time!BU40)+$F$6*(1-Time!BU41)</f>
        <v/>
      </c>
      <c r="BV7" s="18">
        <f>Inputs!$F$103*Time!BV40+Inputs!$F$104*(Time!BV41-Time!BV40)+$F$6*(1-Time!BV41)</f>
        <v/>
      </c>
      <c r="BW7" s="18">
        <f>Inputs!$F$103*Time!BW40+Inputs!$F$104*(Time!BW41-Time!BW40)+$F$6*(1-Time!BW41)</f>
        <v/>
      </c>
      <c r="BX7" s="18">
        <f>Inputs!$F$103*Time!BX40+Inputs!$F$104*(Time!BX41-Time!BX40)+$F$6*(1-Time!BX41)</f>
        <v/>
      </c>
      <c r="BY7" s="18">
        <f>Inputs!$F$103*Time!BY40+Inputs!$F$104*(Time!BY41-Time!BY40)+$F$6*(1-Time!BY41)</f>
        <v/>
      </c>
      <c r="BZ7" s="18">
        <f>Inputs!$F$103*Time!BZ40+Inputs!$F$104*(Time!BZ41-Time!BZ40)+$F$6*(1-Time!BZ41)</f>
        <v/>
      </c>
      <c r="CA7" s="18">
        <f>Inputs!$F$103*Time!CA40+Inputs!$F$104*(Time!CA41-Time!CA40)+$F$6*(1-Time!CA41)</f>
        <v/>
      </c>
      <c r="CB7" s="18">
        <f>Inputs!$F$103*Time!CB40+Inputs!$F$104*(Time!CB41-Time!CB40)+$F$6*(1-Time!CB41)</f>
        <v/>
      </c>
      <c r="CC7" s="18">
        <f>Inputs!$F$103*Time!CC40+Inputs!$F$104*(Time!CC41-Time!CC40)+$F$6*(1-Time!CC41)</f>
        <v/>
      </c>
      <c r="CD7" s="18">
        <f>Inputs!$F$103*Time!CD40+Inputs!$F$104*(Time!CD41-Time!CD40)+$F$6*(1-Time!CD41)</f>
        <v/>
      </c>
      <c r="CE7" s="18">
        <f>Inputs!$F$103*Time!CE40+Inputs!$F$104*(Time!CE41-Time!CE40)+$F$6*(1-Time!CE41)</f>
        <v/>
      </c>
      <c r="CF7" s="18">
        <f>Inputs!$F$103*Time!CF40+Inputs!$F$104*(Time!CF41-Time!CF40)+$F$6*(1-Time!CF41)</f>
        <v/>
      </c>
      <c r="CG7" s="18">
        <f>Inputs!$F$103*Time!CG40+Inputs!$F$104*(Time!CG41-Time!CG40)+$F$6*(1-Time!CG41)</f>
        <v/>
      </c>
      <c r="CH7" s="18">
        <f>Inputs!$F$103*Time!CH40+Inputs!$F$104*(Time!CH41-Time!CH40)+$F$6*(1-Time!CH41)</f>
        <v/>
      </c>
      <c r="CI7" s="18">
        <f>Inputs!$F$103*Time!CI40+Inputs!$F$104*(Time!CI41-Time!CI40)+$F$6*(1-Time!CI41)</f>
        <v/>
      </c>
      <c r="CJ7" s="18">
        <f>Inputs!$F$103*Time!CJ40+Inputs!$F$104*(Time!CJ41-Time!CJ40)+$F$6*(1-Time!CJ41)</f>
        <v/>
      </c>
      <c r="CK7" s="18">
        <f>Inputs!$F$103*Time!CK40+Inputs!$F$104*(Time!CK41-Time!CK40)+$F$6*(1-Time!CK41)</f>
        <v/>
      </c>
      <c r="CL7" s="18">
        <f>Inputs!$F$103*Time!CL40+Inputs!$F$104*(Time!CL41-Time!CL40)+$F$6*(1-Time!CL41)</f>
        <v/>
      </c>
      <c r="CM7" s="18">
        <f>Inputs!$F$103*Time!CM40+Inputs!$F$104*(Time!CM41-Time!CM40)+$F$6*(1-Time!CM41)</f>
        <v/>
      </c>
      <c r="CN7" s="18">
        <f>Inputs!$F$103*Time!CN40+Inputs!$F$104*(Time!CN41-Time!CN40)+$F$6*(1-Time!CN41)</f>
        <v/>
      </c>
      <c r="CO7" s="18">
        <f>Inputs!$F$103*Time!CO40+Inputs!$F$104*(Time!CO41-Time!CO40)+$F$6*(1-Time!CO41)</f>
        <v/>
      </c>
      <c r="CP7" s="18">
        <f>Inputs!$F$103*Time!CP40+Inputs!$F$104*(Time!CP41-Time!CP40)+$F$6*(1-Time!CP41)</f>
        <v/>
      </c>
      <c r="CQ7" s="18">
        <f>Inputs!$F$103*Time!CQ40+Inputs!$F$104*(Time!CQ41-Time!CQ40)+$F$6*(1-Time!CQ41)</f>
        <v/>
      </c>
      <c r="CR7" s="18">
        <f>Inputs!$F$103*Time!CR40+Inputs!$F$104*(Time!CR41-Time!CR40)+$F$6*(1-Time!CR41)</f>
        <v/>
      </c>
      <c r="CS7" s="18">
        <f>Inputs!$F$103*Time!CS40+Inputs!$F$104*(Time!CS41-Time!CS40)+$F$6*(1-Time!CS41)</f>
        <v/>
      </c>
      <c r="CT7" s="18">
        <f>Inputs!$F$103*Time!CT40+Inputs!$F$104*(Time!CT41-Time!CT40)+$F$6*(1-Time!CT41)</f>
        <v/>
      </c>
      <c r="CU7" s="18">
        <f>Inputs!$F$103*Time!CU40+Inputs!$F$104*(Time!CU41-Time!CU40)+$F$6*(1-Time!CU41)</f>
        <v/>
      </c>
      <c r="CV7" s="18">
        <f>Inputs!$F$103*Time!CV40+Inputs!$F$104*(Time!CV41-Time!CV40)+$F$6*(1-Time!CV41)</f>
        <v/>
      </c>
      <c r="CW7" s="18">
        <f>Inputs!$F$103*Time!CW40+Inputs!$F$104*(Time!CW41-Time!CW40)+$F$6*(1-Time!CW41)</f>
        <v/>
      </c>
      <c r="CX7" s="18">
        <f>Inputs!$F$103*Time!CX40+Inputs!$F$104*(Time!CX41-Time!CX40)+$F$6*(1-Time!CX41)</f>
        <v/>
      </c>
      <c r="CY7" s="18">
        <f>Inputs!$F$103*Time!CY40+Inputs!$F$104*(Time!CY41-Time!CY40)+$F$6*(1-Time!CY41)</f>
        <v/>
      </c>
      <c r="CZ7" s="18">
        <f>Inputs!$F$103*Time!CZ40+Inputs!$F$104*(Time!CZ41-Time!CZ40)+$F$6*(1-Time!CZ41)</f>
        <v/>
      </c>
      <c r="DA7" s="18">
        <f>Inputs!$F$103*Time!DA40+Inputs!$F$104*(Time!DA41-Time!DA40)+$F$6*(1-Time!DA41)</f>
        <v/>
      </c>
      <c r="DB7" s="18">
        <f>Inputs!$F$103*Time!DB40+Inputs!$F$104*(Time!DB41-Time!DB40)+$F$6*(1-Time!DB41)</f>
        <v/>
      </c>
    </row>
    <row r="8">
      <c r="D8" t="inlineStr">
        <is>
          <t>Bank all-in rate</t>
        </is>
      </c>
      <c r="E8" t="inlineStr">
        <is>
          <t>%</t>
        </is>
      </c>
      <c r="J8" s="21">
        <f>(IF(Time!J43=1,Inputs!$F$101,Time!J54)+J7)/100</f>
        <v/>
      </c>
      <c r="K8" s="21">
        <f>(IF(Time!K43=1,Inputs!$F$101,Time!K54)+K7)/100</f>
        <v/>
      </c>
      <c r="L8" s="21">
        <f>(IF(Time!L43=1,Inputs!$F$101,Time!L54)+L7)/100</f>
        <v/>
      </c>
      <c r="M8" s="21">
        <f>(IF(Time!M43=1,Inputs!$F$101,Time!M54)+M7)/100</f>
        <v/>
      </c>
      <c r="N8" s="21">
        <f>(IF(Time!N43=1,Inputs!$F$101,Time!N54)+N7)/100</f>
        <v/>
      </c>
      <c r="O8" s="21">
        <f>(IF(Time!O43=1,Inputs!$F$101,Time!O54)+O7)/100</f>
        <v/>
      </c>
      <c r="P8" s="21">
        <f>(IF(Time!P43=1,Inputs!$F$101,Time!P54)+P7)/100</f>
        <v/>
      </c>
      <c r="Q8" s="21">
        <f>(IF(Time!Q43=1,Inputs!$F$101,Time!Q54)+Q7)/100</f>
        <v/>
      </c>
      <c r="R8" s="21">
        <f>(IF(Time!R43=1,Inputs!$F$101,Time!R54)+R7)/100</f>
        <v/>
      </c>
      <c r="S8" s="21">
        <f>(IF(Time!S43=1,Inputs!$F$101,Time!S54)+S7)/100</f>
        <v/>
      </c>
      <c r="T8" s="21">
        <f>(IF(Time!T43=1,Inputs!$F$101,Time!T54)+T7)/100</f>
        <v/>
      </c>
      <c r="U8" s="21">
        <f>(IF(Time!U43=1,Inputs!$F$101,Time!U54)+U7)/100</f>
        <v/>
      </c>
      <c r="V8" s="21">
        <f>(IF(Time!V43=1,Inputs!$F$101,Time!V54)+V7)/100</f>
        <v/>
      </c>
      <c r="W8" s="21">
        <f>(IF(Time!W43=1,Inputs!$F$101,Time!W54)+W7)/100</f>
        <v/>
      </c>
      <c r="X8" s="21">
        <f>(IF(Time!X43=1,Inputs!$F$101,Time!X54)+X7)/100</f>
        <v/>
      </c>
      <c r="Y8" s="21">
        <f>(IF(Time!Y43=1,Inputs!$F$101,Time!Y54)+Y7)/100</f>
        <v/>
      </c>
      <c r="Z8" s="21">
        <f>(IF(Time!Z43=1,Inputs!$F$101,Time!Z54)+Z7)/100</f>
        <v/>
      </c>
      <c r="AA8" s="21">
        <f>(IF(Time!AA43=1,Inputs!$F$101,Time!AA54)+AA7)/100</f>
        <v/>
      </c>
      <c r="AB8" s="21">
        <f>(IF(Time!AB43=1,Inputs!$F$101,Time!AB54)+AB7)/100</f>
        <v/>
      </c>
      <c r="AC8" s="21">
        <f>(IF(Time!AC43=1,Inputs!$F$101,Time!AC54)+AC7)/100</f>
        <v/>
      </c>
      <c r="AD8" s="21">
        <f>(IF(Time!AD43=1,Inputs!$F$101,Time!AD54)+AD7)/100</f>
        <v/>
      </c>
      <c r="AE8" s="21">
        <f>(IF(Time!AE43=1,Inputs!$F$101,Time!AE54)+AE7)/100</f>
        <v/>
      </c>
      <c r="AF8" s="21">
        <f>(IF(Time!AF43=1,Inputs!$F$101,Time!AF54)+AF7)/100</f>
        <v/>
      </c>
      <c r="AG8" s="21">
        <f>(IF(Time!AG43=1,Inputs!$F$101,Time!AG54)+AG7)/100</f>
        <v/>
      </c>
      <c r="AH8" s="21">
        <f>(IF(Time!AH43=1,Inputs!$F$101,Time!AH54)+AH7)/100</f>
        <v/>
      </c>
      <c r="AI8" s="21">
        <f>(IF(Time!AI43=1,Inputs!$F$101,Time!AI54)+AI7)/100</f>
        <v/>
      </c>
      <c r="AJ8" s="21">
        <f>(IF(Time!AJ43=1,Inputs!$F$101,Time!AJ54)+AJ7)/100</f>
        <v/>
      </c>
      <c r="AK8" s="21">
        <f>(IF(Time!AK43=1,Inputs!$F$101,Time!AK54)+AK7)/100</f>
        <v/>
      </c>
      <c r="AL8" s="21">
        <f>(IF(Time!AL43=1,Inputs!$F$101,Time!AL54)+AL7)/100</f>
        <v/>
      </c>
      <c r="AM8" s="21">
        <f>(IF(Time!AM43=1,Inputs!$F$101,Time!AM54)+AM7)/100</f>
        <v/>
      </c>
      <c r="AN8" s="21">
        <f>(IF(Time!AN43=1,Inputs!$F$101,Time!AN54)+AN7)/100</f>
        <v/>
      </c>
      <c r="AO8" s="21">
        <f>(IF(Time!AO43=1,Inputs!$F$101,Time!AO54)+AO7)/100</f>
        <v/>
      </c>
      <c r="AP8" s="21">
        <f>(IF(Time!AP43=1,Inputs!$F$101,Time!AP54)+AP7)/100</f>
        <v/>
      </c>
      <c r="AQ8" s="21">
        <f>(IF(Time!AQ43=1,Inputs!$F$101,Time!AQ54)+AQ7)/100</f>
        <v/>
      </c>
      <c r="AR8" s="21">
        <f>(IF(Time!AR43=1,Inputs!$F$101,Time!AR54)+AR7)/100</f>
        <v/>
      </c>
      <c r="AS8" s="21">
        <f>(IF(Time!AS43=1,Inputs!$F$101,Time!AS54)+AS7)/100</f>
        <v/>
      </c>
      <c r="AT8" s="21">
        <f>(IF(Time!AT43=1,Inputs!$F$101,Time!AT54)+AT7)/100</f>
        <v/>
      </c>
      <c r="AU8" s="21">
        <f>(IF(Time!AU43=1,Inputs!$F$101,Time!AU54)+AU7)/100</f>
        <v/>
      </c>
      <c r="AV8" s="21">
        <f>(IF(Time!AV43=1,Inputs!$F$101,Time!AV54)+AV7)/100</f>
        <v/>
      </c>
      <c r="AW8" s="21">
        <f>(IF(Time!AW43=1,Inputs!$F$101,Time!AW54)+AW7)/100</f>
        <v/>
      </c>
      <c r="AX8" s="21">
        <f>(IF(Time!AX43=1,Inputs!$F$101,Time!AX54)+AX7)/100</f>
        <v/>
      </c>
      <c r="AY8" s="21">
        <f>(IF(Time!AY43=1,Inputs!$F$101,Time!AY54)+AY7)/100</f>
        <v/>
      </c>
      <c r="AZ8" s="21">
        <f>(IF(Time!AZ43=1,Inputs!$F$101,Time!AZ54)+AZ7)/100</f>
        <v/>
      </c>
      <c r="BA8" s="21">
        <f>(IF(Time!BA43=1,Inputs!$F$101,Time!BA54)+BA7)/100</f>
        <v/>
      </c>
      <c r="BB8" s="21">
        <f>(IF(Time!BB43=1,Inputs!$F$101,Time!BB54)+BB7)/100</f>
        <v/>
      </c>
      <c r="BC8" s="21">
        <f>(IF(Time!BC43=1,Inputs!$F$101,Time!BC54)+BC7)/100</f>
        <v/>
      </c>
      <c r="BD8" s="21">
        <f>(IF(Time!BD43=1,Inputs!$F$101,Time!BD54)+BD7)/100</f>
        <v/>
      </c>
      <c r="BE8" s="21">
        <f>(IF(Time!BE43=1,Inputs!$F$101,Time!BE54)+BE7)/100</f>
        <v/>
      </c>
      <c r="BF8" s="21">
        <f>(IF(Time!BF43=1,Inputs!$F$101,Time!BF54)+BF7)/100</f>
        <v/>
      </c>
      <c r="BG8" s="21">
        <f>(IF(Time!BG43=1,Inputs!$F$101,Time!BG54)+BG7)/100</f>
        <v/>
      </c>
      <c r="BH8" s="21">
        <f>(IF(Time!BH43=1,Inputs!$F$101,Time!BH54)+BH7)/100</f>
        <v/>
      </c>
      <c r="BI8" s="21">
        <f>(IF(Time!BI43=1,Inputs!$F$101,Time!BI54)+BI7)/100</f>
        <v/>
      </c>
      <c r="BJ8" s="21">
        <f>(IF(Time!BJ43=1,Inputs!$F$101,Time!BJ54)+BJ7)/100</f>
        <v/>
      </c>
      <c r="BK8" s="21">
        <f>(IF(Time!BK43=1,Inputs!$F$101,Time!BK54)+BK7)/100</f>
        <v/>
      </c>
      <c r="BL8" s="21">
        <f>(IF(Time!BL43=1,Inputs!$F$101,Time!BL54)+BL7)/100</f>
        <v/>
      </c>
      <c r="BM8" s="21">
        <f>(IF(Time!BM43=1,Inputs!$F$101,Time!BM54)+BM7)/100</f>
        <v/>
      </c>
      <c r="BN8" s="21">
        <f>(IF(Time!BN43=1,Inputs!$F$101,Time!BN54)+BN7)/100</f>
        <v/>
      </c>
      <c r="BO8" s="21">
        <f>(IF(Time!BO43=1,Inputs!$F$101,Time!BO54)+BO7)/100</f>
        <v/>
      </c>
      <c r="BP8" s="21">
        <f>(IF(Time!BP43=1,Inputs!$F$101,Time!BP54)+BP7)/100</f>
        <v/>
      </c>
      <c r="BQ8" s="21">
        <f>(IF(Time!BQ43=1,Inputs!$F$101,Time!BQ54)+BQ7)/100</f>
        <v/>
      </c>
      <c r="BR8" s="21">
        <f>(IF(Time!BR43=1,Inputs!$F$101,Time!BR54)+BR7)/100</f>
        <v/>
      </c>
      <c r="BS8" s="21">
        <f>(IF(Time!BS43=1,Inputs!$F$101,Time!BS54)+BS7)/100</f>
        <v/>
      </c>
      <c r="BT8" s="21">
        <f>(IF(Time!BT43=1,Inputs!$F$101,Time!BT54)+BT7)/100</f>
        <v/>
      </c>
      <c r="BU8" s="21">
        <f>(IF(Time!BU43=1,Inputs!$F$101,Time!BU54)+BU7)/100</f>
        <v/>
      </c>
      <c r="BV8" s="21">
        <f>(IF(Time!BV43=1,Inputs!$F$101,Time!BV54)+BV7)/100</f>
        <v/>
      </c>
      <c r="BW8" s="21">
        <f>(IF(Time!BW43=1,Inputs!$F$101,Time!BW54)+BW7)/100</f>
        <v/>
      </c>
      <c r="BX8" s="21">
        <f>(IF(Time!BX43=1,Inputs!$F$101,Time!BX54)+BX7)/100</f>
        <v/>
      </c>
      <c r="BY8" s="21">
        <f>(IF(Time!BY43=1,Inputs!$F$101,Time!BY54)+BY7)/100</f>
        <v/>
      </c>
      <c r="BZ8" s="21">
        <f>(IF(Time!BZ43=1,Inputs!$F$101,Time!BZ54)+BZ7)/100</f>
        <v/>
      </c>
      <c r="CA8" s="21">
        <f>(IF(Time!CA43=1,Inputs!$F$101,Time!CA54)+CA7)/100</f>
        <v/>
      </c>
      <c r="CB8" s="21">
        <f>(IF(Time!CB43=1,Inputs!$F$101,Time!CB54)+CB7)/100</f>
        <v/>
      </c>
      <c r="CC8" s="21">
        <f>(IF(Time!CC43=1,Inputs!$F$101,Time!CC54)+CC7)/100</f>
        <v/>
      </c>
      <c r="CD8" s="21">
        <f>(IF(Time!CD43=1,Inputs!$F$101,Time!CD54)+CD7)/100</f>
        <v/>
      </c>
      <c r="CE8" s="21">
        <f>(IF(Time!CE43=1,Inputs!$F$101,Time!CE54)+CE7)/100</f>
        <v/>
      </c>
      <c r="CF8" s="21">
        <f>(IF(Time!CF43=1,Inputs!$F$101,Time!CF54)+CF7)/100</f>
        <v/>
      </c>
      <c r="CG8" s="21">
        <f>(IF(Time!CG43=1,Inputs!$F$101,Time!CG54)+CG7)/100</f>
        <v/>
      </c>
      <c r="CH8" s="21">
        <f>(IF(Time!CH43=1,Inputs!$F$101,Time!CH54)+CH7)/100</f>
        <v/>
      </c>
      <c r="CI8" s="21">
        <f>(IF(Time!CI43=1,Inputs!$F$101,Time!CI54)+CI7)/100</f>
        <v/>
      </c>
      <c r="CJ8" s="21">
        <f>(IF(Time!CJ43=1,Inputs!$F$101,Time!CJ54)+CJ7)/100</f>
        <v/>
      </c>
      <c r="CK8" s="21">
        <f>(IF(Time!CK43=1,Inputs!$F$101,Time!CK54)+CK7)/100</f>
        <v/>
      </c>
      <c r="CL8" s="21">
        <f>(IF(Time!CL43=1,Inputs!$F$101,Time!CL54)+CL7)/100</f>
        <v/>
      </c>
      <c r="CM8" s="21">
        <f>(IF(Time!CM43=1,Inputs!$F$101,Time!CM54)+CM7)/100</f>
        <v/>
      </c>
      <c r="CN8" s="21">
        <f>(IF(Time!CN43=1,Inputs!$F$101,Time!CN54)+CN7)/100</f>
        <v/>
      </c>
      <c r="CO8" s="21">
        <f>(IF(Time!CO43=1,Inputs!$F$101,Time!CO54)+CO7)/100</f>
        <v/>
      </c>
      <c r="CP8" s="21">
        <f>(IF(Time!CP43=1,Inputs!$F$101,Time!CP54)+CP7)/100</f>
        <v/>
      </c>
      <c r="CQ8" s="21">
        <f>(IF(Time!CQ43=1,Inputs!$F$101,Time!CQ54)+CQ7)/100</f>
        <v/>
      </c>
      <c r="CR8" s="21">
        <f>(IF(Time!CR43=1,Inputs!$F$101,Time!CR54)+CR7)/100</f>
        <v/>
      </c>
      <c r="CS8" s="21">
        <f>(IF(Time!CS43=1,Inputs!$F$101,Time!CS54)+CS7)/100</f>
        <v/>
      </c>
      <c r="CT8" s="21">
        <f>(IF(Time!CT43=1,Inputs!$F$101,Time!CT54)+CT7)/100</f>
        <v/>
      </c>
      <c r="CU8" s="21">
        <f>(IF(Time!CU43=1,Inputs!$F$101,Time!CU54)+CU7)/100</f>
        <v/>
      </c>
      <c r="CV8" s="21">
        <f>(IF(Time!CV43=1,Inputs!$F$101,Time!CV54)+CV7)/100</f>
        <v/>
      </c>
      <c r="CW8" s="21">
        <f>(IF(Time!CW43=1,Inputs!$F$101,Time!CW54)+CW7)/100</f>
        <v/>
      </c>
      <c r="CX8" s="21">
        <f>(IF(Time!CX43=1,Inputs!$F$101,Time!CX54)+CX7)/100</f>
        <v/>
      </c>
      <c r="CY8" s="21">
        <f>(IF(Time!CY43=1,Inputs!$F$101,Time!CY54)+CY7)/100</f>
        <v/>
      </c>
      <c r="CZ8" s="21">
        <f>(IF(Time!CZ43=1,Inputs!$F$101,Time!CZ54)+CZ7)/100</f>
        <v/>
      </c>
      <c r="DA8" s="21">
        <f>(IF(Time!DA43=1,Inputs!$F$101,Time!DA54)+DA7)/100</f>
        <v/>
      </c>
      <c r="DB8" s="21">
        <f>(IF(Time!DB43=1,Inputs!$F$101,Time!DB54)+DB7)/100</f>
        <v/>
      </c>
    </row>
    <row r="9">
      <c r="D9" t="inlineStr">
        <is>
          <t>Senior blended period rate</t>
        </is>
      </c>
      <c r="E9" t="inlineStr">
        <is>
          <t>%</t>
        </is>
      </c>
      <c r="J9" s="21">
        <f>Inputs!$F$97*J8*Time!J9/Inputs!$F$46+Inputs!$F$98*Inputs!$F$111*Time!J10/Inputs!$F$47</f>
        <v/>
      </c>
      <c r="K9" s="21">
        <f>Inputs!$F$97*K8*Time!K9/Inputs!$F$46+Inputs!$F$98*Inputs!$F$111*Time!K10/Inputs!$F$47</f>
        <v/>
      </c>
      <c r="L9" s="21">
        <f>Inputs!$F$97*L8*Time!L9/Inputs!$F$46+Inputs!$F$98*Inputs!$F$111*Time!L10/Inputs!$F$47</f>
        <v/>
      </c>
      <c r="M9" s="21">
        <f>Inputs!$F$97*M8*Time!M9/Inputs!$F$46+Inputs!$F$98*Inputs!$F$111*Time!M10/Inputs!$F$47</f>
        <v/>
      </c>
      <c r="N9" s="21">
        <f>Inputs!$F$97*N8*Time!N9/Inputs!$F$46+Inputs!$F$98*Inputs!$F$111*Time!N10/Inputs!$F$47</f>
        <v/>
      </c>
      <c r="O9" s="21">
        <f>Inputs!$F$97*O8*Time!O9/Inputs!$F$46+Inputs!$F$98*Inputs!$F$111*Time!O10/Inputs!$F$47</f>
        <v/>
      </c>
      <c r="P9" s="21">
        <f>Inputs!$F$97*P8*Time!P9/Inputs!$F$46+Inputs!$F$98*Inputs!$F$111*Time!P10/Inputs!$F$47</f>
        <v/>
      </c>
      <c r="Q9" s="21">
        <f>Inputs!$F$97*Q8*Time!Q9/Inputs!$F$46+Inputs!$F$98*Inputs!$F$111*Time!Q10/Inputs!$F$47</f>
        <v/>
      </c>
      <c r="R9" s="21">
        <f>Inputs!$F$97*R8*Time!R9/Inputs!$F$46+Inputs!$F$98*Inputs!$F$111*Time!R10/Inputs!$F$47</f>
        <v/>
      </c>
      <c r="S9" s="21">
        <f>Inputs!$F$97*S8*Time!S9/Inputs!$F$46+Inputs!$F$98*Inputs!$F$111*Time!S10/Inputs!$F$47</f>
        <v/>
      </c>
      <c r="T9" s="21">
        <f>Inputs!$F$97*T8*Time!T9/Inputs!$F$46+Inputs!$F$98*Inputs!$F$111*Time!T10/Inputs!$F$47</f>
        <v/>
      </c>
      <c r="U9" s="21">
        <f>Inputs!$F$97*U8*Time!U9/Inputs!$F$46+Inputs!$F$98*Inputs!$F$111*Time!U10/Inputs!$F$47</f>
        <v/>
      </c>
      <c r="V9" s="21">
        <f>Inputs!$F$97*V8*Time!V9/Inputs!$F$46+Inputs!$F$98*Inputs!$F$111*Time!V10/Inputs!$F$47</f>
        <v/>
      </c>
      <c r="W9" s="21">
        <f>Inputs!$F$97*W8*Time!W9/Inputs!$F$46+Inputs!$F$98*Inputs!$F$111*Time!W10/Inputs!$F$47</f>
        <v/>
      </c>
      <c r="X9" s="21">
        <f>Inputs!$F$97*X8*Time!X9/Inputs!$F$46+Inputs!$F$98*Inputs!$F$111*Time!X10/Inputs!$F$47</f>
        <v/>
      </c>
      <c r="Y9" s="21">
        <f>Inputs!$F$97*Y8*Time!Y9/Inputs!$F$46+Inputs!$F$98*Inputs!$F$111*Time!Y10/Inputs!$F$47</f>
        <v/>
      </c>
      <c r="Z9" s="21">
        <f>Inputs!$F$97*Z8*Time!Z9/Inputs!$F$46+Inputs!$F$98*Inputs!$F$111*Time!Z10/Inputs!$F$47</f>
        <v/>
      </c>
      <c r="AA9" s="21">
        <f>Inputs!$F$97*AA8*Time!AA9/Inputs!$F$46+Inputs!$F$98*Inputs!$F$111*Time!AA10/Inputs!$F$47</f>
        <v/>
      </c>
      <c r="AB9" s="21">
        <f>Inputs!$F$97*AB8*Time!AB9/Inputs!$F$46+Inputs!$F$98*Inputs!$F$111*Time!AB10/Inputs!$F$47</f>
        <v/>
      </c>
      <c r="AC9" s="21">
        <f>Inputs!$F$97*AC8*Time!AC9/Inputs!$F$46+Inputs!$F$98*Inputs!$F$111*Time!AC10/Inputs!$F$47</f>
        <v/>
      </c>
      <c r="AD9" s="21">
        <f>Inputs!$F$97*AD8*Time!AD9/Inputs!$F$46+Inputs!$F$98*Inputs!$F$111*Time!AD10/Inputs!$F$47</f>
        <v/>
      </c>
      <c r="AE9" s="21">
        <f>Inputs!$F$97*AE8*Time!AE9/Inputs!$F$46+Inputs!$F$98*Inputs!$F$111*Time!AE10/Inputs!$F$47</f>
        <v/>
      </c>
      <c r="AF9" s="21">
        <f>Inputs!$F$97*AF8*Time!AF9/Inputs!$F$46+Inputs!$F$98*Inputs!$F$111*Time!AF10/Inputs!$F$47</f>
        <v/>
      </c>
      <c r="AG9" s="21">
        <f>Inputs!$F$97*AG8*Time!AG9/Inputs!$F$46+Inputs!$F$98*Inputs!$F$111*Time!AG10/Inputs!$F$47</f>
        <v/>
      </c>
      <c r="AH9" s="21">
        <f>Inputs!$F$97*AH8*Time!AH9/Inputs!$F$46+Inputs!$F$98*Inputs!$F$111*Time!AH10/Inputs!$F$47</f>
        <v/>
      </c>
      <c r="AI9" s="21">
        <f>Inputs!$F$97*AI8*Time!AI9/Inputs!$F$46+Inputs!$F$98*Inputs!$F$111*Time!AI10/Inputs!$F$47</f>
        <v/>
      </c>
      <c r="AJ9" s="21">
        <f>Inputs!$F$97*AJ8*Time!AJ9/Inputs!$F$46+Inputs!$F$98*Inputs!$F$111*Time!AJ10/Inputs!$F$47</f>
        <v/>
      </c>
      <c r="AK9" s="21">
        <f>Inputs!$F$97*AK8*Time!AK9/Inputs!$F$46+Inputs!$F$98*Inputs!$F$111*Time!AK10/Inputs!$F$47</f>
        <v/>
      </c>
      <c r="AL9" s="21">
        <f>Inputs!$F$97*AL8*Time!AL9/Inputs!$F$46+Inputs!$F$98*Inputs!$F$111*Time!AL10/Inputs!$F$47</f>
        <v/>
      </c>
      <c r="AM9" s="21">
        <f>Inputs!$F$97*AM8*Time!AM9/Inputs!$F$46+Inputs!$F$98*Inputs!$F$111*Time!AM10/Inputs!$F$47</f>
        <v/>
      </c>
      <c r="AN9" s="21">
        <f>Inputs!$F$97*AN8*Time!AN9/Inputs!$F$46+Inputs!$F$98*Inputs!$F$111*Time!AN10/Inputs!$F$47</f>
        <v/>
      </c>
      <c r="AO9" s="21">
        <f>Inputs!$F$97*AO8*Time!AO9/Inputs!$F$46+Inputs!$F$98*Inputs!$F$111*Time!AO10/Inputs!$F$47</f>
        <v/>
      </c>
      <c r="AP9" s="21">
        <f>Inputs!$F$97*AP8*Time!AP9/Inputs!$F$46+Inputs!$F$98*Inputs!$F$111*Time!AP10/Inputs!$F$47</f>
        <v/>
      </c>
      <c r="AQ9" s="21">
        <f>Inputs!$F$97*AQ8*Time!AQ9/Inputs!$F$46+Inputs!$F$98*Inputs!$F$111*Time!AQ10/Inputs!$F$47</f>
        <v/>
      </c>
      <c r="AR9" s="21">
        <f>Inputs!$F$97*AR8*Time!AR9/Inputs!$F$46+Inputs!$F$98*Inputs!$F$111*Time!AR10/Inputs!$F$47</f>
        <v/>
      </c>
      <c r="AS9" s="21">
        <f>Inputs!$F$97*AS8*Time!AS9/Inputs!$F$46+Inputs!$F$98*Inputs!$F$111*Time!AS10/Inputs!$F$47</f>
        <v/>
      </c>
      <c r="AT9" s="21">
        <f>Inputs!$F$97*AT8*Time!AT9/Inputs!$F$46+Inputs!$F$98*Inputs!$F$111*Time!AT10/Inputs!$F$47</f>
        <v/>
      </c>
      <c r="AU9" s="21">
        <f>Inputs!$F$97*AU8*Time!AU9/Inputs!$F$46+Inputs!$F$98*Inputs!$F$111*Time!AU10/Inputs!$F$47</f>
        <v/>
      </c>
      <c r="AV9" s="21">
        <f>Inputs!$F$97*AV8*Time!AV9/Inputs!$F$46+Inputs!$F$98*Inputs!$F$111*Time!AV10/Inputs!$F$47</f>
        <v/>
      </c>
      <c r="AW9" s="21">
        <f>Inputs!$F$97*AW8*Time!AW9/Inputs!$F$46+Inputs!$F$98*Inputs!$F$111*Time!AW10/Inputs!$F$47</f>
        <v/>
      </c>
      <c r="AX9" s="21">
        <f>Inputs!$F$97*AX8*Time!AX9/Inputs!$F$46+Inputs!$F$98*Inputs!$F$111*Time!AX10/Inputs!$F$47</f>
        <v/>
      </c>
      <c r="AY9" s="21">
        <f>Inputs!$F$97*AY8*Time!AY9/Inputs!$F$46+Inputs!$F$98*Inputs!$F$111*Time!AY10/Inputs!$F$47</f>
        <v/>
      </c>
      <c r="AZ9" s="21">
        <f>Inputs!$F$97*AZ8*Time!AZ9/Inputs!$F$46+Inputs!$F$98*Inputs!$F$111*Time!AZ10/Inputs!$F$47</f>
        <v/>
      </c>
      <c r="BA9" s="21">
        <f>Inputs!$F$97*BA8*Time!BA9/Inputs!$F$46+Inputs!$F$98*Inputs!$F$111*Time!BA10/Inputs!$F$47</f>
        <v/>
      </c>
      <c r="BB9" s="21">
        <f>Inputs!$F$97*BB8*Time!BB9/Inputs!$F$46+Inputs!$F$98*Inputs!$F$111*Time!BB10/Inputs!$F$47</f>
        <v/>
      </c>
      <c r="BC9" s="21">
        <f>Inputs!$F$97*BC8*Time!BC9/Inputs!$F$46+Inputs!$F$98*Inputs!$F$111*Time!BC10/Inputs!$F$47</f>
        <v/>
      </c>
      <c r="BD9" s="21">
        <f>Inputs!$F$97*BD8*Time!BD9/Inputs!$F$46+Inputs!$F$98*Inputs!$F$111*Time!BD10/Inputs!$F$47</f>
        <v/>
      </c>
      <c r="BE9" s="21">
        <f>Inputs!$F$97*BE8*Time!BE9/Inputs!$F$46+Inputs!$F$98*Inputs!$F$111*Time!BE10/Inputs!$F$47</f>
        <v/>
      </c>
      <c r="BF9" s="21">
        <f>Inputs!$F$97*BF8*Time!BF9/Inputs!$F$46+Inputs!$F$98*Inputs!$F$111*Time!BF10/Inputs!$F$47</f>
        <v/>
      </c>
      <c r="BG9" s="21">
        <f>Inputs!$F$97*BG8*Time!BG9/Inputs!$F$46+Inputs!$F$98*Inputs!$F$111*Time!BG10/Inputs!$F$47</f>
        <v/>
      </c>
      <c r="BH9" s="21">
        <f>Inputs!$F$97*BH8*Time!BH9/Inputs!$F$46+Inputs!$F$98*Inputs!$F$111*Time!BH10/Inputs!$F$47</f>
        <v/>
      </c>
      <c r="BI9" s="21">
        <f>Inputs!$F$97*BI8*Time!BI9/Inputs!$F$46+Inputs!$F$98*Inputs!$F$111*Time!BI10/Inputs!$F$47</f>
        <v/>
      </c>
      <c r="BJ9" s="21">
        <f>Inputs!$F$97*BJ8*Time!BJ9/Inputs!$F$46+Inputs!$F$98*Inputs!$F$111*Time!BJ10/Inputs!$F$47</f>
        <v/>
      </c>
      <c r="BK9" s="21">
        <f>Inputs!$F$97*BK8*Time!BK9/Inputs!$F$46+Inputs!$F$98*Inputs!$F$111*Time!BK10/Inputs!$F$47</f>
        <v/>
      </c>
      <c r="BL9" s="21">
        <f>Inputs!$F$97*BL8*Time!BL9/Inputs!$F$46+Inputs!$F$98*Inputs!$F$111*Time!BL10/Inputs!$F$47</f>
        <v/>
      </c>
      <c r="BM9" s="21">
        <f>Inputs!$F$97*BM8*Time!BM9/Inputs!$F$46+Inputs!$F$98*Inputs!$F$111*Time!BM10/Inputs!$F$47</f>
        <v/>
      </c>
      <c r="BN9" s="21">
        <f>Inputs!$F$97*BN8*Time!BN9/Inputs!$F$46+Inputs!$F$98*Inputs!$F$111*Time!BN10/Inputs!$F$47</f>
        <v/>
      </c>
      <c r="BO9" s="21">
        <f>Inputs!$F$97*BO8*Time!BO9/Inputs!$F$46+Inputs!$F$98*Inputs!$F$111*Time!BO10/Inputs!$F$47</f>
        <v/>
      </c>
      <c r="BP9" s="21">
        <f>Inputs!$F$97*BP8*Time!BP9/Inputs!$F$46+Inputs!$F$98*Inputs!$F$111*Time!BP10/Inputs!$F$47</f>
        <v/>
      </c>
      <c r="BQ9" s="21">
        <f>Inputs!$F$97*BQ8*Time!BQ9/Inputs!$F$46+Inputs!$F$98*Inputs!$F$111*Time!BQ10/Inputs!$F$47</f>
        <v/>
      </c>
      <c r="BR9" s="21">
        <f>Inputs!$F$97*BR8*Time!BR9/Inputs!$F$46+Inputs!$F$98*Inputs!$F$111*Time!BR10/Inputs!$F$47</f>
        <v/>
      </c>
      <c r="BS9" s="21">
        <f>Inputs!$F$97*BS8*Time!BS9/Inputs!$F$46+Inputs!$F$98*Inputs!$F$111*Time!BS10/Inputs!$F$47</f>
        <v/>
      </c>
      <c r="BT9" s="21">
        <f>Inputs!$F$97*BT8*Time!BT9/Inputs!$F$46+Inputs!$F$98*Inputs!$F$111*Time!BT10/Inputs!$F$47</f>
        <v/>
      </c>
      <c r="BU9" s="21">
        <f>Inputs!$F$97*BU8*Time!BU9/Inputs!$F$46+Inputs!$F$98*Inputs!$F$111*Time!BU10/Inputs!$F$47</f>
        <v/>
      </c>
      <c r="BV9" s="21">
        <f>Inputs!$F$97*BV8*Time!BV9/Inputs!$F$46+Inputs!$F$98*Inputs!$F$111*Time!BV10/Inputs!$F$47</f>
        <v/>
      </c>
      <c r="BW9" s="21">
        <f>Inputs!$F$97*BW8*Time!BW9/Inputs!$F$46+Inputs!$F$98*Inputs!$F$111*Time!BW10/Inputs!$F$47</f>
        <v/>
      </c>
      <c r="BX9" s="21">
        <f>Inputs!$F$97*BX8*Time!BX9/Inputs!$F$46+Inputs!$F$98*Inputs!$F$111*Time!BX10/Inputs!$F$47</f>
        <v/>
      </c>
      <c r="BY9" s="21">
        <f>Inputs!$F$97*BY8*Time!BY9/Inputs!$F$46+Inputs!$F$98*Inputs!$F$111*Time!BY10/Inputs!$F$47</f>
        <v/>
      </c>
      <c r="BZ9" s="21">
        <f>Inputs!$F$97*BZ8*Time!BZ9/Inputs!$F$46+Inputs!$F$98*Inputs!$F$111*Time!BZ10/Inputs!$F$47</f>
        <v/>
      </c>
      <c r="CA9" s="21">
        <f>Inputs!$F$97*CA8*Time!CA9/Inputs!$F$46+Inputs!$F$98*Inputs!$F$111*Time!CA10/Inputs!$F$47</f>
        <v/>
      </c>
      <c r="CB9" s="21">
        <f>Inputs!$F$97*CB8*Time!CB9/Inputs!$F$46+Inputs!$F$98*Inputs!$F$111*Time!CB10/Inputs!$F$47</f>
        <v/>
      </c>
      <c r="CC9" s="21">
        <f>Inputs!$F$97*CC8*Time!CC9/Inputs!$F$46+Inputs!$F$98*Inputs!$F$111*Time!CC10/Inputs!$F$47</f>
        <v/>
      </c>
      <c r="CD9" s="21">
        <f>Inputs!$F$97*CD8*Time!CD9/Inputs!$F$46+Inputs!$F$98*Inputs!$F$111*Time!CD10/Inputs!$F$47</f>
        <v/>
      </c>
      <c r="CE9" s="21">
        <f>Inputs!$F$97*CE8*Time!CE9/Inputs!$F$46+Inputs!$F$98*Inputs!$F$111*Time!CE10/Inputs!$F$47</f>
        <v/>
      </c>
      <c r="CF9" s="21">
        <f>Inputs!$F$97*CF8*Time!CF9/Inputs!$F$46+Inputs!$F$98*Inputs!$F$111*Time!CF10/Inputs!$F$47</f>
        <v/>
      </c>
      <c r="CG9" s="21">
        <f>Inputs!$F$97*CG8*Time!CG9/Inputs!$F$46+Inputs!$F$98*Inputs!$F$111*Time!CG10/Inputs!$F$47</f>
        <v/>
      </c>
      <c r="CH9" s="21">
        <f>Inputs!$F$97*CH8*Time!CH9/Inputs!$F$46+Inputs!$F$98*Inputs!$F$111*Time!CH10/Inputs!$F$47</f>
        <v/>
      </c>
      <c r="CI9" s="21">
        <f>Inputs!$F$97*CI8*Time!CI9/Inputs!$F$46+Inputs!$F$98*Inputs!$F$111*Time!CI10/Inputs!$F$47</f>
        <v/>
      </c>
      <c r="CJ9" s="21">
        <f>Inputs!$F$97*CJ8*Time!CJ9/Inputs!$F$46+Inputs!$F$98*Inputs!$F$111*Time!CJ10/Inputs!$F$47</f>
        <v/>
      </c>
      <c r="CK9" s="21">
        <f>Inputs!$F$97*CK8*Time!CK9/Inputs!$F$46+Inputs!$F$98*Inputs!$F$111*Time!CK10/Inputs!$F$47</f>
        <v/>
      </c>
      <c r="CL9" s="21">
        <f>Inputs!$F$97*CL8*Time!CL9/Inputs!$F$46+Inputs!$F$98*Inputs!$F$111*Time!CL10/Inputs!$F$47</f>
        <v/>
      </c>
      <c r="CM9" s="21">
        <f>Inputs!$F$97*CM8*Time!CM9/Inputs!$F$46+Inputs!$F$98*Inputs!$F$111*Time!CM10/Inputs!$F$47</f>
        <v/>
      </c>
      <c r="CN9" s="21">
        <f>Inputs!$F$97*CN8*Time!CN9/Inputs!$F$46+Inputs!$F$98*Inputs!$F$111*Time!CN10/Inputs!$F$47</f>
        <v/>
      </c>
      <c r="CO9" s="21">
        <f>Inputs!$F$97*CO8*Time!CO9/Inputs!$F$46+Inputs!$F$98*Inputs!$F$111*Time!CO10/Inputs!$F$47</f>
        <v/>
      </c>
      <c r="CP9" s="21">
        <f>Inputs!$F$97*CP8*Time!CP9/Inputs!$F$46+Inputs!$F$98*Inputs!$F$111*Time!CP10/Inputs!$F$47</f>
        <v/>
      </c>
      <c r="CQ9" s="21">
        <f>Inputs!$F$97*CQ8*Time!CQ9/Inputs!$F$46+Inputs!$F$98*Inputs!$F$111*Time!CQ10/Inputs!$F$47</f>
        <v/>
      </c>
      <c r="CR9" s="21">
        <f>Inputs!$F$97*CR8*Time!CR9/Inputs!$F$46+Inputs!$F$98*Inputs!$F$111*Time!CR10/Inputs!$F$47</f>
        <v/>
      </c>
      <c r="CS9" s="21">
        <f>Inputs!$F$97*CS8*Time!CS9/Inputs!$F$46+Inputs!$F$98*Inputs!$F$111*Time!CS10/Inputs!$F$47</f>
        <v/>
      </c>
      <c r="CT9" s="21">
        <f>Inputs!$F$97*CT8*Time!CT9/Inputs!$F$46+Inputs!$F$98*Inputs!$F$111*Time!CT10/Inputs!$F$47</f>
        <v/>
      </c>
      <c r="CU9" s="21">
        <f>Inputs!$F$97*CU8*Time!CU9/Inputs!$F$46+Inputs!$F$98*Inputs!$F$111*Time!CU10/Inputs!$F$47</f>
        <v/>
      </c>
      <c r="CV9" s="21">
        <f>Inputs!$F$97*CV8*Time!CV9/Inputs!$F$46+Inputs!$F$98*Inputs!$F$111*Time!CV10/Inputs!$F$47</f>
        <v/>
      </c>
      <c r="CW9" s="21">
        <f>Inputs!$F$97*CW8*Time!CW9/Inputs!$F$46+Inputs!$F$98*Inputs!$F$111*Time!CW10/Inputs!$F$47</f>
        <v/>
      </c>
      <c r="CX9" s="21">
        <f>Inputs!$F$97*CX8*Time!CX9/Inputs!$F$46+Inputs!$F$98*Inputs!$F$111*Time!CX10/Inputs!$F$47</f>
        <v/>
      </c>
      <c r="CY9" s="21">
        <f>Inputs!$F$97*CY8*Time!CY9/Inputs!$F$46+Inputs!$F$98*Inputs!$F$111*Time!CY10/Inputs!$F$47</f>
        <v/>
      </c>
      <c r="CZ9" s="21">
        <f>Inputs!$F$97*CZ8*Time!CZ9/Inputs!$F$46+Inputs!$F$98*Inputs!$F$111*Time!CZ10/Inputs!$F$47</f>
        <v/>
      </c>
      <c r="DA9" s="21">
        <f>Inputs!$F$97*DA8*Time!DA9/Inputs!$F$46+Inputs!$F$98*Inputs!$F$111*Time!DA10/Inputs!$F$47</f>
        <v/>
      </c>
      <c r="DB9" s="21">
        <f>Inputs!$F$97*DB8*Time!DB9/Inputs!$F$46+Inputs!$F$98*Inputs!$F$111*Time!DB10/Inputs!$F$47</f>
        <v/>
      </c>
    </row>
    <row r="10">
      <c r="D10" t="inlineStr">
        <is>
          <t>Notes period rate</t>
        </is>
      </c>
      <c r="E10" t="inlineStr">
        <is>
          <t>%</t>
        </is>
      </c>
      <c r="J10" s="21">
        <f>Inputs!$F$167*Time!J10/Inputs!$F$47</f>
        <v/>
      </c>
      <c r="K10" s="21">
        <f>Inputs!$F$167*Time!K10/Inputs!$F$47</f>
        <v/>
      </c>
      <c r="L10" s="21">
        <f>Inputs!$F$167*Time!L10/Inputs!$F$47</f>
        <v/>
      </c>
      <c r="M10" s="21">
        <f>Inputs!$F$167*Time!M10/Inputs!$F$47</f>
        <v/>
      </c>
      <c r="N10" s="21">
        <f>Inputs!$F$167*Time!N10/Inputs!$F$47</f>
        <v/>
      </c>
      <c r="O10" s="21">
        <f>Inputs!$F$167*Time!O10/Inputs!$F$47</f>
        <v/>
      </c>
      <c r="P10" s="21">
        <f>Inputs!$F$167*Time!P10/Inputs!$F$47</f>
        <v/>
      </c>
      <c r="Q10" s="21">
        <f>Inputs!$F$167*Time!Q10/Inputs!$F$47</f>
        <v/>
      </c>
      <c r="R10" s="21">
        <f>Inputs!$F$167*Time!R10/Inputs!$F$47</f>
        <v/>
      </c>
      <c r="S10" s="21">
        <f>Inputs!$F$167*Time!S10/Inputs!$F$47</f>
        <v/>
      </c>
      <c r="T10" s="21">
        <f>Inputs!$F$167*Time!T10/Inputs!$F$47</f>
        <v/>
      </c>
      <c r="U10" s="21">
        <f>Inputs!$F$167*Time!U10/Inputs!$F$47</f>
        <v/>
      </c>
      <c r="V10" s="21">
        <f>Inputs!$F$167*Time!V10/Inputs!$F$47</f>
        <v/>
      </c>
      <c r="W10" s="21">
        <f>Inputs!$F$167*Time!W10/Inputs!$F$47</f>
        <v/>
      </c>
      <c r="X10" s="21">
        <f>Inputs!$F$167*Time!X10/Inputs!$F$47</f>
        <v/>
      </c>
      <c r="Y10" s="21">
        <f>Inputs!$F$167*Time!Y10/Inputs!$F$47</f>
        <v/>
      </c>
      <c r="Z10" s="21">
        <f>Inputs!$F$167*Time!Z10/Inputs!$F$47</f>
        <v/>
      </c>
      <c r="AA10" s="21">
        <f>Inputs!$F$167*Time!AA10/Inputs!$F$47</f>
        <v/>
      </c>
      <c r="AB10" s="21">
        <f>Inputs!$F$167*Time!AB10/Inputs!$F$47</f>
        <v/>
      </c>
      <c r="AC10" s="21">
        <f>Inputs!$F$167*Time!AC10/Inputs!$F$47</f>
        <v/>
      </c>
      <c r="AD10" s="21">
        <f>Inputs!$F$167*Time!AD10/Inputs!$F$47</f>
        <v/>
      </c>
      <c r="AE10" s="21">
        <f>Inputs!$F$167*Time!AE10/Inputs!$F$47</f>
        <v/>
      </c>
      <c r="AF10" s="21">
        <f>Inputs!$F$167*Time!AF10/Inputs!$F$47</f>
        <v/>
      </c>
      <c r="AG10" s="21">
        <f>Inputs!$F$167*Time!AG10/Inputs!$F$47</f>
        <v/>
      </c>
      <c r="AH10" s="21">
        <f>Inputs!$F$167*Time!AH10/Inputs!$F$47</f>
        <v/>
      </c>
      <c r="AI10" s="21">
        <f>Inputs!$F$167*Time!AI10/Inputs!$F$47</f>
        <v/>
      </c>
      <c r="AJ10" s="21">
        <f>Inputs!$F$167*Time!AJ10/Inputs!$F$47</f>
        <v/>
      </c>
      <c r="AK10" s="21">
        <f>Inputs!$F$167*Time!AK10/Inputs!$F$47</f>
        <v/>
      </c>
      <c r="AL10" s="21">
        <f>Inputs!$F$167*Time!AL10/Inputs!$F$47</f>
        <v/>
      </c>
      <c r="AM10" s="21">
        <f>Inputs!$F$167*Time!AM10/Inputs!$F$47</f>
        <v/>
      </c>
      <c r="AN10" s="21">
        <f>Inputs!$F$167*Time!AN10/Inputs!$F$47</f>
        <v/>
      </c>
      <c r="AO10" s="21">
        <f>Inputs!$F$167*Time!AO10/Inputs!$F$47</f>
        <v/>
      </c>
      <c r="AP10" s="21">
        <f>Inputs!$F$167*Time!AP10/Inputs!$F$47</f>
        <v/>
      </c>
      <c r="AQ10" s="21">
        <f>Inputs!$F$167*Time!AQ10/Inputs!$F$47</f>
        <v/>
      </c>
      <c r="AR10" s="21">
        <f>Inputs!$F$167*Time!AR10/Inputs!$F$47</f>
        <v/>
      </c>
      <c r="AS10" s="21">
        <f>Inputs!$F$167*Time!AS10/Inputs!$F$47</f>
        <v/>
      </c>
      <c r="AT10" s="21">
        <f>Inputs!$F$167*Time!AT10/Inputs!$F$47</f>
        <v/>
      </c>
      <c r="AU10" s="21">
        <f>Inputs!$F$167*Time!AU10/Inputs!$F$47</f>
        <v/>
      </c>
      <c r="AV10" s="21">
        <f>Inputs!$F$167*Time!AV10/Inputs!$F$47</f>
        <v/>
      </c>
      <c r="AW10" s="21">
        <f>Inputs!$F$167*Time!AW10/Inputs!$F$47</f>
        <v/>
      </c>
      <c r="AX10" s="21">
        <f>Inputs!$F$167*Time!AX10/Inputs!$F$47</f>
        <v/>
      </c>
      <c r="AY10" s="21">
        <f>Inputs!$F$167*Time!AY10/Inputs!$F$47</f>
        <v/>
      </c>
      <c r="AZ10" s="21">
        <f>Inputs!$F$167*Time!AZ10/Inputs!$F$47</f>
        <v/>
      </c>
      <c r="BA10" s="21">
        <f>Inputs!$F$167*Time!BA10/Inputs!$F$47</f>
        <v/>
      </c>
      <c r="BB10" s="21">
        <f>Inputs!$F$167*Time!BB10/Inputs!$F$47</f>
        <v/>
      </c>
      <c r="BC10" s="21">
        <f>Inputs!$F$167*Time!BC10/Inputs!$F$47</f>
        <v/>
      </c>
      <c r="BD10" s="21">
        <f>Inputs!$F$167*Time!BD10/Inputs!$F$47</f>
        <v/>
      </c>
      <c r="BE10" s="21">
        <f>Inputs!$F$167*Time!BE10/Inputs!$F$47</f>
        <v/>
      </c>
      <c r="BF10" s="21">
        <f>Inputs!$F$167*Time!BF10/Inputs!$F$47</f>
        <v/>
      </c>
      <c r="BG10" s="21">
        <f>Inputs!$F$167*Time!BG10/Inputs!$F$47</f>
        <v/>
      </c>
      <c r="BH10" s="21">
        <f>Inputs!$F$167*Time!BH10/Inputs!$F$47</f>
        <v/>
      </c>
      <c r="BI10" s="21">
        <f>Inputs!$F$167*Time!BI10/Inputs!$F$47</f>
        <v/>
      </c>
      <c r="BJ10" s="21">
        <f>Inputs!$F$167*Time!BJ10/Inputs!$F$47</f>
        <v/>
      </c>
      <c r="BK10" s="21">
        <f>Inputs!$F$167*Time!BK10/Inputs!$F$47</f>
        <v/>
      </c>
      <c r="BL10" s="21">
        <f>Inputs!$F$167*Time!BL10/Inputs!$F$47</f>
        <v/>
      </c>
      <c r="BM10" s="21">
        <f>Inputs!$F$167*Time!BM10/Inputs!$F$47</f>
        <v/>
      </c>
      <c r="BN10" s="21">
        <f>Inputs!$F$167*Time!BN10/Inputs!$F$47</f>
        <v/>
      </c>
      <c r="BO10" s="21">
        <f>Inputs!$F$167*Time!BO10/Inputs!$F$47</f>
        <v/>
      </c>
      <c r="BP10" s="21">
        <f>Inputs!$F$167*Time!BP10/Inputs!$F$47</f>
        <v/>
      </c>
      <c r="BQ10" s="21">
        <f>Inputs!$F$167*Time!BQ10/Inputs!$F$47</f>
        <v/>
      </c>
      <c r="BR10" s="21">
        <f>Inputs!$F$167*Time!BR10/Inputs!$F$47</f>
        <v/>
      </c>
      <c r="BS10" s="21">
        <f>Inputs!$F$167*Time!BS10/Inputs!$F$47</f>
        <v/>
      </c>
      <c r="BT10" s="21">
        <f>Inputs!$F$167*Time!BT10/Inputs!$F$47</f>
        <v/>
      </c>
      <c r="BU10" s="21">
        <f>Inputs!$F$167*Time!BU10/Inputs!$F$47</f>
        <v/>
      </c>
      <c r="BV10" s="21">
        <f>Inputs!$F$167*Time!BV10/Inputs!$F$47</f>
        <v/>
      </c>
      <c r="BW10" s="21">
        <f>Inputs!$F$167*Time!BW10/Inputs!$F$47</f>
        <v/>
      </c>
      <c r="BX10" s="21">
        <f>Inputs!$F$167*Time!BX10/Inputs!$F$47</f>
        <v/>
      </c>
      <c r="BY10" s="21">
        <f>Inputs!$F$167*Time!BY10/Inputs!$F$47</f>
        <v/>
      </c>
      <c r="BZ10" s="21">
        <f>Inputs!$F$167*Time!BZ10/Inputs!$F$47</f>
        <v/>
      </c>
      <c r="CA10" s="21">
        <f>Inputs!$F$167*Time!CA10/Inputs!$F$47</f>
        <v/>
      </c>
      <c r="CB10" s="21">
        <f>Inputs!$F$167*Time!CB10/Inputs!$F$47</f>
        <v/>
      </c>
      <c r="CC10" s="21">
        <f>Inputs!$F$167*Time!CC10/Inputs!$F$47</f>
        <v/>
      </c>
      <c r="CD10" s="21">
        <f>Inputs!$F$167*Time!CD10/Inputs!$F$47</f>
        <v/>
      </c>
      <c r="CE10" s="21">
        <f>Inputs!$F$167*Time!CE10/Inputs!$F$47</f>
        <v/>
      </c>
      <c r="CF10" s="21">
        <f>Inputs!$F$167*Time!CF10/Inputs!$F$47</f>
        <v/>
      </c>
      <c r="CG10" s="21">
        <f>Inputs!$F$167*Time!CG10/Inputs!$F$47</f>
        <v/>
      </c>
      <c r="CH10" s="21">
        <f>Inputs!$F$167*Time!CH10/Inputs!$F$47</f>
        <v/>
      </c>
      <c r="CI10" s="21">
        <f>Inputs!$F$167*Time!CI10/Inputs!$F$47</f>
        <v/>
      </c>
      <c r="CJ10" s="21">
        <f>Inputs!$F$167*Time!CJ10/Inputs!$F$47</f>
        <v/>
      </c>
      <c r="CK10" s="21">
        <f>Inputs!$F$167*Time!CK10/Inputs!$F$47</f>
        <v/>
      </c>
      <c r="CL10" s="21">
        <f>Inputs!$F$167*Time!CL10/Inputs!$F$47</f>
        <v/>
      </c>
      <c r="CM10" s="21">
        <f>Inputs!$F$167*Time!CM10/Inputs!$F$47</f>
        <v/>
      </c>
      <c r="CN10" s="21">
        <f>Inputs!$F$167*Time!CN10/Inputs!$F$47</f>
        <v/>
      </c>
      <c r="CO10" s="21">
        <f>Inputs!$F$167*Time!CO10/Inputs!$F$47</f>
        <v/>
      </c>
      <c r="CP10" s="21">
        <f>Inputs!$F$167*Time!CP10/Inputs!$F$47</f>
        <v/>
      </c>
      <c r="CQ10" s="21">
        <f>Inputs!$F$167*Time!CQ10/Inputs!$F$47</f>
        <v/>
      </c>
      <c r="CR10" s="21">
        <f>Inputs!$F$167*Time!CR10/Inputs!$F$47</f>
        <v/>
      </c>
      <c r="CS10" s="21">
        <f>Inputs!$F$167*Time!CS10/Inputs!$F$47</f>
        <v/>
      </c>
      <c r="CT10" s="21">
        <f>Inputs!$F$167*Time!CT10/Inputs!$F$47</f>
        <v/>
      </c>
      <c r="CU10" s="21">
        <f>Inputs!$F$167*Time!CU10/Inputs!$F$47</f>
        <v/>
      </c>
      <c r="CV10" s="21">
        <f>Inputs!$F$167*Time!CV10/Inputs!$F$47</f>
        <v/>
      </c>
      <c r="CW10" s="21">
        <f>Inputs!$F$167*Time!CW10/Inputs!$F$47</f>
        <v/>
      </c>
      <c r="CX10" s="21">
        <f>Inputs!$F$167*Time!CX10/Inputs!$F$47</f>
        <v/>
      </c>
      <c r="CY10" s="21">
        <f>Inputs!$F$167*Time!CY10/Inputs!$F$47</f>
        <v/>
      </c>
      <c r="CZ10" s="21">
        <f>Inputs!$F$167*Time!CZ10/Inputs!$F$47</f>
        <v/>
      </c>
      <c r="DA10" s="21">
        <f>Inputs!$F$167*Time!DA10/Inputs!$F$47</f>
        <v/>
      </c>
      <c r="DB10" s="21">
        <f>Inputs!$F$167*Time!DB10/Inputs!$F$47</f>
        <v/>
      </c>
    </row>
    <row r="11">
      <c r="D11" s="3" t="inlineStr">
        <is>
          <t>Senior sizing (live in Scenario 2)</t>
        </is>
      </c>
    </row>
    <row r="12">
      <c r="D12" t="inlineStr">
        <is>
          <t>Discount factor from 2021-01-01 at the senior rate</t>
        </is>
      </c>
      <c r="E12" t="inlineStr">
        <is>
          <t>factor</t>
        </is>
      </c>
      <c r="J12" s="27">
        <f>IF(Time!J30=1,IF(Time!I30=1,I12,1)/(1+J9),0)</f>
        <v/>
      </c>
      <c r="K12" s="27">
        <f>IF(Time!K30=1,IF(Time!J30=1,J12,1)/(1+K9),0)</f>
        <v/>
      </c>
      <c r="L12" s="27">
        <f>IF(Time!L30=1,IF(Time!K30=1,K12,1)/(1+L9),0)</f>
        <v/>
      </c>
      <c r="M12" s="27">
        <f>IF(Time!M30=1,IF(Time!L30=1,L12,1)/(1+M9),0)</f>
        <v/>
      </c>
      <c r="N12" s="27">
        <f>IF(Time!N30=1,IF(Time!M30=1,M12,1)/(1+N9),0)</f>
        <v/>
      </c>
      <c r="O12" s="27">
        <f>IF(Time!O30=1,IF(Time!N30=1,N12,1)/(1+O9),0)</f>
        <v/>
      </c>
      <c r="P12" s="27">
        <f>IF(Time!P30=1,IF(Time!O30=1,O12,1)/(1+P9),0)</f>
        <v/>
      </c>
      <c r="Q12" s="27">
        <f>IF(Time!Q30=1,IF(Time!P30=1,P12,1)/(1+Q9),0)</f>
        <v/>
      </c>
      <c r="R12" s="27">
        <f>IF(Time!R30=1,IF(Time!Q30=1,Q12,1)/(1+R9),0)</f>
        <v/>
      </c>
      <c r="S12" s="27">
        <f>IF(Time!S30=1,IF(Time!R30=1,R12,1)/(1+S9),0)</f>
        <v/>
      </c>
      <c r="T12" s="27">
        <f>IF(Time!T30=1,IF(Time!S30=1,S12,1)/(1+T9),0)</f>
        <v/>
      </c>
      <c r="U12" s="27">
        <f>IF(Time!U30=1,IF(Time!T30=1,T12,1)/(1+U9),0)</f>
        <v/>
      </c>
      <c r="V12" s="27">
        <f>IF(Time!V30=1,IF(Time!U30=1,U12,1)/(1+V9),0)</f>
        <v/>
      </c>
      <c r="W12" s="27">
        <f>IF(Time!W30=1,IF(Time!V30=1,V12,1)/(1+W9),0)</f>
        <v/>
      </c>
      <c r="X12" s="27">
        <f>IF(Time!X30=1,IF(Time!W30=1,W12,1)/(1+X9),0)</f>
        <v/>
      </c>
      <c r="Y12" s="27">
        <f>IF(Time!Y30=1,IF(Time!X30=1,X12,1)/(1+Y9),0)</f>
        <v/>
      </c>
      <c r="Z12" s="27">
        <f>IF(Time!Z30=1,IF(Time!Y30=1,Y12,1)/(1+Z9),0)</f>
        <v/>
      </c>
      <c r="AA12" s="27">
        <f>IF(Time!AA30=1,IF(Time!Z30=1,Z12,1)/(1+AA9),0)</f>
        <v/>
      </c>
      <c r="AB12" s="27">
        <f>IF(Time!AB30=1,IF(Time!AA30=1,AA12,1)/(1+AB9),0)</f>
        <v/>
      </c>
      <c r="AC12" s="27">
        <f>IF(Time!AC30=1,IF(Time!AB30=1,AB12,1)/(1+AC9),0)</f>
        <v/>
      </c>
      <c r="AD12" s="27">
        <f>IF(Time!AD30=1,IF(Time!AC30=1,AC12,1)/(1+AD9),0)</f>
        <v/>
      </c>
      <c r="AE12" s="27">
        <f>IF(Time!AE30=1,IF(Time!AD30=1,AD12,1)/(1+AE9),0)</f>
        <v/>
      </c>
      <c r="AF12" s="27">
        <f>IF(Time!AF30=1,IF(Time!AE30=1,AE12,1)/(1+AF9),0)</f>
        <v/>
      </c>
      <c r="AG12" s="27">
        <f>IF(Time!AG30=1,IF(Time!AF30=1,AF12,1)/(1+AG9),0)</f>
        <v/>
      </c>
      <c r="AH12" s="27">
        <f>IF(Time!AH30=1,IF(Time!AG30=1,AG12,1)/(1+AH9),0)</f>
        <v/>
      </c>
      <c r="AI12" s="27">
        <f>IF(Time!AI30=1,IF(Time!AH30=1,AH12,1)/(1+AI9),0)</f>
        <v/>
      </c>
      <c r="AJ12" s="27">
        <f>IF(Time!AJ30=1,IF(Time!AI30=1,AI12,1)/(1+AJ9),0)</f>
        <v/>
      </c>
      <c r="AK12" s="27">
        <f>IF(Time!AK30=1,IF(Time!AJ30=1,AJ12,1)/(1+AK9),0)</f>
        <v/>
      </c>
      <c r="AL12" s="27">
        <f>IF(Time!AL30=1,IF(Time!AK30=1,AK12,1)/(1+AL9),0)</f>
        <v/>
      </c>
      <c r="AM12" s="27">
        <f>IF(Time!AM30=1,IF(Time!AL30=1,AL12,1)/(1+AM9),0)</f>
        <v/>
      </c>
      <c r="AN12" s="27">
        <f>IF(Time!AN30=1,IF(Time!AM30=1,AM12,1)/(1+AN9),0)</f>
        <v/>
      </c>
      <c r="AO12" s="27">
        <f>IF(Time!AO30=1,IF(Time!AN30=1,AN12,1)/(1+AO9),0)</f>
        <v/>
      </c>
      <c r="AP12" s="27">
        <f>IF(Time!AP30=1,IF(Time!AO30=1,AO12,1)/(1+AP9),0)</f>
        <v/>
      </c>
      <c r="AQ12" s="27">
        <f>IF(Time!AQ30=1,IF(Time!AP30=1,AP12,1)/(1+AQ9),0)</f>
        <v/>
      </c>
      <c r="AR12" s="27">
        <f>IF(Time!AR30=1,IF(Time!AQ30=1,AQ12,1)/(1+AR9),0)</f>
        <v/>
      </c>
      <c r="AS12" s="27">
        <f>IF(Time!AS30=1,IF(Time!AR30=1,AR12,1)/(1+AS9),0)</f>
        <v/>
      </c>
      <c r="AT12" s="27">
        <f>IF(Time!AT30=1,IF(Time!AS30=1,AS12,1)/(1+AT9),0)</f>
        <v/>
      </c>
      <c r="AU12" s="27">
        <f>IF(Time!AU30=1,IF(Time!AT30=1,AT12,1)/(1+AU9),0)</f>
        <v/>
      </c>
      <c r="AV12" s="27">
        <f>IF(Time!AV30=1,IF(Time!AU30=1,AU12,1)/(1+AV9),0)</f>
        <v/>
      </c>
      <c r="AW12" s="27">
        <f>IF(Time!AW30=1,IF(Time!AV30=1,AV12,1)/(1+AW9),0)</f>
        <v/>
      </c>
      <c r="AX12" s="27">
        <f>IF(Time!AX30=1,IF(Time!AW30=1,AW12,1)/(1+AX9),0)</f>
        <v/>
      </c>
      <c r="AY12" s="27">
        <f>IF(Time!AY30=1,IF(Time!AX30=1,AX12,1)/(1+AY9),0)</f>
        <v/>
      </c>
      <c r="AZ12" s="27">
        <f>IF(Time!AZ30=1,IF(Time!AY30=1,AY12,1)/(1+AZ9),0)</f>
        <v/>
      </c>
      <c r="BA12" s="27">
        <f>IF(Time!BA30=1,IF(Time!AZ30=1,AZ12,1)/(1+BA9),0)</f>
        <v/>
      </c>
      <c r="BB12" s="27">
        <f>IF(Time!BB30=1,IF(Time!BA30=1,BA12,1)/(1+BB9),0)</f>
        <v/>
      </c>
      <c r="BC12" s="27">
        <f>IF(Time!BC30=1,IF(Time!BB30=1,BB12,1)/(1+BC9),0)</f>
        <v/>
      </c>
      <c r="BD12" s="27">
        <f>IF(Time!BD30=1,IF(Time!BC30=1,BC12,1)/(1+BD9),0)</f>
        <v/>
      </c>
      <c r="BE12" s="27">
        <f>IF(Time!BE30=1,IF(Time!BD30=1,BD12,1)/(1+BE9),0)</f>
        <v/>
      </c>
      <c r="BF12" s="27">
        <f>IF(Time!BF30=1,IF(Time!BE30=1,BE12,1)/(1+BF9),0)</f>
        <v/>
      </c>
      <c r="BG12" s="27">
        <f>IF(Time!BG30=1,IF(Time!BF30=1,BF12,1)/(1+BG9),0)</f>
        <v/>
      </c>
      <c r="BH12" s="27">
        <f>IF(Time!BH30=1,IF(Time!BG30=1,BG12,1)/(1+BH9),0)</f>
        <v/>
      </c>
      <c r="BI12" s="27">
        <f>IF(Time!BI30=1,IF(Time!BH30=1,BH12,1)/(1+BI9),0)</f>
        <v/>
      </c>
      <c r="BJ12" s="27">
        <f>IF(Time!BJ30=1,IF(Time!BI30=1,BI12,1)/(1+BJ9),0)</f>
        <v/>
      </c>
      <c r="BK12" s="27">
        <f>IF(Time!BK30=1,IF(Time!BJ30=1,BJ12,1)/(1+BK9),0)</f>
        <v/>
      </c>
      <c r="BL12" s="27">
        <f>IF(Time!BL30=1,IF(Time!BK30=1,BK12,1)/(1+BL9),0)</f>
        <v/>
      </c>
      <c r="BM12" s="27">
        <f>IF(Time!BM30=1,IF(Time!BL30=1,BL12,1)/(1+BM9),0)</f>
        <v/>
      </c>
      <c r="BN12" s="27">
        <f>IF(Time!BN30=1,IF(Time!BM30=1,BM12,1)/(1+BN9),0)</f>
        <v/>
      </c>
      <c r="BO12" s="27">
        <f>IF(Time!BO30=1,IF(Time!BN30=1,BN12,1)/(1+BO9),0)</f>
        <v/>
      </c>
      <c r="BP12" s="27">
        <f>IF(Time!BP30=1,IF(Time!BO30=1,BO12,1)/(1+BP9),0)</f>
        <v/>
      </c>
      <c r="BQ12" s="27">
        <f>IF(Time!BQ30=1,IF(Time!BP30=1,BP12,1)/(1+BQ9),0)</f>
        <v/>
      </c>
      <c r="BR12" s="27">
        <f>IF(Time!BR30=1,IF(Time!BQ30=1,BQ12,1)/(1+BR9),0)</f>
        <v/>
      </c>
      <c r="BS12" s="27">
        <f>IF(Time!BS30=1,IF(Time!BR30=1,BR12,1)/(1+BS9),0)</f>
        <v/>
      </c>
      <c r="BT12" s="27">
        <f>IF(Time!BT30=1,IF(Time!BS30=1,BS12,1)/(1+BT9),0)</f>
        <v/>
      </c>
      <c r="BU12" s="27">
        <f>IF(Time!BU30=1,IF(Time!BT30=1,BT12,1)/(1+BU9),0)</f>
        <v/>
      </c>
      <c r="BV12" s="27">
        <f>IF(Time!BV30=1,IF(Time!BU30=1,BU12,1)/(1+BV9),0)</f>
        <v/>
      </c>
      <c r="BW12" s="27">
        <f>IF(Time!BW30=1,IF(Time!BV30=1,BV12,1)/(1+BW9),0)</f>
        <v/>
      </c>
      <c r="BX12" s="27">
        <f>IF(Time!BX30=1,IF(Time!BW30=1,BW12,1)/(1+BX9),0)</f>
        <v/>
      </c>
      <c r="BY12" s="27">
        <f>IF(Time!BY30=1,IF(Time!BX30=1,BX12,1)/(1+BY9),0)</f>
        <v/>
      </c>
      <c r="BZ12" s="27">
        <f>IF(Time!BZ30=1,IF(Time!BY30=1,BY12,1)/(1+BZ9),0)</f>
        <v/>
      </c>
      <c r="CA12" s="27">
        <f>IF(Time!CA30=1,IF(Time!BZ30=1,BZ12,1)/(1+CA9),0)</f>
        <v/>
      </c>
      <c r="CB12" s="27">
        <f>IF(Time!CB30=1,IF(Time!CA30=1,CA12,1)/(1+CB9),0)</f>
        <v/>
      </c>
      <c r="CC12" s="27">
        <f>IF(Time!CC30=1,IF(Time!CB30=1,CB12,1)/(1+CC9),0)</f>
        <v/>
      </c>
      <c r="CD12" s="27">
        <f>IF(Time!CD30=1,IF(Time!CC30=1,CC12,1)/(1+CD9),0)</f>
        <v/>
      </c>
      <c r="CE12" s="27">
        <f>IF(Time!CE30=1,IF(Time!CD30=1,CD12,1)/(1+CE9),0)</f>
        <v/>
      </c>
      <c r="CF12" s="27">
        <f>IF(Time!CF30=1,IF(Time!CE30=1,CE12,1)/(1+CF9),0)</f>
        <v/>
      </c>
      <c r="CG12" s="27">
        <f>IF(Time!CG30=1,IF(Time!CF30=1,CF12,1)/(1+CG9),0)</f>
        <v/>
      </c>
      <c r="CH12" s="27">
        <f>IF(Time!CH30=1,IF(Time!CG30=1,CG12,1)/(1+CH9),0)</f>
        <v/>
      </c>
      <c r="CI12" s="27">
        <f>IF(Time!CI30=1,IF(Time!CH30=1,CH12,1)/(1+CI9),0)</f>
        <v/>
      </c>
      <c r="CJ12" s="27">
        <f>IF(Time!CJ30=1,IF(Time!CI30=1,CI12,1)/(1+CJ9),0)</f>
        <v/>
      </c>
      <c r="CK12" s="27">
        <f>IF(Time!CK30=1,IF(Time!CJ30=1,CJ12,1)/(1+CK9),0)</f>
        <v/>
      </c>
      <c r="CL12" s="27">
        <f>IF(Time!CL30=1,IF(Time!CK30=1,CK12,1)/(1+CL9),0)</f>
        <v/>
      </c>
      <c r="CM12" s="27">
        <f>IF(Time!CM30=1,IF(Time!CL30=1,CL12,1)/(1+CM9),0)</f>
        <v/>
      </c>
      <c r="CN12" s="27">
        <f>IF(Time!CN30=1,IF(Time!CM30=1,CM12,1)/(1+CN9),0)</f>
        <v/>
      </c>
      <c r="CO12" s="27">
        <f>IF(Time!CO30=1,IF(Time!CN30=1,CN12,1)/(1+CO9),0)</f>
        <v/>
      </c>
      <c r="CP12" s="27">
        <f>IF(Time!CP30=1,IF(Time!CO30=1,CO12,1)/(1+CP9),0)</f>
        <v/>
      </c>
      <c r="CQ12" s="27">
        <f>IF(Time!CQ30=1,IF(Time!CP30=1,CP12,1)/(1+CQ9),0)</f>
        <v/>
      </c>
      <c r="CR12" s="27">
        <f>IF(Time!CR30=1,IF(Time!CQ30=1,CQ12,1)/(1+CR9),0)</f>
        <v/>
      </c>
      <c r="CS12" s="27">
        <f>IF(Time!CS30=1,IF(Time!CR30=1,CR12,1)/(1+CS9),0)</f>
        <v/>
      </c>
      <c r="CT12" s="27">
        <f>IF(Time!CT30=1,IF(Time!CS30=1,CS12,1)/(1+CT9),0)</f>
        <v/>
      </c>
      <c r="CU12" s="27">
        <f>IF(Time!CU30=1,IF(Time!CT30=1,CT12,1)/(1+CU9),0)</f>
        <v/>
      </c>
      <c r="CV12" s="27">
        <f>IF(Time!CV30=1,IF(Time!CU30=1,CU12,1)/(1+CV9),0)</f>
        <v/>
      </c>
      <c r="CW12" s="27">
        <f>IF(Time!CW30=1,IF(Time!CV30=1,CV12,1)/(1+CW9),0)</f>
        <v/>
      </c>
      <c r="CX12" s="27">
        <f>IF(Time!CX30=1,IF(Time!CW30=1,CW12,1)/(1+CX9),0)</f>
        <v/>
      </c>
      <c r="CY12" s="27">
        <f>IF(Time!CY30=1,IF(Time!CX30=1,CX12,1)/(1+CY9),0)</f>
        <v/>
      </c>
      <c r="CZ12" s="27">
        <f>IF(Time!CZ30=1,IF(Time!CY30=1,CY12,1)/(1+CZ9),0)</f>
        <v/>
      </c>
      <c r="DA12" s="27">
        <f>IF(Time!DA30=1,IF(Time!CZ30=1,CZ12,1)/(1+DA9),0)</f>
        <v/>
      </c>
      <c r="DB12" s="27">
        <f>IF(Time!DB30=1,IF(Time!DA30=1,DA12,1)/(1+DB9),0)</f>
        <v/>
      </c>
    </row>
    <row r="13">
      <c r="D13" t="inlineStr">
        <is>
          <t>CFADS</t>
        </is>
      </c>
      <c r="E13" t="inlineStr">
        <is>
          <t>ARD m</t>
        </is>
      </c>
      <c r="G13" s="19">
        <f>SUM(J13:DB13)</f>
        <v/>
      </c>
      <c r="J13" s="29">
        <f>Operations!J49</f>
        <v/>
      </c>
      <c r="K13" s="29">
        <f>Operations!K49</f>
        <v/>
      </c>
      <c r="L13" s="29">
        <f>Operations!L49</f>
        <v/>
      </c>
      <c r="M13" s="29">
        <f>Operations!M49</f>
        <v/>
      </c>
      <c r="N13" s="29">
        <f>Operations!N49</f>
        <v/>
      </c>
      <c r="O13" s="29">
        <f>Operations!O49</f>
        <v/>
      </c>
      <c r="P13" s="29">
        <f>Operations!P49</f>
        <v/>
      </c>
      <c r="Q13" s="29">
        <f>Operations!Q49</f>
        <v/>
      </c>
      <c r="R13" s="29">
        <f>Operations!R49</f>
        <v/>
      </c>
      <c r="S13" s="29">
        <f>Operations!S49</f>
        <v/>
      </c>
      <c r="T13" s="29">
        <f>Operations!T49</f>
        <v/>
      </c>
      <c r="U13" s="29">
        <f>Operations!U49</f>
        <v/>
      </c>
      <c r="V13" s="29">
        <f>Operations!V49</f>
        <v/>
      </c>
      <c r="W13" s="29">
        <f>Operations!W49</f>
        <v/>
      </c>
      <c r="X13" s="29">
        <f>Operations!X49</f>
        <v/>
      </c>
      <c r="Y13" s="29">
        <f>Operations!Y49</f>
        <v/>
      </c>
      <c r="Z13" s="29">
        <f>Operations!Z49</f>
        <v/>
      </c>
      <c r="AA13" s="29">
        <f>Operations!AA49</f>
        <v/>
      </c>
      <c r="AB13" s="29">
        <f>Operations!AB49</f>
        <v/>
      </c>
      <c r="AC13" s="29">
        <f>Operations!AC49</f>
        <v/>
      </c>
      <c r="AD13" s="29">
        <f>Operations!AD49</f>
        <v/>
      </c>
      <c r="AE13" s="29">
        <f>Operations!AE49</f>
        <v/>
      </c>
      <c r="AF13" s="29">
        <f>Operations!AF49</f>
        <v/>
      </c>
      <c r="AG13" s="29">
        <f>Operations!AG49</f>
        <v/>
      </c>
      <c r="AH13" s="29">
        <f>Operations!AH49</f>
        <v/>
      </c>
      <c r="AI13" s="29">
        <f>Operations!AI49</f>
        <v/>
      </c>
      <c r="AJ13" s="29">
        <f>Operations!AJ49</f>
        <v/>
      </c>
      <c r="AK13" s="29">
        <f>Operations!AK49</f>
        <v/>
      </c>
      <c r="AL13" s="29">
        <f>Operations!AL49</f>
        <v/>
      </c>
      <c r="AM13" s="29">
        <f>Operations!AM49</f>
        <v/>
      </c>
      <c r="AN13" s="29">
        <f>Operations!AN49</f>
        <v/>
      </c>
      <c r="AO13" s="29">
        <f>Operations!AO49</f>
        <v/>
      </c>
      <c r="AP13" s="29">
        <f>Operations!AP49</f>
        <v/>
      </c>
      <c r="AQ13" s="29">
        <f>Operations!AQ49</f>
        <v/>
      </c>
      <c r="AR13" s="29">
        <f>Operations!AR49</f>
        <v/>
      </c>
      <c r="AS13" s="29">
        <f>Operations!AS49</f>
        <v/>
      </c>
      <c r="AT13" s="29">
        <f>Operations!AT49</f>
        <v/>
      </c>
      <c r="AU13" s="29">
        <f>Operations!AU49</f>
        <v/>
      </c>
      <c r="AV13" s="29">
        <f>Operations!AV49</f>
        <v/>
      </c>
      <c r="AW13" s="29">
        <f>Operations!AW49</f>
        <v/>
      </c>
      <c r="AX13" s="29">
        <f>Operations!AX49</f>
        <v/>
      </c>
      <c r="AY13" s="29">
        <f>Operations!AY49</f>
        <v/>
      </c>
      <c r="AZ13" s="29">
        <f>Operations!AZ49</f>
        <v/>
      </c>
      <c r="BA13" s="29">
        <f>Operations!BA49</f>
        <v/>
      </c>
      <c r="BB13" s="29">
        <f>Operations!BB49</f>
        <v/>
      </c>
      <c r="BC13" s="29">
        <f>Operations!BC49</f>
        <v/>
      </c>
      <c r="BD13" s="29">
        <f>Operations!BD49</f>
        <v/>
      </c>
      <c r="BE13" s="29">
        <f>Operations!BE49</f>
        <v/>
      </c>
      <c r="BF13" s="29">
        <f>Operations!BF49</f>
        <v/>
      </c>
      <c r="BG13" s="29">
        <f>Operations!BG49</f>
        <v/>
      </c>
      <c r="BH13" s="29">
        <f>Operations!BH49</f>
        <v/>
      </c>
      <c r="BI13" s="29">
        <f>Operations!BI49</f>
        <v/>
      </c>
      <c r="BJ13" s="29">
        <f>Operations!BJ49</f>
        <v/>
      </c>
      <c r="BK13" s="29">
        <f>Operations!BK49</f>
        <v/>
      </c>
      <c r="BL13" s="29">
        <f>Operations!BL49</f>
        <v/>
      </c>
      <c r="BM13" s="29">
        <f>Operations!BM49</f>
        <v/>
      </c>
      <c r="BN13" s="29">
        <f>Operations!BN49</f>
        <v/>
      </c>
      <c r="BO13" s="29">
        <f>Operations!BO49</f>
        <v/>
      </c>
      <c r="BP13" s="29">
        <f>Operations!BP49</f>
        <v/>
      </c>
      <c r="BQ13" s="29">
        <f>Operations!BQ49</f>
        <v/>
      </c>
      <c r="BR13" s="29">
        <f>Operations!BR49</f>
        <v/>
      </c>
      <c r="BS13" s="29">
        <f>Operations!BS49</f>
        <v/>
      </c>
      <c r="BT13" s="29">
        <f>Operations!BT49</f>
        <v/>
      </c>
      <c r="BU13" s="29">
        <f>Operations!BU49</f>
        <v/>
      </c>
      <c r="BV13" s="29">
        <f>Operations!BV49</f>
        <v/>
      </c>
      <c r="BW13" s="29">
        <f>Operations!BW49</f>
        <v/>
      </c>
      <c r="BX13" s="29">
        <f>Operations!BX49</f>
        <v/>
      </c>
      <c r="BY13" s="29">
        <f>Operations!BY49</f>
        <v/>
      </c>
      <c r="BZ13" s="29">
        <f>Operations!BZ49</f>
        <v/>
      </c>
      <c r="CA13" s="29">
        <f>Operations!CA49</f>
        <v/>
      </c>
      <c r="CB13" s="29">
        <f>Operations!CB49</f>
        <v/>
      </c>
      <c r="CC13" s="29">
        <f>Operations!CC49</f>
        <v/>
      </c>
      <c r="CD13" s="29">
        <f>Operations!CD49</f>
        <v/>
      </c>
      <c r="CE13" s="29">
        <f>Operations!CE49</f>
        <v/>
      </c>
      <c r="CF13" s="29">
        <f>Operations!CF49</f>
        <v/>
      </c>
      <c r="CG13" s="29">
        <f>Operations!CG49</f>
        <v/>
      </c>
      <c r="CH13" s="29">
        <f>Operations!CH49</f>
        <v/>
      </c>
      <c r="CI13" s="29">
        <f>Operations!CI49</f>
        <v/>
      </c>
      <c r="CJ13" s="29">
        <f>Operations!CJ49</f>
        <v/>
      </c>
      <c r="CK13" s="29">
        <f>Operations!CK49</f>
        <v/>
      </c>
      <c r="CL13" s="29">
        <f>Operations!CL49</f>
        <v/>
      </c>
      <c r="CM13" s="29">
        <f>Operations!CM49</f>
        <v/>
      </c>
      <c r="CN13" s="29">
        <f>Operations!CN49</f>
        <v/>
      </c>
      <c r="CO13" s="29">
        <f>Operations!CO49</f>
        <v/>
      </c>
      <c r="CP13" s="29">
        <f>Operations!CP49</f>
        <v/>
      </c>
      <c r="CQ13" s="29">
        <f>Operations!CQ49</f>
        <v/>
      </c>
      <c r="CR13" s="29">
        <f>Operations!CR49</f>
        <v/>
      </c>
      <c r="CS13" s="29">
        <f>Operations!CS49</f>
        <v/>
      </c>
      <c r="CT13" s="29">
        <f>Operations!CT49</f>
        <v/>
      </c>
      <c r="CU13" s="29">
        <f>Operations!CU49</f>
        <v/>
      </c>
      <c r="CV13" s="29">
        <f>Operations!CV49</f>
        <v/>
      </c>
      <c r="CW13" s="29">
        <f>Operations!CW49</f>
        <v/>
      </c>
      <c r="CX13" s="29">
        <f>Operations!CX49</f>
        <v/>
      </c>
      <c r="CY13" s="29">
        <f>Operations!CY49</f>
        <v/>
      </c>
      <c r="CZ13" s="29">
        <f>Operations!CZ49</f>
        <v/>
      </c>
      <c r="DA13" s="29">
        <f>Operations!DA49</f>
        <v/>
      </c>
      <c r="DB13" s="29">
        <f>Operations!DB49</f>
        <v/>
      </c>
    </row>
    <row r="14">
      <c r="D14" t="inlineStr">
        <is>
          <t>PV of CFADS over the repayment periods</t>
        </is>
      </c>
      <c r="E14" t="inlineStr">
        <is>
          <t>ARD m</t>
        </is>
      </c>
      <c r="F14" s="19">
        <f>SUMPRODUCT($J$13:$DB$13,$J$12:$DB$12,Time!$J$30:$DB$30)</f>
        <v/>
      </c>
    </row>
    <row r="15">
      <c r="D15" t="inlineStr">
        <is>
          <t>Capacity: 55% of funding requirement net of contribution</t>
        </is>
      </c>
      <c r="E15" t="inlineStr">
        <is>
          <t>ARD m</t>
        </is>
      </c>
      <c r="F15" s="19">
        <f>Inputs!$F$95*Funding!$F$25</f>
        <v/>
      </c>
    </row>
    <row r="16">
      <c r="D16" t="inlineStr">
        <is>
          <t>Capacity: sculpted at 1.50x (PV / 1.50)</t>
        </is>
      </c>
      <c r="E16" t="inlineStr">
        <is>
          <t>ARD m</t>
        </is>
      </c>
      <c r="F16" s="19">
        <f>$F$14/Inputs!$F$92</f>
        <v/>
      </c>
    </row>
    <row r="17">
      <c r="D17" t="inlineStr">
        <is>
          <t>Capacity: LLCR 1.55x</t>
        </is>
      </c>
      <c r="E17" t="inlineStr">
        <is>
          <t>ARD m</t>
        </is>
      </c>
      <c r="F17" s="19">
        <f>$F$14/Inputs!$F$94</f>
        <v/>
      </c>
    </row>
    <row r="18">
      <c r="D18" t="inlineStr">
        <is>
          <t>Interest-only capacity at 1.50x</t>
        </is>
      </c>
      <c r="E18" t="inlineStr">
        <is>
          <t>ARD m</t>
        </is>
      </c>
      <c r="J18" s="19">
        <f>IF(AND(Time!J30=1,J9&gt;0),J13/(Inputs!$F$92*J9),Inputs!$F$11)</f>
        <v/>
      </c>
      <c r="K18" s="19">
        <f>IF(AND(Time!K30=1,K9&gt;0),K13/(Inputs!$F$92*K9),Inputs!$F$11)</f>
        <v/>
      </c>
      <c r="L18" s="19">
        <f>IF(AND(Time!L30=1,L9&gt;0),L13/(Inputs!$F$92*L9),Inputs!$F$11)</f>
        <v/>
      </c>
      <c r="M18" s="19">
        <f>IF(AND(Time!M30=1,M9&gt;0),M13/(Inputs!$F$92*M9),Inputs!$F$11)</f>
        <v/>
      </c>
      <c r="N18" s="19">
        <f>IF(AND(Time!N30=1,N9&gt;0),N13/(Inputs!$F$92*N9),Inputs!$F$11)</f>
        <v/>
      </c>
      <c r="O18" s="19">
        <f>IF(AND(Time!O30=1,O9&gt;0),O13/(Inputs!$F$92*O9),Inputs!$F$11)</f>
        <v/>
      </c>
      <c r="P18" s="19">
        <f>IF(AND(Time!P30=1,P9&gt;0),P13/(Inputs!$F$92*P9),Inputs!$F$11)</f>
        <v/>
      </c>
      <c r="Q18" s="19">
        <f>IF(AND(Time!Q30=1,Q9&gt;0),Q13/(Inputs!$F$92*Q9),Inputs!$F$11)</f>
        <v/>
      </c>
      <c r="R18" s="19">
        <f>IF(AND(Time!R30=1,R9&gt;0),R13/(Inputs!$F$92*R9),Inputs!$F$11)</f>
        <v/>
      </c>
      <c r="S18" s="19">
        <f>IF(AND(Time!S30=1,S9&gt;0),S13/(Inputs!$F$92*S9),Inputs!$F$11)</f>
        <v/>
      </c>
      <c r="T18" s="19">
        <f>IF(AND(Time!T30=1,T9&gt;0),T13/(Inputs!$F$92*T9),Inputs!$F$11)</f>
        <v/>
      </c>
      <c r="U18" s="19">
        <f>IF(AND(Time!U30=1,U9&gt;0),U13/(Inputs!$F$92*U9),Inputs!$F$11)</f>
        <v/>
      </c>
      <c r="V18" s="19">
        <f>IF(AND(Time!V30=1,V9&gt;0),V13/(Inputs!$F$92*V9),Inputs!$F$11)</f>
        <v/>
      </c>
      <c r="W18" s="19">
        <f>IF(AND(Time!W30=1,W9&gt;0),W13/(Inputs!$F$92*W9),Inputs!$F$11)</f>
        <v/>
      </c>
      <c r="X18" s="19">
        <f>IF(AND(Time!X30=1,X9&gt;0),X13/(Inputs!$F$92*X9),Inputs!$F$11)</f>
        <v/>
      </c>
      <c r="Y18" s="19">
        <f>IF(AND(Time!Y30=1,Y9&gt;0),Y13/(Inputs!$F$92*Y9),Inputs!$F$11)</f>
        <v/>
      </c>
      <c r="Z18" s="19">
        <f>IF(AND(Time!Z30=1,Z9&gt;0),Z13/(Inputs!$F$92*Z9),Inputs!$F$11)</f>
        <v/>
      </c>
      <c r="AA18" s="19">
        <f>IF(AND(Time!AA30=1,AA9&gt;0),AA13/(Inputs!$F$92*AA9),Inputs!$F$11)</f>
        <v/>
      </c>
      <c r="AB18" s="19">
        <f>IF(AND(Time!AB30=1,AB9&gt;0),AB13/(Inputs!$F$92*AB9),Inputs!$F$11)</f>
        <v/>
      </c>
      <c r="AC18" s="19">
        <f>IF(AND(Time!AC30=1,AC9&gt;0),AC13/(Inputs!$F$92*AC9),Inputs!$F$11)</f>
        <v/>
      </c>
      <c r="AD18" s="19">
        <f>IF(AND(Time!AD30=1,AD9&gt;0),AD13/(Inputs!$F$92*AD9),Inputs!$F$11)</f>
        <v/>
      </c>
      <c r="AE18" s="19">
        <f>IF(AND(Time!AE30=1,AE9&gt;0),AE13/(Inputs!$F$92*AE9),Inputs!$F$11)</f>
        <v/>
      </c>
      <c r="AF18" s="19">
        <f>IF(AND(Time!AF30=1,AF9&gt;0),AF13/(Inputs!$F$92*AF9),Inputs!$F$11)</f>
        <v/>
      </c>
      <c r="AG18" s="19">
        <f>IF(AND(Time!AG30=1,AG9&gt;0),AG13/(Inputs!$F$92*AG9),Inputs!$F$11)</f>
        <v/>
      </c>
      <c r="AH18" s="19">
        <f>IF(AND(Time!AH30=1,AH9&gt;0),AH13/(Inputs!$F$92*AH9),Inputs!$F$11)</f>
        <v/>
      </c>
      <c r="AI18" s="19">
        <f>IF(AND(Time!AI30=1,AI9&gt;0),AI13/(Inputs!$F$92*AI9),Inputs!$F$11)</f>
        <v/>
      </c>
      <c r="AJ18" s="19">
        <f>IF(AND(Time!AJ30=1,AJ9&gt;0),AJ13/(Inputs!$F$92*AJ9),Inputs!$F$11)</f>
        <v/>
      </c>
      <c r="AK18" s="19">
        <f>IF(AND(Time!AK30=1,AK9&gt;0),AK13/(Inputs!$F$92*AK9),Inputs!$F$11)</f>
        <v/>
      </c>
      <c r="AL18" s="19">
        <f>IF(AND(Time!AL30=1,AL9&gt;0),AL13/(Inputs!$F$92*AL9),Inputs!$F$11)</f>
        <v/>
      </c>
      <c r="AM18" s="19">
        <f>IF(AND(Time!AM30=1,AM9&gt;0),AM13/(Inputs!$F$92*AM9),Inputs!$F$11)</f>
        <v/>
      </c>
      <c r="AN18" s="19">
        <f>IF(AND(Time!AN30=1,AN9&gt;0),AN13/(Inputs!$F$92*AN9),Inputs!$F$11)</f>
        <v/>
      </c>
      <c r="AO18" s="19">
        <f>IF(AND(Time!AO30=1,AO9&gt;0),AO13/(Inputs!$F$92*AO9),Inputs!$F$11)</f>
        <v/>
      </c>
      <c r="AP18" s="19">
        <f>IF(AND(Time!AP30=1,AP9&gt;0),AP13/(Inputs!$F$92*AP9),Inputs!$F$11)</f>
        <v/>
      </c>
      <c r="AQ18" s="19">
        <f>IF(AND(Time!AQ30=1,AQ9&gt;0),AQ13/(Inputs!$F$92*AQ9),Inputs!$F$11)</f>
        <v/>
      </c>
      <c r="AR18" s="19">
        <f>IF(AND(Time!AR30=1,AR9&gt;0),AR13/(Inputs!$F$92*AR9),Inputs!$F$11)</f>
        <v/>
      </c>
      <c r="AS18" s="19">
        <f>IF(AND(Time!AS30=1,AS9&gt;0),AS13/(Inputs!$F$92*AS9),Inputs!$F$11)</f>
        <v/>
      </c>
      <c r="AT18" s="19">
        <f>IF(AND(Time!AT30=1,AT9&gt;0),AT13/(Inputs!$F$92*AT9),Inputs!$F$11)</f>
        <v/>
      </c>
      <c r="AU18" s="19">
        <f>IF(AND(Time!AU30=1,AU9&gt;0),AU13/(Inputs!$F$92*AU9),Inputs!$F$11)</f>
        <v/>
      </c>
      <c r="AV18" s="19">
        <f>IF(AND(Time!AV30=1,AV9&gt;0),AV13/(Inputs!$F$92*AV9),Inputs!$F$11)</f>
        <v/>
      </c>
      <c r="AW18" s="19">
        <f>IF(AND(Time!AW30=1,AW9&gt;0),AW13/(Inputs!$F$92*AW9),Inputs!$F$11)</f>
        <v/>
      </c>
      <c r="AX18" s="19">
        <f>IF(AND(Time!AX30=1,AX9&gt;0),AX13/(Inputs!$F$92*AX9),Inputs!$F$11)</f>
        <v/>
      </c>
      <c r="AY18" s="19">
        <f>IF(AND(Time!AY30=1,AY9&gt;0),AY13/(Inputs!$F$92*AY9),Inputs!$F$11)</f>
        <v/>
      </c>
      <c r="AZ18" s="19">
        <f>IF(AND(Time!AZ30=1,AZ9&gt;0),AZ13/(Inputs!$F$92*AZ9),Inputs!$F$11)</f>
        <v/>
      </c>
      <c r="BA18" s="19">
        <f>IF(AND(Time!BA30=1,BA9&gt;0),BA13/(Inputs!$F$92*BA9),Inputs!$F$11)</f>
        <v/>
      </c>
      <c r="BB18" s="19">
        <f>IF(AND(Time!BB30=1,BB9&gt;0),BB13/(Inputs!$F$92*BB9),Inputs!$F$11)</f>
        <v/>
      </c>
      <c r="BC18" s="19">
        <f>IF(AND(Time!BC30=1,BC9&gt;0),BC13/(Inputs!$F$92*BC9),Inputs!$F$11)</f>
        <v/>
      </c>
      <c r="BD18" s="19">
        <f>IF(AND(Time!BD30=1,BD9&gt;0),BD13/(Inputs!$F$92*BD9),Inputs!$F$11)</f>
        <v/>
      </c>
      <c r="BE18" s="19">
        <f>IF(AND(Time!BE30=1,BE9&gt;0),BE13/(Inputs!$F$92*BE9),Inputs!$F$11)</f>
        <v/>
      </c>
      <c r="BF18" s="19">
        <f>IF(AND(Time!BF30=1,BF9&gt;0),BF13/(Inputs!$F$92*BF9),Inputs!$F$11)</f>
        <v/>
      </c>
      <c r="BG18" s="19">
        <f>IF(AND(Time!BG30=1,BG9&gt;0),BG13/(Inputs!$F$92*BG9),Inputs!$F$11)</f>
        <v/>
      </c>
      <c r="BH18" s="19">
        <f>IF(AND(Time!BH30=1,BH9&gt;0),BH13/(Inputs!$F$92*BH9),Inputs!$F$11)</f>
        <v/>
      </c>
      <c r="BI18" s="19">
        <f>IF(AND(Time!BI30=1,BI9&gt;0),BI13/(Inputs!$F$92*BI9),Inputs!$F$11)</f>
        <v/>
      </c>
      <c r="BJ18" s="19">
        <f>IF(AND(Time!BJ30=1,BJ9&gt;0),BJ13/(Inputs!$F$92*BJ9),Inputs!$F$11)</f>
        <v/>
      </c>
      <c r="BK18" s="19">
        <f>IF(AND(Time!BK30=1,BK9&gt;0),BK13/(Inputs!$F$92*BK9),Inputs!$F$11)</f>
        <v/>
      </c>
      <c r="BL18" s="19">
        <f>IF(AND(Time!BL30=1,BL9&gt;0),BL13/(Inputs!$F$92*BL9),Inputs!$F$11)</f>
        <v/>
      </c>
      <c r="BM18" s="19">
        <f>IF(AND(Time!BM30=1,BM9&gt;0),BM13/(Inputs!$F$92*BM9),Inputs!$F$11)</f>
        <v/>
      </c>
      <c r="BN18" s="19">
        <f>IF(AND(Time!BN30=1,BN9&gt;0),BN13/(Inputs!$F$92*BN9),Inputs!$F$11)</f>
        <v/>
      </c>
      <c r="BO18" s="19">
        <f>IF(AND(Time!BO30=1,BO9&gt;0),BO13/(Inputs!$F$92*BO9),Inputs!$F$11)</f>
        <v/>
      </c>
      <c r="BP18" s="19">
        <f>IF(AND(Time!BP30=1,BP9&gt;0),BP13/(Inputs!$F$92*BP9),Inputs!$F$11)</f>
        <v/>
      </c>
      <c r="BQ18" s="19">
        <f>IF(AND(Time!BQ30=1,BQ9&gt;0),BQ13/(Inputs!$F$92*BQ9),Inputs!$F$11)</f>
        <v/>
      </c>
      <c r="BR18" s="19">
        <f>IF(AND(Time!BR30=1,BR9&gt;0),BR13/(Inputs!$F$92*BR9),Inputs!$F$11)</f>
        <v/>
      </c>
      <c r="BS18" s="19">
        <f>IF(AND(Time!BS30=1,BS9&gt;0),BS13/(Inputs!$F$92*BS9),Inputs!$F$11)</f>
        <v/>
      </c>
      <c r="BT18" s="19">
        <f>IF(AND(Time!BT30=1,BT9&gt;0),BT13/(Inputs!$F$92*BT9),Inputs!$F$11)</f>
        <v/>
      </c>
      <c r="BU18" s="19">
        <f>IF(AND(Time!BU30=1,BU9&gt;0),BU13/(Inputs!$F$92*BU9),Inputs!$F$11)</f>
        <v/>
      </c>
      <c r="BV18" s="19">
        <f>IF(AND(Time!BV30=1,BV9&gt;0),BV13/(Inputs!$F$92*BV9),Inputs!$F$11)</f>
        <v/>
      </c>
      <c r="BW18" s="19">
        <f>IF(AND(Time!BW30=1,BW9&gt;0),BW13/(Inputs!$F$92*BW9),Inputs!$F$11)</f>
        <v/>
      </c>
      <c r="BX18" s="19">
        <f>IF(AND(Time!BX30=1,BX9&gt;0),BX13/(Inputs!$F$92*BX9),Inputs!$F$11)</f>
        <v/>
      </c>
      <c r="BY18" s="19">
        <f>IF(AND(Time!BY30=1,BY9&gt;0),BY13/(Inputs!$F$92*BY9),Inputs!$F$11)</f>
        <v/>
      </c>
      <c r="BZ18" s="19">
        <f>IF(AND(Time!BZ30=1,BZ9&gt;0),BZ13/(Inputs!$F$92*BZ9),Inputs!$F$11)</f>
        <v/>
      </c>
      <c r="CA18" s="19">
        <f>IF(AND(Time!CA30=1,CA9&gt;0),CA13/(Inputs!$F$92*CA9),Inputs!$F$11)</f>
        <v/>
      </c>
      <c r="CB18" s="19">
        <f>IF(AND(Time!CB30=1,CB9&gt;0),CB13/(Inputs!$F$92*CB9),Inputs!$F$11)</f>
        <v/>
      </c>
      <c r="CC18" s="19">
        <f>IF(AND(Time!CC30=1,CC9&gt;0),CC13/(Inputs!$F$92*CC9),Inputs!$F$11)</f>
        <v/>
      </c>
      <c r="CD18" s="19">
        <f>IF(AND(Time!CD30=1,CD9&gt;0),CD13/(Inputs!$F$92*CD9),Inputs!$F$11)</f>
        <v/>
      </c>
      <c r="CE18" s="19">
        <f>IF(AND(Time!CE30=1,CE9&gt;0),CE13/(Inputs!$F$92*CE9),Inputs!$F$11)</f>
        <v/>
      </c>
      <c r="CF18" s="19">
        <f>IF(AND(Time!CF30=1,CF9&gt;0),CF13/(Inputs!$F$92*CF9),Inputs!$F$11)</f>
        <v/>
      </c>
      <c r="CG18" s="19">
        <f>IF(AND(Time!CG30=1,CG9&gt;0),CG13/(Inputs!$F$92*CG9),Inputs!$F$11)</f>
        <v/>
      </c>
      <c r="CH18" s="19">
        <f>IF(AND(Time!CH30=1,CH9&gt;0),CH13/(Inputs!$F$92*CH9),Inputs!$F$11)</f>
        <v/>
      </c>
      <c r="CI18" s="19">
        <f>IF(AND(Time!CI30=1,CI9&gt;0),CI13/(Inputs!$F$92*CI9),Inputs!$F$11)</f>
        <v/>
      </c>
      <c r="CJ18" s="19">
        <f>IF(AND(Time!CJ30=1,CJ9&gt;0),CJ13/(Inputs!$F$92*CJ9),Inputs!$F$11)</f>
        <v/>
      </c>
      <c r="CK18" s="19">
        <f>IF(AND(Time!CK30=1,CK9&gt;0),CK13/(Inputs!$F$92*CK9),Inputs!$F$11)</f>
        <v/>
      </c>
      <c r="CL18" s="19">
        <f>IF(AND(Time!CL30=1,CL9&gt;0),CL13/(Inputs!$F$92*CL9),Inputs!$F$11)</f>
        <v/>
      </c>
      <c r="CM18" s="19">
        <f>IF(AND(Time!CM30=1,CM9&gt;0),CM13/(Inputs!$F$92*CM9),Inputs!$F$11)</f>
        <v/>
      </c>
      <c r="CN18" s="19">
        <f>IF(AND(Time!CN30=1,CN9&gt;0),CN13/(Inputs!$F$92*CN9),Inputs!$F$11)</f>
        <v/>
      </c>
      <c r="CO18" s="19">
        <f>IF(AND(Time!CO30=1,CO9&gt;0),CO13/(Inputs!$F$92*CO9),Inputs!$F$11)</f>
        <v/>
      </c>
      <c r="CP18" s="19">
        <f>IF(AND(Time!CP30=1,CP9&gt;0),CP13/(Inputs!$F$92*CP9),Inputs!$F$11)</f>
        <v/>
      </c>
      <c r="CQ18" s="19">
        <f>IF(AND(Time!CQ30=1,CQ9&gt;0),CQ13/(Inputs!$F$92*CQ9),Inputs!$F$11)</f>
        <v/>
      </c>
      <c r="CR18" s="19">
        <f>IF(AND(Time!CR30=1,CR9&gt;0),CR13/(Inputs!$F$92*CR9),Inputs!$F$11)</f>
        <v/>
      </c>
      <c r="CS18" s="19">
        <f>IF(AND(Time!CS30=1,CS9&gt;0),CS13/(Inputs!$F$92*CS9),Inputs!$F$11)</f>
        <v/>
      </c>
      <c r="CT18" s="19">
        <f>IF(AND(Time!CT30=1,CT9&gt;0),CT13/(Inputs!$F$92*CT9),Inputs!$F$11)</f>
        <v/>
      </c>
      <c r="CU18" s="19">
        <f>IF(AND(Time!CU30=1,CU9&gt;0),CU13/(Inputs!$F$92*CU9),Inputs!$F$11)</f>
        <v/>
      </c>
      <c r="CV18" s="19">
        <f>IF(AND(Time!CV30=1,CV9&gt;0),CV13/(Inputs!$F$92*CV9),Inputs!$F$11)</f>
        <v/>
      </c>
      <c r="CW18" s="19">
        <f>IF(AND(Time!CW30=1,CW9&gt;0),CW13/(Inputs!$F$92*CW9),Inputs!$F$11)</f>
        <v/>
      </c>
      <c r="CX18" s="19">
        <f>IF(AND(Time!CX30=1,CX9&gt;0),CX13/(Inputs!$F$92*CX9),Inputs!$F$11)</f>
        <v/>
      </c>
      <c r="CY18" s="19">
        <f>IF(AND(Time!CY30=1,CY9&gt;0),CY13/(Inputs!$F$92*CY9),Inputs!$F$11)</f>
        <v/>
      </c>
      <c r="CZ18" s="19">
        <f>IF(AND(Time!CZ30=1,CZ9&gt;0),CZ13/(Inputs!$F$92*CZ9),Inputs!$F$11)</f>
        <v/>
      </c>
      <c r="DA18" s="19">
        <f>IF(AND(Time!DA30=1,DA9&gt;0),DA13/(Inputs!$F$92*DA9),Inputs!$F$11)</f>
        <v/>
      </c>
      <c r="DB18" s="19">
        <f>IF(AND(Time!DB30=1,DB9&gt;0),DB13/(Inputs!$F$92*DB9),Inputs!$F$11)</f>
        <v/>
      </c>
    </row>
    <row r="19">
      <c r="D19" t="inlineStr">
        <is>
          <t>Capacity: interest cover 1.50x in every repayment period</t>
        </is>
      </c>
      <c r="E19" t="inlineStr">
        <is>
          <t>ARD m</t>
        </is>
      </c>
      <c r="F19" s="19">
        <f>MIN($J$18:$DB$18)</f>
        <v/>
      </c>
    </row>
    <row r="20">
      <c r="D20" t="inlineStr">
        <is>
          <t>Downside interest-only capacity at 1.15x</t>
        </is>
      </c>
      <c r="E20" t="inlineStr">
        <is>
          <t>ARD m</t>
        </is>
      </c>
      <c r="J20" s="19">
        <f>IF(AND(Time!J30=1,J9&gt;0),Inputs!J278/(Inputs!$F$93*J9),Inputs!$F$11)</f>
        <v/>
      </c>
      <c r="K20" s="19">
        <f>IF(AND(Time!K30=1,K9&gt;0),Inputs!K278/(Inputs!$F$93*K9),Inputs!$F$11)</f>
        <v/>
      </c>
      <c r="L20" s="19">
        <f>IF(AND(Time!L30=1,L9&gt;0),Inputs!L278/(Inputs!$F$93*L9),Inputs!$F$11)</f>
        <v/>
      </c>
      <c r="M20" s="19">
        <f>IF(AND(Time!M30=1,M9&gt;0),Inputs!M278/(Inputs!$F$93*M9),Inputs!$F$11)</f>
        <v/>
      </c>
      <c r="N20" s="19">
        <f>IF(AND(Time!N30=1,N9&gt;0),Inputs!N278/(Inputs!$F$93*N9),Inputs!$F$11)</f>
        <v/>
      </c>
      <c r="O20" s="19">
        <f>IF(AND(Time!O30=1,O9&gt;0),Inputs!O278/(Inputs!$F$93*O9),Inputs!$F$11)</f>
        <v/>
      </c>
      <c r="P20" s="19">
        <f>IF(AND(Time!P30=1,P9&gt;0),Inputs!P278/(Inputs!$F$93*P9),Inputs!$F$11)</f>
        <v/>
      </c>
      <c r="Q20" s="19">
        <f>IF(AND(Time!Q30=1,Q9&gt;0),Inputs!Q278/(Inputs!$F$93*Q9),Inputs!$F$11)</f>
        <v/>
      </c>
      <c r="R20" s="19">
        <f>IF(AND(Time!R30=1,R9&gt;0),Inputs!R278/(Inputs!$F$93*R9),Inputs!$F$11)</f>
        <v/>
      </c>
      <c r="S20" s="19">
        <f>IF(AND(Time!S30=1,S9&gt;0),Inputs!S278/(Inputs!$F$93*S9),Inputs!$F$11)</f>
        <v/>
      </c>
      <c r="T20" s="19">
        <f>IF(AND(Time!T30=1,T9&gt;0),Inputs!T278/(Inputs!$F$93*T9),Inputs!$F$11)</f>
        <v/>
      </c>
      <c r="U20" s="19">
        <f>IF(AND(Time!U30=1,U9&gt;0),Inputs!U278/(Inputs!$F$93*U9),Inputs!$F$11)</f>
        <v/>
      </c>
      <c r="V20" s="19">
        <f>IF(AND(Time!V30=1,V9&gt;0),Inputs!V278/(Inputs!$F$93*V9),Inputs!$F$11)</f>
        <v/>
      </c>
      <c r="W20" s="19">
        <f>IF(AND(Time!W30=1,W9&gt;0),Inputs!W278/(Inputs!$F$93*W9),Inputs!$F$11)</f>
        <v/>
      </c>
      <c r="X20" s="19">
        <f>IF(AND(Time!X30=1,X9&gt;0),Inputs!X278/(Inputs!$F$93*X9),Inputs!$F$11)</f>
        <v/>
      </c>
      <c r="Y20" s="19">
        <f>IF(AND(Time!Y30=1,Y9&gt;0),Inputs!Y278/(Inputs!$F$93*Y9),Inputs!$F$11)</f>
        <v/>
      </c>
      <c r="Z20" s="19">
        <f>IF(AND(Time!Z30=1,Z9&gt;0),Inputs!Z278/(Inputs!$F$93*Z9),Inputs!$F$11)</f>
        <v/>
      </c>
      <c r="AA20" s="19">
        <f>IF(AND(Time!AA30=1,AA9&gt;0),Inputs!AA278/(Inputs!$F$93*AA9),Inputs!$F$11)</f>
        <v/>
      </c>
      <c r="AB20" s="19">
        <f>IF(AND(Time!AB30=1,AB9&gt;0),Inputs!AB278/(Inputs!$F$93*AB9),Inputs!$F$11)</f>
        <v/>
      </c>
      <c r="AC20" s="19">
        <f>IF(AND(Time!AC30=1,AC9&gt;0),Inputs!AC278/(Inputs!$F$93*AC9),Inputs!$F$11)</f>
        <v/>
      </c>
      <c r="AD20" s="19">
        <f>IF(AND(Time!AD30=1,AD9&gt;0),Inputs!AD278/(Inputs!$F$93*AD9),Inputs!$F$11)</f>
        <v/>
      </c>
      <c r="AE20" s="19">
        <f>IF(AND(Time!AE30=1,AE9&gt;0),Inputs!AE278/(Inputs!$F$93*AE9),Inputs!$F$11)</f>
        <v/>
      </c>
      <c r="AF20" s="19">
        <f>IF(AND(Time!AF30=1,AF9&gt;0),Inputs!AF278/(Inputs!$F$93*AF9),Inputs!$F$11)</f>
        <v/>
      </c>
      <c r="AG20" s="19">
        <f>IF(AND(Time!AG30=1,AG9&gt;0),Inputs!AG278/(Inputs!$F$93*AG9),Inputs!$F$11)</f>
        <v/>
      </c>
      <c r="AH20" s="19">
        <f>IF(AND(Time!AH30=1,AH9&gt;0),Inputs!AH278/(Inputs!$F$93*AH9),Inputs!$F$11)</f>
        <v/>
      </c>
      <c r="AI20" s="19">
        <f>IF(AND(Time!AI30=1,AI9&gt;0),Inputs!AI278/(Inputs!$F$93*AI9),Inputs!$F$11)</f>
        <v/>
      </c>
      <c r="AJ20" s="19">
        <f>IF(AND(Time!AJ30=1,AJ9&gt;0),Inputs!AJ278/(Inputs!$F$93*AJ9),Inputs!$F$11)</f>
        <v/>
      </c>
      <c r="AK20" s="19">
        <f>IF(AND(Time!AK30=1,AK9&gt;0),Inputs!AK278/(Inputs!$F$93*AK9),Inputs!$F$11)</f>
        <v/>
      </c>
      <c r="AL20" s="19">
        <f>IF(AND(Time!AL30=1,AL9&gt;0),Inputs!AL278/(Inputs!$F$93*AL9),Inputs!$F$11)</f>
        <v/>
      </c>
      <c r="AM20" s="19">
        <f>IF(AND(Time!AM30=1,AM9&gt;0),Inputs!AM278/(Inputs!$F$93*AM9),Inputs!$F$11)</f>
        <v/>
      </c>
      <c r="AN20" s="19">
        <f>IF(AND(Time!AN30=1,AN9&gt;0),Inputs!AN278/(Inputs!$F$93*AN9),Inputs!$F$11)</f>
        <v/>
      </c>
      <c r="AO20" s="19">
        <f>IF(AND(Time!AO30=1,AO9&gt;0),Inputs!AO278/(Inputs!$F$93*AO9),Inputs!$F$11)</f>
        <v/>
      </c>
      <c r="AP20" s="19">
        <f>IF(AND(Time!AP30=1,AP9&gt;0),Inputs!AP278/(Inputs!$F$93*AP9),Inputs!$F$11)</f>
        <v/>
      </c>
      <c r="AQ20" s="19">
        <f>IF(AND(Time!AQ30=1,AQ9&gt;0),Inputs!AQ278/(Inputs!$F$93*AQ9),Inputs!$F$11)</f>
        <v/>
      </c>
      <c r="AR20" s="19">
        <f>IF(AND(Time!AR30=1,AR9&gt;0),Inputs!AR278/(Inputs!$F$93*AR9),Inputs!$F$11)</f>
        <v/>
      </c>
      <c r="AS20" s="19">
        <f>IF(AND(Time!AS30=1,AS9&gt;0),Inputs!AS278/(Inputs!$F$93*AS9),Inputs!$F$11)</f>
        <v/>
      </c>
      <c r="AT20" s="19">
        <f>IF(AND(Time!AT30=1,AT9&gt;0),Inputs!AT278/(Inputs!$F$93*AT9),Inputs!$F$11)</f>
        <v/>
      </c>
      <c r="AU20" s="19">
        <f>IF(AND(Time!AU30=1,AU9&gt;0),Inputs!AU278/(Inputs!$F$93*AU9),Inputs!$F$11)</f>
        <v/>
      </c>
      <c r="AV20" s="19">
        <f>IF(AND(Time!AV30=1,AV9&gt;0),Inputs!AV278/(Inputs!$F$93*AV9),Inputs!$F$11)</f>
        <v/>
      </c>
      <c r="AW20" s="19">
        <f>IF(AND(Time!AW30=1,AW9&gt;0),Inputs!AW278/(Inputs!$F$93*AW9),Inputs!$F$11)</f>
        <v/>
      </c>
      <c r="AX20" s="19">
        <f>IF(AND(Time!AX30=1,AX9&gt;0),Inputs!AX278/(Inputs!$F$93*AX9),Inputs!$F$11)</f>
        <v/>
      </c>
      <c r="AY20" s="19">
        <f>IF(AND(Time!AY30=1,AY9&gt;0),Inputs!AY278/(Inputs!$F$93*AY9),Inputs!$F$11)</f>
        <v/>
      </c>
      <c r="AZ20" s="19">
        <f>IF(AND(Time!AZ30=1,AZ9&gt;0),Inputs!AZ278/(Inputs!$F$93*AZ9),Inputs!$F$11)</f>
        <v/>
      </c>
      <c r="BA20" s="19">
        <f>IF(AND(Time!BA30=1,BA9&gt;0),Inputs!BA278/(Inputs!$F$93*BA9),Inputs!$F$11)</f>
        <v/>
      </c>
      <c r="BB20" s="19">
        <f>IF(AND(Time!BB30=1,BB9&gt;0),Inputs!BB278/(Inputs!$F$93*BB9),Inputs!$F$11)</f>
        <v/>
      </c>
      <c r="BC20" s="19">
        <f>IF(AND(Time!BC30=1,BC9&gt;0),Inputs!BC278/(Inputs!$F$93*BC9),Inputs!$F$11)</f>
        <v/>
      </c>
      <c r="BD20" s="19">
        <f>IF(AND(Time!BD30=1,BD9&gt;0),Inputs!BD278/(Inputs!$F$93*BD9),Inputs!$F$11)</f>
        <v/>
      </c>
      <c r="BE20" s="19">
        <f>IF(AND(Time!BE30=1,BE9&gt;0),Inputs!BE278/(Inputs!$F$93*BE9),Inputs!$F$11)</f>
        <v/>
      </c>
      <c r="BF20" s="19">
        <f>IF(AND(Time!BF30=1,BF9&gt;0),Inputs!BF278/(Inputs!$F$93*BF9),Inputs!$F$11)</f>
        <v/>
      </c>
      <c r="BG20" s="19">
        <f>IF(AND(Time!BG30=1,BG9&gt;0),Inputs!BG278/(Inputs!$F$93*BG9),Inputs!$F$11)</f>
        <v/>
      </c>
      <c r="BH20" s="19">
        <f>IF(AND(Time!BH30=1,BH9&gt;0),Inputs!BH278/(Inputs!$F$93*BH9),Inputs!$F$11)</f>
        <v/>
      </c>
      <c r="BI20" s="19">
        <f>IF(AND(Time!BI30=1,BI9&gt;0),Inputs!BI278/(Inputs!$F$93*BI9),Inputs!$F$11)</f>
        <v/>
      </c>
      <c r="BJ20" s="19">
        <f>IF(AND(Time!BJ30=1,BJ9&gt;0),Inputs!BJ278/(Inputs!$F$93*BJ9),Inputs!$F$11)</f>
        <v/>
      </c>
      <c r="BK20" s="19">
        <f>IF(AND(Time!BK30=1,BK9&gt;0),Inputs!BK278/(Inputs!$F$93*BK9),Inputs!$F$11)</f>
        <v/>
      </c>
      <c r="BL20" s="19">
        <f>IF(AND(Time!BL30=1,BL9&gt;0),Inputs!BL278/(Inputs!$F$93*BL9),Inputs!$F$11)</f>
        <v/>
      </c>
      <c r="BM20" s="19">
        <f>IF(AND(Time!BM30=1,BM9&gt;0),Inputs!BM278/(Inputs!$F$93*BM9),Inputs!$F$11)</f>
        <v/>
      </c>
      <c r="BN20" s="19">
        <f>IF(AND(Time!BN30=1,BN9&gt;0),Inputs!BN278/(Inputs!$F$93*BN9),Inputs!$F$11)</f>
        <v/>
      </c>
      <c r="BO20" s="19">
        <f>IF(AND(Time!BO30=1,BO9&gt;0),Inputs!BO278/(Inputs!$F$93*BO9),Inputs!$F$11)</f>
        <v/>
      </c>
      <c r="BP20" s="19">
        <f>IF(AND(Time!BP30=1,BP9&gt;0),Inputs!BP278/(Inputs!$F$93*BP9),Inputs!$F$11)</f>
        <v/>
      </c>
      <c r="BQ20" s="19">
        <f>IF(AND(Time!BQ30=1,BQ9&gt;0),Inputs!BQ278/(Inputs!$F$93*BQ9),Inputs!$F$11)</f>
        <v/>
      </c>
      <c r="BR20" s="19">
        <f>IF(AND(Time!BR30=1,BR9&gt;0),Inputs!BR278/(Inputs!$F$93*BR9),Inputs!$F$11)</f>
        <v/>
      </c>
      <c r="BS20" s="19">
        <f>IF(AND(Time!BS30=1,BS9&gt;0),Inputs!BS278/(Inputs!$F$93*BS9),Inputs!$F$11)</f>
        <v/>
      </c>
      <c r="BT20" s="19">
        <f>IF(AND(Time!BT30=1,BT9&gt;0),Inputs!BT278/(Inputs!$F$93*BT9),Inputs!$F$11)</f>
        <v/>
      </c>
      <c r="BU20" s="19">
        <f>IF(AND(Time!BU30=1,BU9&gt;0),Inputs!BU278/(Inputs!$F$93*BU9),Inputs!$F$11)</f>
        <v/>
      </c>
      <c r="BV20" s="19">
        <f>IF(AND(Time!BV30=1,BV9&gt;0),Inputs!BV278/(Inputs!$F$93*BV9),Inputs!$F$11)</f>
        <v/>
      </c>
      <c r="BW20" s="19">
        <f>IF(AND(Time!BW30=1,BW9&gt;0),Inputs!BW278/(Inputs!$F$93*BW9),Inputs!$F$11)</f>
        <v/>
      </c>
      <c r="BX20" s="19">
        <f>IF(AND(Time!BX30=1,BX9&gt;0),Inputs!BX278/(Inputs!$F$93*BX9),Inputs!$F$11)</f>
        <v/>
      </c>
      <c r="BY20" s="19">
        <f>IF(AND(Time!BY30=1,BY9&gt;0),Inputs!BY278/(Inputs!$F$93*BY9),Inputs!$F$11)</f>
        <v/>
      </c>
      <c r="BZ20" s="19">
        <f>IF(AND(Time!BZ30=1,BZ9&gt;0),Inputs!BZ278/(Inputs!$F$93*BZ9),Inputs!$F$11)</f>
        <v/>
      </c>
      <c r="CA20" s="19">
        <f>IF(AND(Time!CA30=1,CA9&gt;0),Inputs!CA278/(Inputs!$F$93*CA9),Inputs!$F$11)</f>
        <v/>
      </c>
      <c r="CB20" s="19">
        <f>IF(AND(Time!CB30=1,CB9&gt;0),Inputs!CB278/(Inputs!$F$93*CB9),Inputs!$F$11)</f>
        <v/>
      </c>
      <c r="CC20" s="19">
        <f>IF(AND(Time!CC30=1,CC9&gt;0),Inputs!CC278/(Inputs!$F$93*CC9),Inputs!$F$11)</f>
        <v/>
      </c>
      <c r="CD20" s="19">
        <f>IF(AND(Time!CD30=1,CD9&gt;0),Inputs!CD278/(Inputs!$F$93*CD9),Inputs!$F$11)</f>
        <v/>
      </c>
      <c r="CE20" s="19">
        <f>IF(AND(Time!CE30=1,CE9&gt;0),Inputs!CE278/(Inputs!$F$93*CE9),Inputs!$F$11)</f>
        <v/>
      </c>
      <c r="CF20" s="19">
        <f>IF(AND(Time!CF30=1,CF9&gt;0),Inputs!CF278/(Inputs!$F$93*CF9),Inputs!$F$11)</f>
        <v/>
      </c>
      <c r="CG20" s="19">
        <f>IF(AND(Time!CG30=1,CG9&gt;0),Inputs!CG278/(Inputs!$F$93*CG9),Inputs!$F$11)</f>
        <v/>
      </c>
      <c r="CH20" s="19">
        <f>IF(AND(Time!CH30=1,CH9&gt;0),Inputs!CH278/(Inputs!$F$93*CH9),Inputs!$F$11)</f>
        <v/>
      </c>
      <c r="CI20" s="19">
        <f>IF(AND(Time!CI30=1,CI9&gt;0),Inputs!CI278/(Inputs!$F$93*CI9),Inputs!$F$11)</f>
        <v/>
      </c>
      <c r="CJ20" s="19">
        <f>IF(AND(Time!CJ30=1,CJ9&gt;0),Inputs!CJ278/(Inputs!$F$93*CJ9),Inputs!$F$11)</f>
        <v/>
      </c>
      <c r="CK20" s="19">
        <f>IF(AND(Time!CK30=1,CK9&gt;0),Inputs!CK278/(Inputs!$F$93*CK9),Inputs!$F$11)</f>
        <v/>
      </c>
      <c r="CL20" s="19">
        <f>IF(AND(Time!CL30=1,CL9&gt;0),Inputs!CL278/(Inputs!$F$93*CL9),Inputs!$F$11)</f>
        <v/>
      </c>
      <c r="CM20" s="19">
        <f>IF(AND(Time!CM30=1,CM9&gt;0),Inputs!CM278/(Inputs!$F$93*CM9),Inputs!$F$11)</f>
        <v/>
      </c>
      <c r="CN20" s="19">
        <f>IF(AND(Time!CN30=1,CN9&gt;0),Inputs!CN278/(Inputs!$F$93*CN9),Inputs!$F$11)</f>
        <v/>
      </c>
      <c r="CO20" s="19">
        <f>IF(AND(Time!CO30=1,CO9&gt;0),Inputs!CO278/(Inputs!$F$93*CO9),Inputs!$F$11)</f>
        <v/>
      </c>
      <c r="CP20" s="19">
        <f>IF(AND(Time!CP30=1,CP9&gt;0),Inputs!CP278/(Inputs!$F$93*CP9),Inputs!$F$11)</f>
        <v/>
      </c>
      <c r="CQ20" s="19">
        <f>IF(AND(Time!CQ30=1,CQ9&gt;0),Inputs!CQ278/(Inputs!$F$93*CQ9),Inputs!$F$11)</f>
        <v/>
      </c>
      <c r="CR20" s="19">
        <f>IF(AND(Time!CR30=1,CR9&gt;0),Inputs!CR278/(Inputs!$F$93*CR9),Inputs!$F$11)</f>
        <v/>
      </c>
      <c r="CS20" s="19">
        <f>IF(AND(Time!CS30=1,CS9&gt;0),Inputs!CS278/(Inputs!$F$93*CS9),Inputs!$F$11)</f>
        <v/>
      </c>
      <c r="CT20" s="19">
        <f>IF(AND(Time!CT30=1,CT9&gt;0),Inputs!CT278/(Inputs!$F$93*CT9),Inputs!$F$11)</f>
        <v/>
      </c>
      <c r="CU20" s="19">
        <f>IF(AND(Time!CU30=1,CU9&gt;0),Inputs!CU278/(Inputs!$F$93*CU9),Inputs!$F$11)</f>
        <v/>
      </c>
      <c r="CV20" s="19">
        <f>IF(AND(Time!CV30=1,CV9&gt;0),Inputs!CV278/(Inputs!$F$93*CV9),Inputs!$F$11)</f>
        <v/>
      </c>
      <c r="CW20" s="19">
        <f>IF(AND(Time!CW30=1,CW9&gt;0),Inputs!CW278/(Inputs!$F$93*CW9),Inputs!$F$11)</f>
        <v/>
      </c>
      <c r="CX20" s="19">
        <f>IF(AND(Time!CX30=1,CX9&gt;0),Inputs!CX278/(Inputs!$F$93*CX9),Inputs!$F$11)</f>
        <v/>
      </c>
      <c r="CY20" s="19">
        <f>IF(AND(Time!CY30=1,CY9&gt;0),Inputs!CY278/(Inputs!$F$93*CY9),Inputs!$F$11)</f>
        <v/>
      </c>
      <c r="CZ20" s="19">
        <f>IF(AND(Time!CZ30=1,CZ9&gt;0),Inputs!CZ278/(Inputs!$F$93*CZ9),Inputs!$F$11)</f>
        <v/>
      </c>
      <c r="DA20" s="19">
        <f>IF(AND(Time!DA30=1,DA9&gt;0),Inputs!DA278/(Inputs!$F$93*DA9),Inputs!$F$11)</f>
        <v/>
      </c>
      <c r="DB20" s="19">
        <f>IF(AND(Time!DB30=1,DB9&gt;0),Inputs!DB278/(Inputs!$F$93*DB9),Inputs!$F$11)</f>
        <v/>
      </c>
    </row>
    <row r="21">
      <c r="D21" t="inlineStr">
        <is>
          <t>Capacity: downside interest cover 1.15x</t>
        </is>
      </c>
      <c r="E21" t="inlineStr">
        <is>
          <t>ARD m</t>
        </is>
      </c>
      <c r="F21" s="19">
        <f>MIN($J$20:$DB$20)</f>
        <v/>
      </c>
    </row>
    <row r="22">
      <c r="D22" t="inlineStr">
        <is>
          <t>Senior debt, live sizing (lesser of the constraints)</t>
        </is>
      </c>
      <c r="E22" t="inlineStr">
        <is>
          <t>ARD m</t>
        </is>
      </c>
      <c r="F22" s="19">
        <f>MIN($F$15,$F$16,$F$17,$F$19,$F$21)</f>
        <v/>
      </c>
    </row>
    <row r="23">
      <c r="D23" t="inlineStr">
        <is>
          <t>Binding constraint (1 gearing, 2 sculpt, 3 LLCR, 4 interest cover, 5 downside)</t>
        </is>
      </c>
      <c r="E23" t="inlineStr">
        <is>
          <t>#</t>
        </is>
      </c>
      <c r="F23" s="14">
        <f>IF($F$22=$F$15,1,IF($F$22=$F$16,2,IF($F$22=$F$17,3,IF($F$22=$F$19,4,5))))</f>
        <v/>
      </c>
    </row>
    <row r="24">
      <c r="D24" t="inlineStr">
        <is>
          <t>Live sizing active (Live and Circ)</t>
        </is>
      </c>
      <c r="E24" t="inlineStr">
        <is>
          <t>flag</t>
        </is>
      </c>
      <c r="F24" s="14">
        <f>IF(AND(Inputs!$F$8=1,Inputs!$F$226=1),1,0)</f>
        <v/>
      </c>
    </row>
    <row r="25">
      <c r="D25" t="inlineStr">
        <is>
          <t>Live restructured sculpting active</t>
        </is>
      </c>
      <c r="E25" t="inlineStr">
        <is>
          <t>flag</t>
        </is>
      </c>
      <c r="F25" s="14">
        <f>IF(AND(Inputs!$F$8=1,Inputs!$F$227=1),1,0)</f>
        <v/>
      </c>
    </row>
    <row r="26">
      <c r="D26" t="inlineStr">
        <is>
          <t>Senior debt applied</t>
        </is>
      </c>
      <c r="E26" t="inlineStr">
        <is>
          <t>ARD m</t>
        </is>
      </c>
      <c r="F26" s="30">
        <f>IF($F$24=1,$F$22,Inputs!$F$272)</f>
        <v/>
      </c>
    </row>
    <row r="27">
      <c r="D27" t="inlineStr">
        <is>
          <t>NILO, live (remainder, capped at 33% of eligible costs)</t>
        </is>
      </c>
      <c r="E27" t="inlineStr">
        <is>
          <t>ARD m</t>
        </is>
      </c>
      <c r="F27" s="19">
        <f>MIN(Funding!$F$25-Inputs!$F$88*Funding!$F$25-$F$22,Inputs!$F$121*Funding!$F$24)</f>
        <v/>
      </c>
    </row>
    <row r="28">
      <c r="D28" t="inlineStr">
        <is>
          <t>NILO applied</t>
        </is>
      </c>
      <c r="E28" t="inlineStr">
        <is>
          <t>ARD m</t>
        </is>
      </c>
      <c r="F28" s="30">
        <f>IF($F$24=1,$F$27,Inputs!$F$273)</f>
        <v/>
      </c>
    </row>
    <row r="29">
      <c r="D29" t="inlineStr">
        <is>
          <t>Equity applied</t>
        </is>
      </c>
      <c r="E29" t="inlineStr">
        <is>
          <t>ARD m</t>
        </is>
      </c>
      <c r="F29" s="30">
        <f>IF($F$24=1,Funding!$F$25-$F$26-$F$28,Inputs!$F$274)</f>
        <v/>
      </c>
    </row>
    <row r="30">
      <c r="D30" s="3" t="inlineStr">
        <is>
          <t>Senior sculpting: DS = MAX(interest, CFADS / s) from June 2021</t>
        </is>
      </c>
    </row>
    <row r="31">
      <c r="D31" t="inlineStr">
        <is>
          <t>Scheduled balance: opening</t>
        </is>
      </c>
      <c r="E31" t="inlineStr">
        <is>
          <t>ARD m</t>
        </is>
      </c>
      <c r="J31" s="19">
        <f>IF(Time!J21=1,$F$26,I36)</f>
        <v/>
      </c>
      <c r="K31" s="19">
        <f>IF(Time!K21=1,$F$26,J36)</f>
        <v/>
      </c>
      <c r="L31" s="19">
        <f>IF(Time!L21=1,$F$26,K36)</f>
        <v/>
      </c>
      <c r="M31" s="19">
        <f>IF(Time!M21=1,$F$26,L36)</f>
        <v/>
      </c>
      <c r="N31" s="19">
        <f>IF(Time!N21=1,$F$26,M36)</f>
        <v/>
      </c>
      <c r="O31" s="19">
        <f>IF(Time!O21=1,$F$26,N36)</f>
        <v/>
      </c>
      <c r="P31" s="19">
        <f>IF(Time!P21=1,$F$26,O36)</f>
        <v/>
      </c>
      <c r="Q31" s="19">
        <f>IF(Time!Q21=1,$F$26,P36)</f>
        <v/>
      </c>
      <c r="R31" s="19">
        <f>IF(Time!R21=1,$F$26,Q36)</f>
        <v/>
      </c>
      <c r="S31" s="19">
        <f>IF(Time!S21=1,$F$26,R36)</f>
        <v/>
      </c>
      <c r="T31" s="19">
        <f>IF(Time!T21=1,$F$26,S36)</f>
        <v/>
      </c>
      <c r="U31" s="19">
        <f>IF(Time!U21=1,$F$26,T36)</f>
        <v/>
      </c>
      <c r="V31" s="19">
        <f>IF(Time!V21=1,$F$26,U36)</f>
        <v/>
      </c>
      <c r="W31" s="19">
        <f>IF(Time!W21=1,$F$26,V36)</f>
        <v/>
      </c>
      <c r="X31" s="19">
        <f>IF(Time!X21=1,$F$26,W36)</f>
        <v/>
      </c>
      <c r="Y31" s="19">
        <f>IF(Time!Y21=1,$F$26,X36)</f>
        <v/>
      </c>
      <c r="Z31" s="19">
        <f>IF(Time!Z21=1,$F$26,Y36)</f>
        <v/>
      </c>
      <c r="AA31" s="19">
        <f>IF(Time!AA21=1,$F$26,Z36)</f>
        <v/>
      </c>
      <c r="AB31" s="19">
        <f>IF(Time!AB21=1,$F$26,AA36)</f>
        <v/>
      </c>
      <c r="AC31" s="19">
        <f>IF(Time!AC21=1,$F$26,AB36)</f>
        <v/>
      </c>
      <c r="AD31" s="19">
        <f>IF(Time!AD21=1,$F$26,AC36)</f>
        <v/>
      </c>
      <c r="AE31" s="19">
        <f>IF(Time!AE21=1,$F$26,AD36)</f>
        <v/>
      </c>
      <c r="AF31" s="19">
        <f>IF(Time!AF21=1,$F$26,AE36)</f>
        <v/>
      </c>
      <c r="AG31" s="19">
        <f>IF(Time!AG21=1,$F$26,AF36)</f>
        <v/>
      </c>
      <c r="AH31" s="19">
        <f>IF(Time!AH21=1,$F$26,AG36)</f>
        <v/>
      </c>
      <c r="AI31" s="19">
        <f>IF(Time!AI21=1,$F$26,AH36)</f>
        <v/>
      </c>
      <c r="AJ31" s="19">
        <f>IF(Time!AJ21=1,$F$26,AI36)</f>
        <v/>
      </c>
      <c r="AK31" s="19">
        <f>IF(Time!AK21=1,$F$26,AJ36)</f>
        <v/>
      </c>
      <c r="AL31" s="19">
        <f>IF(Time!AL21=1,$F$26,AK36)</f>
        <v/>
      </c>
      <c r="AM31" s="19">
        <f>IF(Time!AM21=1,$F$26,AL36)</f>
        <v/>
      </c>
      <c r="AN31" s="19">
        <f>IF(Time!AN21=1,$F$26,AM36)</f>
        <v/>
      </c>
      <c r="AO31" s="19">
        <f>IF(Time!AO21=1,$F$26,AN36)</f>
        <v/>
      </c>
      <c r="AP31" s="19">
        <f>IF(Time!AP21=1,$F$26,AO36)</f>
        <v/>
      </c>
      <c r="AQ31" s="19">
        <f>IF(Time!AQ21=1,$F$26,AP36)</f>
        <v/>
      </c>
      <c r="AR31" s="19">
        <f>IF(Time!AR21=1,$F$26,AQ36)</f>
        <v/>
      </c>
      <c r="AS31" s="19">
        <f>IF(Time!AS21=1,$F$26,AR36)</f>
        <v/>
      </c>
      <c r="AT31" s="19">
        <f>IF(Time!AT21=1,$F$26,AS36)</f>
        <v/>
      </c>
      <c r="AU31" s="19">
        <f>IF(Time!AU21=1,$F$26,AT36)</f>
        <v/>
      </c>
      <c r="AV31" s="19">
        <f>IF(Time!AV21=1,$F$26,AU36)</f>
        <v/>
      </c>
      <c r="AW31" s="19">
        <f>IF(Time!AW21=1,$F$26,AV36)</f>
        <v/>
      </c>
      <c r="AX31" s="19">
        <f>IF(Time!AX21=1,$F$26,AW36)</f>
        <v/>
      </c>
      <c r="AY31" s="19">
        <f>IF(Time!AY21=1,$F$26,AX36)</f>
        <v/>
      </c>
      <c r="AZ31" s="19">
        <f>IF(Time!AZ21=1,$F$26,AY36)</f>
        <v/>
      </c>
      <c r="BA31" s="19">
        <f>IF(Time!BA21=1,$F$26,AZ36)</f>
        <v/>
      </c>
      <c r="BB31" s="19">
        <f>IF(Time!BB21=1,$F$26,BA36)</f>
        <v/>
      </c>
      <c r="BC31" s="19">
        <f>IF(Time!BC21=1,$F$26,BB36)</f>
        <v/>
      </c>
      <c r="BD31" s="19">
        <f>IF(Time!BD21=1,$F$26,BC36)</f>
        <v/>
      </c>
      <c r="BE31" s="19">
        <f>IF(Time!BE21=1,$F$26,BD36)</f>
        <v/>
      </c>
      <c r="BF31" s="19">
        <f>IF(Time!BF21=1,$F$26,BE36)</f>
        <v/>
      </c>
      <c r="BG31" s="19">
        <f>IF(Time!BG21=1,$F$26,BF36)</f>
        <v/>
      </c>
      <c r="BH31" s="19">
        <f>IF(Time!BH21=1,$F$26,BG36)</f>
        <v/>
      </c>
      <c r="BI31" s="19">
        <f>IF(Time!BI21=1,$F$26,BH36)</f>
        <v/>
      </c>
      <c r="BJ31" s="19">
        <f>IF(Time!BJ21=1,$F$26,BI36)</f>
        <v/>
      </c>
      <c r="BK31" s="19">
        <f>IF(Time!BK21=1,$F$26,BJ36)</f>
        <v/>
      </c>
      <c r="BL31" s="19">
        <f>IF(Time!BL21=1,$F$26,BK36)</f>
        <v/>
      </c>
      <c r="BM31" s="19">
        <f>IF(Time!BM21=1,$F$26,BL36)</f>
        <v/>
      </c>
      <c r="BN31" s="19">
        <f>IF(Time!BN21=1,$F$26,BM36)</f>
        <v/>
      </c>
      <c r="BO31" s="19">
        <f>IF(Time!BO21=1,$F$26,BN36)</f>
        <v/>
      </c>
      <c r="BP31" s="19">
        <f>IF(Time!BP21=1,$F$26,BO36)</f>
        <v/>
      </c>
      <c r="BQ31" s="19">
        <f>IF(Time!BQ21=1,$F$26,BP36)</f>
        <v/>
      </c>
      <c r="BR31" s="19">
        <f>IF(Time!BR21=1,$F$26,BQ36)</f>
        <v/>
      </c>
      <c r="BS31" s="19">
        <f>IF(Time!BS21=1,$F$26,BR36)</f>
        <v/>
      </c>
      <c r="BT31" s="19">
        <f>IF(Time!BT21=1,$F$26,BS36)</f>
        <v/>
      </c>
      <c r="BU31" s="19">
        <f>IF(Time!BU21=1,$F$26,BT36)</f>
        <v/>
      </c>
      <c r="BV31" s="19">
        <f>IF(Time!BV21=1,$F$26,BU36)</f>
        <v/>
      </c>
      <c r="BW31" s="19">
        <f>IF(Time!BW21=1,$F$26,BV36)</f>
        <v/>
      </c>
      <c r="BX31" s="19">
        <f>IF(Time!BX21=1,$F$26,BW36)</f>
        <v/>
      </c>
      <c r="BY31" s="19">
        <f>IF(Time!BY21=1,$F$26,BX36)</f>
        <v/>
      </c>
      <c r="BZ31" s="19">
        <f>IF(Time!BZ21=1,$F$26,BY36)</f>
        <v/>
      </c>
      <c r="CA31" s="19">
        <f>IF(Time!CA21=1,$F$26,BZ36)</f>
        <v/>
      </c>
      <c r="CB31" s="19">
        <f>IF(Time!CB21=1,$F$26,CA36)</f>
        <v/>
      </c>
      <c r="CC31" s="19">
        <f>IF(Time!CC21=1,$F$26,CB36)</f>
        <v/>
      </c>
      <c r="CD31" s="19">
        <f>IF(Time!CD21=1,$F$26,CC36)</f>
        <v/>
      </c>
      <c r="CE31" s="19">
        <f>IF(Time!CE21=1,$F$26,CD36)</f>
        <v/>
      </c>
      <c r="CF31" s="19">
        <f>IF(Time!CF21=1,$F$26,CE36)</f>
        <v/>
      </c>
      <c r="CG31" s="19">
        <f>IF(Time!CG21=1,$F$26,CF36)</f>
        <v/>
      </c>
      <c r="CH31" s="19">
        <f>IF(Time!CH21=1,$F$26,CG36)</f>
        <v/>
      </c>
      <c r="CI31" s="19">
        <f>IF(Time!CI21=1,$F$26,CH36)</f>
        <v/>
      </c>
      <c r="CJ31" s="19">
        <f>IF(Time!CJ21=1,$F$26,CI36)</f>
        <v/>
      </c>
      <c r="CK31" s="19">
        <f>IF(Time!CK21=1,$F$26,CJ36)</f>
        <v/>
      </c>
      <c r="CL31" s="19">
        <f>IF(Time!CL21=1,$F$26,CK36)</f>
        <v/>
      </c>
      <c r="CM31" s="19">
        <f>IF(Time!CM21=1,$F$26,CL36)</f>
        <v/>
      </c>
      <c r="CN31" s="19">
        <f>IF(Time!CN21=1,$F$26,CM36)</f>
        <v/>
      </c>
      <c r="CO31" s="19">
        <f>IF(Time!CO21=1,$F$26,CN36)</f>
        <v/>
      </c>
      <c r="CP31" s="19">
        <f>IF(Time!CP21=1,$F$26,CO36)</f>
        <v/>
      </c>
      <c r="CQ31" s="19">
        <f>IF(Time!CQ21=1,$F$26,CP36)</f>
        <v/>
      </c>
      <c r="CR31" s="19">
        <f>IF(Time!CR21=1,$F$26,CQ36)</f>
        <v/>
      </c>
      <c r="CS31" s="19">
        <f>IF(Time!CS21=1,$F$26,CR36)</f>
        <v/>
      </c>
      <c r="CT31" s="19">
        <f>IF(Time!CT21=1,$F$26,CS36)</f>
        <v/>
      </c>
      <c r="CU31" s="19">
        <f>IF(Time!CU21=1,$F$26,CT36)</f>
        <v/>
      </c>
      <c r="CV31" s="19">
        <f>IF(Time!CV21=1,$F$26,CU36)</f>
        <v/>
      </c>
      <c r="CW31" s="19">
        <f>IF(Time!CW21=1,$F$26,CV36)</f>
        <v/>
      </c>
      <c r="CX31" s="19">
        <f>IF(Time!CX21=1,$F$26,CW36)</f>
        <v/>
      </c>
      <c r="CY31" s="19">
        <f>IF(Time!CY21=1,$F$26,CX36)</f>
        <v/>
      </c>
      <c r="CZ31" s="19">
        <f>IF(Time!CZ21=1,$F$26,CY36)</f>
        <v/>
      </c>
      <c r="DA31" s="19">
        <f>IF(Time!DA21=1,$F$26,CZ36)</f>
        <v/>
      </c>
      <c r="DB31" s="19">
        <f>IF(Time!DB21=1,$F$26,DA36)</f>
        <v/>
      </c>
    </row>
    <row r="32">
      <c r="D32" t="inlineStr">
        <is>
          <t>Scheduled interest</t>
        </is>
      </c>
      <c r="E32" t="inlineStr">
        <is>
          <t>ARD m</t>
        </is>
      </c>
      <c r="G32" s="19">
        <f>SUM(J32:DB32)</f>
        <v/>
      </c>
      <c r="J32" s="19">
        <f>J31*J9</f>
        <v/>
      </c>
      <c r="K32" s="19">
        <f>K31*K9</f>
        <v/>
      </c>
      <c r="L32" s="19">
        <f>L31*L9</f>
        <v/>
      </c>
      <c r="M32" s="19">
        <f>M31*M9</f>
        <v/>
      </c>
      <c r="N32" s="19">
        <f>N31*N9</f>
        <v/>
      </c>
      <c r="O32" s="19">
        <f>O31*O9</f>
        <v/>
      </c>
      <c r="P32" s="19">
        <f>P31*P9</f>
        <v/>
      </c>
      <c r="Q32" s="19">
        <f>Q31*Q9</f>
        <v/>
      </c>
      <c r="R32" s="19">
        <f>R31*R9</f>
        <v/>
      </c>
      <c r="S32" s="19">
        <f>S31*S9</f>
        <v/>
      </c>
      <c r="T32" s="19">
        <f>T31*T9</f>
        <v/>
      </c>
      <c r="U32" s="19">
        <f>U31*U9</f>
        <v/>
      </c>
      <c r="V32" s="19">
        <f>V31*V9</f>
        <v/>
      </c>
      <c r="W32" s="19">
        <f>W31*W9</f>
        <v/>
      </c>
      <c r="X32" s="19">
        <f>X31*X9</f>
        <v/>
      </c>
      <c r="Y32" s="19">
        <f>Y31*Y9</f>
        <v/>
      </c>
      <c r="Z32" s="19">
        <f>Z31*Z9</f>
        <v/>
      </c>
      <c r="AA32" s="19">
        <f>AA31*AA9</f>
        <v/>
      </c>
      <c r="AB32" s="19">
        <f>AB31*AB9</f>
        <v/>
      </c>
      <c r="AC32" s="19">
        <f>AC31*AC9</f>
        <v/>
      </c>
      <c r="AD32" s="19">
        <f>AD31*AD9</f>
        <v/>
      </c>
      <c r="AE32" s="19">
        <f>AE31*AE9</f>
        <v/>
      </c>
      <c r="AF32" s="19">
        <f>AF31*AF9</f>
        <v/>
      </c>
      <c r="AG32" s="19">
        <f>AG31*AG9</f>
        <v/>
      </c>
      <c r="AH32" s="19">
        <f>AH31*AH9</f>
        <v/>
      </c>
      <c r="AI32" s="19">
        <f>AI31*AI9</f>
        <v/>
      </c>
      <c r="AJ32" s="19">
        <f>AJ31*AJ9</f>
        <v/>
      </c>
      <c r="AK32" s="19">
        <f>AK31*AK9</f>
        <v/>
      </c>
      <c r="AL32" s="19">
        <f>AL31*AL9</f>
        <v/>
      </c>
      <c r="AM32" s="19">
        <f>AM31*AM9</f>
        <v/>
      </c>
      <c r="AN32" s="19">
        <f>AN31*AN9</f>
        <v/>
      </c>
      <c r="AO32" s="19">
        <f>AO31*AO9</f>
        <v/>
      </c>
      <c r="AP32" s="19">
        <f>AP31*AP9</f>
        <v/>
      </c>
      <c r="AQ32" s="19">
        <f>AQ31*AQ9</f>
        <v/>
      </c>
      <c r="AR32" s="19">
        <f>AR31*AR9</f>
        <v/>
      </c>
      <c r="AS32" s="19">
        <f>AS31*AS9</f>
        <v/>
      </c>
      <c r="AT32" s="19">
        <f>AT31*AT9</f>
        <v/>
      </c>
      <c r="AU32" s="19">
        <f>AU31*AU9</f>
        <v/>
      </c>
      <c r="AV32" s="19">
        <f>AV31*AV9</f>
        <v/>
      </c>
      <c r="AW32" s="19">
        <f>AW31*AW9</f>
        <v/>
      </c>
      <c r="AX32" s="19">
        <f>AX31*AX9</f>
        <v/>
      </c>
      <c r="AY32" s="19">
        <f>AY31*AY9</f>
        <v/>
      </c>
      <c r="AZ32" s="19">
        <f>AZ31*AZ9</f>
        <v/>
      </c>
      <c r="BA32" s="19">
        <f>BA31*BA9</f>
        <v/>
      </c>
      <c r="BB32" s="19">
        <f>BB31*BB9</f>
        <v/>
      </c>
      <c r="BC32" s="19">
        <f>BC31*BC9</f>
        <v/>
      </c>
      <c r="BD32" s="19">
        <f>BD31*BD9</f>
        <v/>
      </c>
      <c r="BE32" s="19">
        <f>BE31*BE9</f>
        <v/>
      </c>
      <c r="BF32" s="19">
        <f>BF31*BF9</f>
        <v/>
      </c>
      <c r="BG32" s="19">
        <f>BG31*BG9</f>
        <v/>
      </c>
      <c r="BH32" s="19">
        <f>BH31*BH9</f>
        <v/>
      </c>
      <c r="BI32" s="19">
        <f>BI31*BI9</f>
        <v/>
      </c>
      <c r="BJ32" s="19">
        <f>BJ31*BJ9</f>
        <v/>
      </c>
      <c r="BK32" s="19">
        <f>BK31*BK9</f>
        <v/>
      </c>
      <c r="BL32" s="19">
        <f>BL31*BL9</f>
        <v/>
      </c>
      <c r="BM32" s="19">
        <f>BM31*BM9</f>
        <v/>
      </c>
      <c r="BN32" s="19">
        <f>BN31*BN9</f>
        <v/>
      </c>
      <c r="BO32" s="19">
        <f>BO31*BO9</f>
        <v/>
      </c>
      <c r="BP32" s="19">
        <f>BP31*BP9</f>
        <v/>
      </c>
      <c r="BQ32" s="19">
        <f>BQ31*BQ9</f>
        <v/>
      </c>
      <c r="BR32" s="19">
        <f>BR31*BR9</f>
        <v/>
      </c>
      <c r="BS32" s="19">
        <f>BS31*BS9</f>
        <v/>
      </c>
      <c r="BT32" s="19">
        <f>BT31*BT9</f>
        <v/>
      </c>
      <c r="BU32" s="19">
        <f>BU31*BU9</f>
        <v/>
      </c>
      <c r="BV32" s="19">
        <f>BV31*BV9</f>
        <v/>
      </c>
      <c r="BW32" s="19">
        <f>BW31*BW9</f>
        <v/>
      </c>
      <c r="BX32" s="19">
        <f>BX31*BX9</f>
        <v/>
      </c>
      <c r="BY32" s="19">
        <f>BY31*BY9</f>
        <v/>
      </c>
      <c r="BZ32" s="19">
        <f>BZ31*BZ9</f>
        <v/>
      </c>
      <c r="CA32" s="19">
        <f>CA31*CA9</f>
        <v/>
      </c>
      <c r="CB32" s="19">
        <f>CB31*CB9</f>
        <v/>
      </c>
      <c r="CC32" s="19">
        <f>CC31*CC9</f>
        <v/>
      </c>
      <c r="CD32" s="19">
        <f>CD31*CD9</f>
        <v/>
      </c>
      <c r="CE32" s="19">
        <f>CE31*CE9</f>
        <v/>
      </c>
      <c r="CF32" s="19">
        <f>CF31*CF9</f>
        <v/>
      </c>
      <c r="CG32" s="19">
        <f>CG31*CG9</f>
        <v/>
      </c>
      <c r="CH32" s="19">
        <f>CH31*CH9</f>
        <v/>
      </c>
      <c r="CI32" s="19">
        <f>CI31*CI9</f>
        <v/>
      </c>
      <c r="CJ32" s="19">
        <f>CJ31*CJ9</f>
        <v/>
      </c>
      <c r="CK32" s="19">
        <f>CK31*CK9</f>
        <v/>
      </c>
      <c r="CL32" s="19">
        <f>CL31*CL9</f>
        <v/>
      </c>
      <c r="CM32" s="19">
        <f>CM31*CM9</f>
        <v/>
      </c>
      <c r="CN32" s="19">
        <f>CN31*CN9</f>
        <v/>
      </c>
      <c r="CO32" s="19">
        <f>CO31*CO9</f>
        <v/>
      </c>
      <c r="CP32" s="19">
        <f>CP31*CP9</f>
        <v/>
      </c>
      <c r="CQ32" s="19">
        <f>CQ31*CQ9</f>
        <v/>
      </c>
      <c r="CR32" s="19">
        <f>CR31*CR9</f>
        <v/>
      </c>
      <c r="CS32" s="19">
        <f>CS31*CS9</f>
        <v/>
      </c>
      <c r="CT32" s="19">
        <f>CT31*CT9</f>
        <v/>
      </c>
      <c r="CU32" s="19">
        <f>CU31*CU9</f>
        <v/>
      </c>
      <c r="CV32" s="19">
        <f>CV31*CV9</f>
        <v/>
      </c>
      <c r="CW32" s="19">
        <f>CW31*CW9</f>
        <v/>
      </c>
      <c r="CX32" s="19">
        <f>CX31*CX9</f>
        <v/>
      </c>
      <c r="CY32" s="19">
        <f>CY31*CY9</f>
        <v/>
      </c>
      <c r="CZ32" s="19">
        <f>CZ31*CZ9</f>
        <v/>
      </c>
      <c r="DA32" s="19">
        <f>DA31*DA9</f>
        <v/>
      </c>
      <c r="DB32" s="19">
        <f>DB31*DB9</f>
        <v/>
      </c>
    </row>
    <row r="33">
      <c r="D33" t="inlineStr">
        <is>
          <t>Flag_InterestOnly (interest above CFADS / s)</t>
        </is>
      </c>
      <c r="E33" t="inlineStr">
        <is>
          <t>flag</t>
        </is>
      </c>
      <c r="J33" s="14">
        <f>IF(AND(Time!J30=1,J32&gt;J13/$F$37),1,0)</f>
        <v/>
      </c>
      <c r="K33" s="14">
        <f>IF(AND(Time!K30=1,K32&gt;K13/$F$37),1,0)</f>
        <v/>
      </c>
      <c r="L33" s="14">
        <f>IF(AND(Time!L30=1,L32&gt;L13/$F$37),1,0)</f>
        <v/>
      </c>
      <c r="M33" s="14">
        <f>IF(AND(Time!M30=1,M32&gt;M13/$F$37),1,0)</f>
        <v/>
      </c>
      <c r="N33" s="14">
        <f>IF(AND(Time!N30=1,N32&gt;N13/$F$37),1,0)</f>
        <v/>
      </c>
      <c r="O33" s="14">
        <f>IF(AND(Time!O30=1,O32&gt;O13/$F$37),1,0)</f>
        <v/>
      </c>
      <c r="P33" s="14">
        <f>IF(AND(Time!P30=1,P32&gt;P13/$F$37),1,0)</f>
        <v/>
      </c>
      <c r="Q33" s="14">
        <f>IF(AND(Time!Q30=1,Q32&gt;Q13/$F$37),1,0)</f>
        <v/>
      </c>
      <c r="R33" s="14">
        <f>IF(AND(Time!R30=1,R32&gt;R13/$F$37),1,0)</f>
        <v/>
      </c>
      <c r="S33" s="14">
        <f>IF(AND(Time!S30=1,S32&gt;S13/$F$37),1,0)</f>
        <v/>
      </c>
      <c r="T33" s="14">
        <f>IF(AND(Time!T30=1,T32&gt;T13/$F$37),1,0)</f>
        <v/>
      </c>
      <c r="U33" s="14">
        <f>IF(AND(Time!U30=1,U32&gt;U13/$F$37),1,0)</f>
        <v/>
      </c>
      <c r="V33" s="14">
        <f>IF(AND(Time!V30=1,V32&gt;V13/$F$37),1,0)</f>
        <v/>
      </c>
      <c r="W33" s="14">
        <f>IF(AND(Time!W30=1,W32&gt;W13/$F$37),1,0)</f>
        <v/>
      </c>
      <c r="X33" s="14">
        <f>IF(AND(Time!X30=1,X32&gt;X13/$F$37),1,0)</f>
        <v/>
      </c>
      <c r="Y33" s="14">
        <f>IF(AND(Time!Y30=1,Y32&gt;Y13/$F$37),1,0)</f>
        <v/>
      </c>
      <c r="Z33" s="14">
        <f>IF(AND(Time!Z30=1,Z32&gt;Z13/$F$37),1,0)</f>
        <v/>
      </c>
      <c r="AA33" s="14">
        <f>IF(AND(Time!AA30=1,AA32&gt;AA13/$F$37),1,0)</f>
        <v/>
      </c>
      <c r="AB33" s="14">
        <f>IF(AND(Time!AB30=1,AB32&gt;AB13/$F$37),1,0)</f>
        <v/>
      </c>
      <c r="AC33" s="14">
        <f>IF(AND(Time!AC30=1,AC32&gt;AC13/$F$37),1,0)</f>
        <v/>
      </c>
      <c r="AD33" s="14">
        <f>IF(AND(Time!AD30=1,AD32&gt;AD13/$F$37),1,0)</f>
        <v/>
      </c>
      <c r="AE33" s="14">
        <f>IF(AND(Time!AE30=1,AE32&gt;AE13/$F$37),1,0)</f>
        <v/>
      </c>
      <c r="AF33" s="14">
        <f>IF(AND(Time!AF30=1,AF32&gt;AF13/$F$37),1,0)</f>
        <v/>
      </c>
      <c r="AG33" s="14">
        <f>IF(AND(Time!AG30=1,AG32&gt;AG13/$F$37),1,0)</f>
        <v/>
      </c>
      <c r="AH33" s="14">
        <f>IF(AND(Time!AH30=1,AH32&gt;AH13/$F$37),1,0)</f>
        <v/>
      </c>
      <c r="AI33" s="14">
        <f>IF(AND(Time!AI30=1,AI32&gt;AI13/$F$37),1,0)</f>
        <v/>
      </c>
      <c r="AJ33" s="14">
        <f>IF(AND(Time!AJ30=1,AJ32&gt;AJ13/$F$37),1,0)</f>
        <v/>
      </c>
      <c r="AK33" s="14">
        <f>IF(AND(Time!AK30=1,AK32&gt;AK13/$F$37),1,0)</f>
        <v/>
      </c>
      <c r="AL33" s="14">
        <f>IF(AND(Time!AL30=1,AL32&gt;AL13/$F$37),1,0)</f>
        <v/>
      </c>
      <c r="AM33" s="14">
        <f>IF(AND(Time!AM30=1,AM32&gt;AM13/$F$37),1,0)</f>
        <v/>
      </c>
      <c r="AN33" s="14">
        <f>IF(AND(Time!AN30=1,AN32&gt;AN13/$F$37),1,0)</f>
        <v/>
      </c>
      <c r="AO33" s="14">
        <f>IF(AND(Time!AO30=1,AO32&gt;AO13/$F$37),1,0)</f>
        <v/>
      </c>
      <c r="AP33" s="14">
        <f>IF(AND(Time!AP30=1,AP32&gt;AP13/$F$37),1,0)</f>
        <v/>
      </c>
      <c r="AQ33" s="14">
        <f>IF(AND(Time!AQ30=1,AQ32&gt;AQ13/$F$37),1,0)</f>
        <v/>
      </c>
      <c r="AR33" s="14">
        <f>IF(AND(Time!AR30=1,AR32&gt;AR13/$F$37),1,0)</f>
        <v/>
      </c>
      <c r="AS33" s="14">
        <f>IF(AND(Time!AS30=1,AS32&gt;AS13/$F$37),1,0)</f>
        <v/>
      </c>
      <c r="AT33" s="14">
        <f>IF(AND(Time!AT30=1,AT32&gt;AT13/$F$37),1,0)</f>
        <v/>
      </c>
      <c r="AU33" s="14">
        <f>IF(AND(Time!AU30=1,AU32&gt;AU13/$F$37),1,0)</f>
        <v/>
      </c>
      <c r="AV33" s="14">
        <f>IF(AND(Time!AV30=1,AV32&gt;AV13/$F$37),1,0)</f>
        <v/>
      </c>
      <c r="AW33" s="14">
        <f>IF(AND(Time!AW30=1,AW32&gt;AW13/$F$37),1,0)</f>
        <v/>
      </c>
      <c r="AX33" s="14">
        <f>IF(AND(Time!AX30=1,AX32&gt;AX13/$F$37),1,0)</f>
        <v/>
      </c>
      <c r="AY33" s="14">
        <f>IF(AND(Time!AY30=1,AY32&gt;AY13/$F$37),1,0)</f>
        <v/>
      </c>
      <c r="AZ33" s="14">
        <f>IF(AND(Time!AZ30=1,AZ32&gt;AZ13/$F$37),1,0)</f>
        <v/>
      </c>
      <c r="BA33" s="14">
        <f>IF(AND(Time!BA30=1,BA32&gt;BA13/$F$37),1,0)</f>
        <v/>
      </c>
      <c r="BB33" s="14">
        <f>IF(AND(Time!BB30=1,BB32&gt;BB13/$F$37),1,0)</f>
        <v/>
      </c>
      <c r="BC33" s="14">
        <f>IF(AND(Time!BC30=1,BC32&gt;BC13/$F$37),1,0)</f>
        <v/>
      </c>
      <c r="BD33" s="14">
        <f>IF(AND(Time!BD30=1,BD32&gt;BD13/$F$37),1,0)</f>
        <v/>
      </c>
      <c r="BE33" s="14">
        <f>IF(AND(Time!BE30=1,BE32&gt;BE13/$F$37),1,0)</f>
        <v/>
      </c>
      <c r="BF33" s="14">
        <f>IF(AND(Time!BF30=1,BF32&gt;BF13/$F$37),1,0)</f>
        <v/>
      </c>
      <c r="BG33" s="14">
        <f>IF(AND(Time!BG30=1,BG32&gt;BG13/$F$37),1,0)</f>
        <v/>
      </c>
      <c r="BH33" s="14">
        <f>IF(AND(Time!BH30=1,BH32&gt;BH13/$F$37),1,0)</f>
        <v/>
      </c>
      <c r="BI33" s="14">
        <f>IF(AND(Time!BI30=1,BI32&gt;BI13/$F$37),1,0)</f>
        <v/>
      </c>
      <c r="BJ33" s="14">
        <f>IF(AND(Time!BJ30=1,BJ32&gt;BJ13/$F$37),1,0)</f>
        <v/>
      </c>
      <c r="BK33" s="14">
        <f>IF(AND(Time!BK30=1,BK32&gt;BK13/$F$37),1,0)</f>
        <v/>
      </c>
      <c r="BL33" s="14">
        <f>IF(AND(Time!BL30=1,BL32&gt;BL13/$F$37),1,0)</f>
        <v/>
      </c>
      <c r="BM33" s="14">
        <f>IF(AND(Time!BM30=1,BM32&gt;BM13/$F$37),1,0)</f>
        <v/>
      </c>
      <c r="BN33" s="14">
        <f>IF(AND(Time!BN30=1,BN32&gt;BN13/$F$37),1,0)</f>
        <v/>
      </c>
      <c r="BO33" s="14">
        <f>IF(AND(Time!BO30=1,BO32&gt;BO13/$F$37),1,0)</f>
        <v/>
      </c>
      <c r="BP33" s="14">
        <f>IF(AND(Time!BP30=1,BP32&gt;BP13/$F$37),1,0)</f>
        <v/>
      </c>
      <c r="BQ33" s="14">
        <f>IF(AND(Time!BQ30=1,BQ32&gt;BQ13/$F$37),1,0)</f>
        <v/>
      </c>
      <c r="BR33" s="14">
        <f>IF(AND(Time!BR30=1,BR32&gt;BR13/$F$37),1,0)</f>
        <v/>
      </c>
      <c r="BS33" s="14">
        <f>IF(AND(Time!BS30=1,BS32&gt;BS13/$F$37),1,0)</f>
        <v/>
      </c>
      <c r="BT33" s="14">
        <f>IF(AND(Time!BT30=1,BT32&gt;BT13/$F$37),1,0)</f>
        <v/>
      </c>
      <c r="BU33" s="14">
        <f>IF(AND(Time!BU30=1,BU32&gt;BU13/$F$37),1,0)</f>
        <v/>
      </c>
      <c r="BV33" s="14">
        <f>IF(AND(Time!BV30=1,BV32&gt;BV13/$F$37),1,0)</f>
        <v/>
      </c>
      <c r="BW33" s="14">
        <f>IF(AND(Time!BW30=1,BW32&gt;BW13/$F$37),1,0)</f>
        <v/>
      </c>
      <c r="BX33" s="14">
        <f>IF(AND(Time!BX30=1,BX32&gt;BX13/$F$37),1,0)</f>
        <v/>
      </c>
      <c r="BY33" s="14">
        <f>IF(AND(Time!BY30=1,BY32&gt;BY13/$F$37),1,0)</f>
        <v/>
      </c>
      <c r="BZ33" s="14">
        <f>IF(AND(Time!BZ30=1,BZ32&gt;BZ13/$F$37),1,0)</f>
        <v/>
      </c>
      <c r="CA33" s="14">
        <f>IF(AND(Time!CA30=1,CA32&gt;CA13/$F$37),1,0)</f>
        <v/>
      </c>
      <c r="CB33" s="14">
        <f>IF(AND(Time!CB30=1,CB32&gt;CB13/$F$37),1,0)</f>
        <v/>
      </c>
      <c r="CC33" s="14">
        <f>IF(AND(Time!CC30=1,CC32&gt;CC13/$F$37),1,0)</f>
        <v/>
      </c>
      <c r="CD33" s="14">
        <f>IF(AND(Time!CD30=1,CD32&gt;CD13/$F$37),1,0)</f>
        <v/>
      </c>
      <c r="CE33" s="14">
        <f>IF(AND(Time!CE30=1,CE32&gt;CE13/$F$37),1,0)</f>
        <v/>
      </c>
      <c r="CF33" s="14">
        <f>IF(AND(Time!CF30=1,CF32&gt;CF13/$F$37),1,0)</f>
        <v/>
      </c>
      <c r="CG33" s="14">
        <f>IF(AND(Time!CG30=1,CG32&gt;CG13/$F$37),1,0)</f>
        <v/>
      </c>
      <c r="CH33" s="14">
        <f>IF(AND(Time!CH30=1,CH32&gt;CH13/$F$37),1,0)</f>
        <v/>
      </c>
      <c r="CI33" s="14">
        <f>IF(AND(Time!CI30=1,CI32&gt;CI13/$F$37),1,0)</f>
        <v/>
      </c>
      <c r="CJ33" s="14">
        <f>IF(AND(Time!CJ30=1,CJ32&gt;CJ13/$F$37),1,0)</f>
        <v/>
      </c>
      <c r="CK33" s="14">
        <f>IF(AND(Time!CK30=1,CK32&gt;CK13/$F$37),1,0)</f>
        <v/>
      </c>
      <c r="CL33" s="14">
        <f>IF(AND(Time!CL30=1,CL32&gt;CL13/$F$37),1,0)</f>
        <v/>
      </c>
      <c r="CM33" s="14">
        <f>IF(AND(Time!CM30=1,CM32&gt;CM13/$F$37),1,0)</f>
        <v/>
      </c>
      <c r="CN33" s="14">
        <f>IF(AND(Time!CN30=1,CN32&gt;CN13/$F$37),1,0)</f>
        <v/>
      </c>
      <c r="CO33" s="14">
        <f>IF(AND(Time!CO30=1,CO32&gt;CO13/$F$37),1,0)</f>
        <v/>
      </c>
      <c r="CP33" s="14">
        <f>IF(AND(Time!CP30=1,CP32&gt;CP13/$F$37),1,0)</f>
        <v/>
      </c>
      <c r="CQ33" s="14">
        <f>IF(AND(Time!CQ30=1,CQ32&gt;CQ13/$F$37),1,0)</f>
        <v/>
      </c>
      <c r="CR33" s="14">
        <f>IF(AND(Time!CR30=1,CR32&gt;CR13/$F$37),1,0)</f>
        <v/>
      </c>
      <c r="CS33" s="14">
        <f>IF(AND(Time!CS30=1,CS32&gt;CS13/$F$37),1,0)</f>
        <v/>
      </c>
      <c r="CT33" s="14">
        <f>IF(AND(Time!CT30=1,CT32&gt;CT13/$F$37),1,0)</f>
        <v/>
      </c>
      <c r="CU33" s="14">
        <f>IF(AND(Time!CU30=1,CU32&gt;CU13/$F$37),1,0)</f>
        <v/>
      </c>
      <c r="CV33" s="14">
        <f>IF(AND(Time!CV30=1,CV32&gt;CV13/$F$37),1,0)</f>
        <v/>
      </c>
      <c r="CW33" s="14">
        <f>IF(AND(Time!CW30=1,CW32&gt;CW13/$F$37),1,0)</f>
        <v/>
      </c>
      <c r="CX33" s="14">
        <f>IF(AND(Time!CX30=1,CX32&gt;CX13/$F$37),1,0)</f>
        <v/>
      </c>
      <c r="CY33" s="14">
        <f>IF(AND(Time!CY30=1,CY32&gt;CY13/$F$37),1,0)</f>
        <v/>
      </c>
      <c r="CZ33" s="14">
        <f>IF(AND(Time!CZ30=1,CZ32&gt;CZ13/$F$37),1,0)</f>
        <v/>
      </c>
      <c r="DA33" s="14">
        <f>IF(AND(Time!DA30=1,DA32&gt;DA13/$F$37),1,0)</f>
        <v/>
      </c>
      <c r="DB33" s="14">
        <f>IF(AND(Time!DB30=1,DB32&gt;DB13/$F$37),1,0)</f>
        <v/>
      </c>
    </row>
    <row r="34">
      <c r="D34" t="inlineStr">
        <is>
          <t>Scheduled debt service</t>
        </is>
      </c>
      <c r="E34" t="inlineStr">
        <is>
          <t>ARD m</t>
        </is>
      </c>
      <c r="G34" s="19">
        <f>SUM(J34:DB34)</f>
        <v/>
      </c>
      <c r="J34" s="19">
        <f>IF(Time!J30=1,MAX(J32,J13/$F$37),0)</f>
        <v/>
      </c>
      <c r="K34" s="19">
        <f>IF(Time!K30=1,MAX(K32,K13/$F$37),0)</f>
        <v/>
      </c>
      <c r="L34" s="19">
        <f>IF(Time!L30=1,MAX(L32,L13/$F$37),0)</f>
        <v/>
      </c>
      <c r="M34" s="19">
        <f>IF(Time!M30=1,MAX(M32,M13/$F$37),0)</f>
        <v/>
      </c>
      <c r="N34" s="19">
        <f>IF(Time!N30=1,MAX(N32,N13/$F$37),0)</f>
        <v/>
      </c>
      <c r="O34" s="19">
        <f>IF(Time!O30=1,MAX(O32,O13/$F$37),0)</f>
        <v/>
      </c>
      <c r="P34" s="19">
        <f>IF(Time!P30=1,MAX(P32,P13/$F$37),0)</f>
        <v/>
      </c>
      <c r="Q34" s="19">
        <f>IF(Time!Q30=1,MAX(Q32,Q13/$F$37),0)</f>
        <v/>
      </c>
      <c r="R34" s="19">
        <f>IF(Time!R30=1,MAX(R32,R13/$F$37),0)</f>
        <v/>
      </c>
      <c r="S34" s="19">
        <f>IF(Time!S30=1,MAX(S32,S13/$F$37),0)</f>
        <v/>
      </c>
      <c r="T34" s="19">
        <f>IF(Time!T30=1,MAX(T32,T13/$F$37),0)</f>
        <v/>
      </c>
      <c r="U34" s="19">
        <f>IF(Time!U30=1,MAX(U32,U13/$F$37),0)</f>
        <v/>
      </c>
      <c r="V34" s="19">
        <f>IF(Time!V30=1,MAX(V32,V13/$F$37),0)</f>
        <v/>
      </c>
      <c r="W34" s="19">
        <f>IF(Time!W30=1,MAX(W32,W13/$F$37),0)</f>
        <v/>
      </c>
      <c r="X34" s="19">
        <f>IF(Time!X30=1,MAX(X32,X13/$F$37),0)</f>
        <v/>
      </c>
      <c r="Y34" s="19">
        <f>IF(Time!Y30=1,MAX(Y32,Y13/$F$37),0)</f>
        <v/>
      </c>
      <c r="Z34" s="19">
        <f>IF(Time!Z30=1,MAX(Z32,Z13/$F$37),0)</f>
        <v/>
      </c>
      <c r="AA34" s="19">
        <f>IF(Time!AA30=1,MAX(AA32,AA13/$F$37),0)</f>
        <v/>
      </c>
      <c r="AB34" s="19">
        <f>IF(Time!AB30=1,MAX(AB32,AB13/$F$37),0)</f>
        <v/>
      </c>
      <c r="AC34" s="19">
        <f>IF(Time!AC30=1,MAX(AC32,AC13/$F$37),0)</f>
        <v/>
      </c>
      <c r="AD34" s="19">
        <f>IF(Time!AD30=1,MAX(AD32,AD13/$F$37),0)</f>
        <v/>
      </c>
      <c r="AE34" s="19">
        <f>IF(Time!AE30=1,MAX(AE32,AE13/$F$37),0)</f>
        <v/>
      </c>
      <c r="AF34" s="19">
        <f>IF(Time!AF30=1,MAX(AF32,AF13/$F$37),0)</f>
        <v/>
      </c>
      <c r="AG34" s="19">
        <f>IF(Time!AG30=1,MAX(AG32,AG13/$F$37),0)</f>
        <v/>
      </c>
      <c r="AH34" s="19">
        <f>IF(Time!AH30=1,MAX(AH32,AH13/$F$37),0)</f>
        <v/>
      </c>
      <c r="AI34" s="19">
        <f>IF(Time!AI30=1,MAX(AI32,AI13/$F$37),0)</f>
        <v/>
      </c>
      <c r="AJ34" s="19">
        <f>IF(Time!AJ30=1,MAX(AJ32,AJ13/$F$37),0)</f>
        <v/>
      </c>
      <c r="AK34" s="19">
        <f>IF(Time!AK30=1,MAX(AK32,AK13/$F$37),0)</f>
        <v/>
      </c>
      <c r="AL34" s="19">
        <f>IF(Time!AL30=1,MAX(AL32,AL13/$F$37),0)</f>
        <v/>
      </c>
      <c r="AM34" s="19">
        <f>IF(Time!AM30=1,MAX(AM32,AM13/$F$37),0)</f>
        <v/>
      </c>
      <c r="AN34" s="19">
        <f>IF(Time!AN30=1,MAX(AN32,AN13/$F$37),0)</f>
        <v/>
      </c>
      <c r="AO34" s="19">
        <f>IF(Time!AO30=1,MAX(AO32,AO13/$F$37),0)</f>
        <v/>
      </c>
      <c r="AP34" s="19">
        <f>IF(Time!AP30=1,MAX(AP32,AP13/$F$37),0)</f>
        <v/>
      </c>
      <c r="AQ34" s="19">
        <f>IF(Time!AQ30=1,MAX(AQ32,AQ13/$F$37),0)</f>
        <v/>
      </c>
      <c r="AR34" s="19">
        <f>IF(Time!AR30=1,MAX(AR32,AR13/$F$37),0)</f>
        <v/>
      </c>
      <c r="AS34" s="19">
        <f>IF(Time!AS30=1,MAX(AS32,AS13/$F$37),0)</f>
        <v/>
      </c>
      <c r="AT34" s="19">
        <f>IF(Time!AT30=1,MAX(AT32,AT13/$F$37),0)</f>
        <v/>
      </c>
      <c r="AU34" s="19">
        <f>IF(Time!AU30=1,MAX(AU32,AU13/$F$37),0)</f>
        <v/>
      </c>
      <c r="AV34" s="19">
        <f>IF(Time!AV30=1,MAX(AV32,AV13/$F$37),0)</f>
        <v/>
      </c>
      <c r="AW34" s="19">
        <f>IF(Time!AW30=1,MAX(AW32,AW13/$F$37),0)</f>
        <v/>
      </c>
      <c r="AX34" s="19">
        <f>IF(Time!AX30=1,MAX(AX32,AX13/$F$37),0)</f>
        <v/>
      </c>
      <c r="AY34" s="19">
        <f>IF(Time!AY30=1,MAX(AY32,AY13/$F$37),0)</f>
        <v/>
      </c>
      <c r="AZ34" s="19">
        <f>IF(Time!AZ30=1,MAX(AZ32,AZ13/$F$37),0)</f>
        <v/>
      </c>
      <c r="BA34" s="19">
        <f>IF(Time!BA30=1,MAX(BA32,BA13/$F$37),0)</f>
        <v/>
      </c>
      <c r="BB34" s="19">
        <f>IF(Time!BB30=1,MAX(BB32,BB13/$F$37),0)</f>
        <v/>
      </c>
      <c r="BC34" s="19">
        <f>IF(Time!BC30=1,MAX(BC32,BC13/$F$37),0)</f>
        <v/>
      </c>
      <c r="BD34" s="19">
        <f>IF(Time!BD30=1,MAX(BD32,BD13/$F$37),0)</f>
        <v/>
      </c>
      <c r="BE34" s="19">
        <f>IF(Time!BE30=1,MAX(BE32,BE13/$F$37),0)</f>
        <v/>
      </c>
      <c r="BF34" s="19">
        <f>IF(Time!BF30=1,MAX(BF32,BF13/$F$37),0)</f>
        <v/>
      </c>
      <c r="BG34" s="19">
        <f>IF(Time!BG30=1,MAX(BG32,BG13/$F$37),0)</f>
        <v/>
      </c>
      <c r="BH34" s="19">
        <f>IF(Time!BH30=1,MAX(BH32,BH13/$F$37),0)</f>
        <v/>
      </c>
      <c r="BI34" s="19">
        <f>IF(Time!BI30=1,MAX(BI32,BI13/$F$37),0)</f>
        <v/>
      </c>
      <c r="BJ34" s="19">
        <f>IF(Time!BJ30=1,MAX(BJ32,BJ13/$F$37),0)</f>
        <v/>
      </c>
      <c r="BK34" s="19">
        <f>IF(Time!BK30=1,MAX(BK32,BK13/$F$37),0)</f>
        <v/>
      </c>
      <c r="BL34" s="19">
        <f>IF(Time!BL30=1,MAX(BL32,BL13/$F$37),0)</f>
        <v/>
      </c>
      <c r="BM34" s="19">
        <f>IF(Time!BM30=1,MAX(BM32,BM13/$F$37),0)</f>
        <v/>
      </c>
      <c r="BN34" s="19">
        <f>IF(Time!BN30=1,MAX(BN32,BN13/$F$37),0)</f>
        <v/>
      </c>
      <c r="BO34" s="19">
        <f>IF(Time!BO30=1,MAX(BO32,BO13/$F$37),0)</f>
        <v/>
      </c>
      <c r="BP34" s="19">
        <f>IF(Time!BP30=1,MAX(BP32,BP13/$F$37),0)</f>
        <v/>
      </c>
      <c r="BQ34" s="19">
        <f>IF(Time!BQ30=1,MAX(BQ32,BQ13/$F$37),0)</f>
        <v/>
      </c>
      <c r="BR34" s="19">
        <f>IF(Time!BR30=1,MAX(BR32,BR13/$F$37),0)</f>
        <v/>
      </c>
      <c r="BS34" s="19">
        <f>IF(Time!BS30=1,MAX(BS32,BS13/$F$37),0)</f>
        <v/>
      </c>
      <c r="BT34" s="19">
        <f>IF(Time!BT30=1,MAX(BT32,BT13/$F$37),0)</f>
        <v/>
      </c>
      <c r="BU34" s="19">
        <f>IF(Time!BU30=1,MAX(BU32,BU13/$F$37),0)</f>
        <v/>
      </c>
      <c r="BV34" s="19">
        <f>IF(Time!BV30=1,MAX(BV32,BV13/$F$37),0)</f>
        <v/>
      </c>
      <c r="BW34" s="19">
        <f>IF(Time!BW30=1,MAX(BW32,BW13/$F$37),0)</f>
        <v/>
      </c>
      <c r="BX34" s="19">
        <f>IF(Time!BX30=1,MAX(BX32,BX13/$F$37),0)</f>
        <v/>
      </c>
      <c r="BY34" s="19">
        <f>IF(Time!BY30=1,MAX(BY32,BY13/$F$37),0)</f>
        <v/>
      </c>
      <c r="BZ34" s="19">
        <f>IF(Time!BZ30=1,MAX(BZ32,BZ13/$F$37),0)</f>
        <v/>
      </c>
      <c r="CA34" s="19">
        <f>IF(Time!CA30=1,MAX(CA32,CA13/$F$37),0)</f>
        <v/>
      </c>
      <c r="CB34" s="19">
        <f>IF(Time!CB30=1,MAX(CB32,CB13/$F$37),0)</f>
        <v/>
      </c>
      <c r="CC34" s="19">
        <f>IF(Time!CC30=1,MAX(CC32,CC13/$F$37),0)</f>
        <v/>
      </c>
      <c r="CD34" s="19">
        <f>IF(Time!CD30=1,MAX(CD32,CD13/$F$37),0)</f>
        <v/>
      </c>
      <c r="CE34" s="19">
        <f>IF(Time!CE30=1,MAX(CE32,CE13/$F$37),0)</f>
        <v/>
      </c>
      <c r="CF34" s="19">
        <f>IF(Time!CF30=1,MAX(CF32,CF13/$F$37),0)</f>
        <v/>
      </c>
      <c r="CG34" s="19">
        <f>IF(Time!CG30=1,MAX(CG32,CG13/$F$37),0)</f>
        <v/>
      </c>
      <c r="CH34" s="19">
        <f>IF(Time!CH30=1,MAX(CH32,CH13/$F$37),0)</f>
        <v/>
      </c>
      <c r="CI34" s="19">
        <f>IF(Time!CI30=1,MAX(CI32,CI13/$F$37),0)</f>
        <v/>
      </c>
      <c r="CJ34" s="19">
        <f>IF(Time!CJ30=1,MAX(CJ32,CJ13/$F$37),0)</f>
        <v/>
      </c>
      <c r="CK34" s="19">
        <f>IF(Time!CK30=1,MAX(CK32,CK13/$F$37),0)</f>
        <v/>
      </c>
      <c r="CL34" s="19">
        <f>IF(Time!CL30=1,MAX(CL32,CL13/$F$37),0)</f>
        <v/>
      </c>
      <c r="CM34" s="19">
        <f>IF(Time!CM30=1,MAX(CM32,CM13/$F$37),0)</f>
        <v/>
      </c>
      <c r="CN34" s="19">
        <f>IF(Time!CN30=1,MAX(CN32,CN13/$F$37),0)</f>
        <v/>
      </c>
      <c r="CO34" s="19">
        <f>IF(Time!CO30=1,MAX(CO32,CO13/$F$37),0)</f>
        <v/>
      </c>
      <c r="CP34" s="19">
        <f>IF(Time!CP30=1,MAX(CP32,CP13/$F$37),0)</f>
        <v/>
      </c>
      <c r="CQ34" s="19">
        <f>IF(Time!CQ30=1,MAX(CQ32,CQ13/$F$37),0)</f>
        <v/>
      </c>
      <c r="CR34" s="19">
        <f>IF(Time!CR30=1,MAX(CR32,CR13/$F$37),0)</f>
        <v/>
      </c>
      <c r="CS34" s="19">
        <f>IF(Time!CS30=1,MAX(CS32,CS13/$F$37),0)</f>
        <v/>
      </c>
      <c r="CT34" s="19">
        <f>IF(Time!CT30=1,MAX(CT32,CT13/$F$37),0)</f>
        <v/>
      </c>
      <c r="CU34" s="19">
        <f>IF(Time!CU30=1,MAX(CU32,CU13/$F$37),0)</f>
        <v/>
      </c>
      <c r="CV34" s="19">
        <f>IF(Time!CV30=1,MAX(CV32,CV13/$F$37),0)</f>
        <v/>
      </c>
      <c r="CW34" s="19">
        <f>IF(Time!CW30=1,MAX(CW32,CW13/$F$37),0)</f>
        <v/>
      </c>
      <c r="CX34" s="19">
        <f>IF(Time!CX30=1,MAX(CX32,CX13/$F$37),0)</f>
        <v/>
      </c>
      <c r="CY34" s="19">
        <f>IF(Time!CY30=1,MAX(CY32,CY13/$F$37),0)</f>
        <v/>
      </c>
      <c r="CZ34" s="19">
        <f>IF(Time!CZ30=1,MAX(CZ32,CZ13/$F$37),0)</f>
        <v/>
      </c>
      <c r="DA34" s="19">
        <f>IF(Time!DA30=1,MAX(DA32,DA13/$F$37),0)</f>
        <v/>
      </c>
      <c r="DB34" s="19">
        <f>IF(Time!DB30=1,MAX(DB32,DB13/$F$37),0)</f>
        <v/>
      </c>
    </row>
    <row r="35">
      <c r="D35" t="inlineStr">
        <is>
          <t>Scheduled principal (live)</t>
        </is>
      </c>
      <c r="E35" t="inlineStr">
        <is>
          <t>ARD m</t>
        </is>
      </c>
      <c r="G35" s="19">
        <f>SUM(J35:DB35)</f>
        <v/>
      </c>
      <c r="J35" s="19">
        <f>IF(Time!J30=1,J34-J32,0)</f>
        <v/>
      </c>
      <c r="K35" s="19">
        <f>IF(Time!K30=1,K34-K32,0)</f>
        <v/>
      </c>
      <c r="L35" s="19">
        <f>IF(Time!L30=1,L34-L32,0)</f>
        <v/>
      </c>
      <c r="M35" s="19">
        <f>IF(Time!M30=1,M34-M32,0)</f>
        <v/>
      </c>
      <c r="N35" s="19">
        <f>IF(Time!N30=1,N34-N32,0)</f>
        <v/>
      </c>
      <c r="O35" s="19">
        <f>IF(Time!O30=1,O34-O32,0)</f>
        <v/>
      </c>
      <c r="P35" s="19">
        <f>IF(Time!P30=1,P34-P32,0)</f>
        <v/>
      </c>
      <c r="Q35" s="19">
        <f>IF(Time!Q30=1,Q34-Q32,0)</f>
        <v/>
      </c>
      <c r="R35" s="19">
        <f>IF(Time!R30=1,R34-R32,0)</f>
        <v/>
      </c>
      <c r="S35" s="19">
        <f>IF(Time!S30=1,S34-S32,0)</f>
        <v/>
      </c>
      <c r="T35" s="19">
        <f>IF(Time!T30=1,T34-T32,0)</f>
        <v/>
      </c>
      <c r="U35" s="19">
        <f>IF(Time!U30=1,U34-U32,0)</f>
        <v/>
      </c>
      <c r="V35" s="19">
        <f>IF(Time!V30=1,V34-V32,0)</f>
        <v/>
      </c>
      <c r="W35" s="19">
        <f>IF(Time!W30=1,W34-W32,0)</f>
        <v/>
      </c>
      <c r="X35" s="19">
        <f>IF(Time!X30=1,X34-X32,0)</f>
        <v/>
      </c>
      <c r="Y35" s="19">
        <f>IF(Time!Y30=1,Y34-Y32,0)</f>
        <v/>
      </c>
      <c r="Z35" s="19">
        <f>IF(Time!Z30=1,Z34-Z32,0)</f>
        <v/>
      </c>
      <c r="AA35" s="19">
        <f>IF(Time!AA30=1,AA34-AA32,0)</f>
        <v/>
      </c>
      <c r="AB35" s="19">
        <f>IF(Time!AB30=1,AB34-AB32,0)</f>
        <v/>
      </c>
      <c r="AC35" s="19">
        <f>IF(Time!AC30=1,AC34-AC32,0)</f>
        <v/>
      </c>
      <c r="AD35" s="19">
        <f>IF(Time!AD30=1,AD34-AD32,0)</f>
        <v/>
      </c>
      <c r="AE35" s="19">
        <f>IF(Time!AE30=1,AE34-AE32,0)</f>
        <v/>
      </c>
      <c r="AF35" s="19">
        <f>IF(Time!AF30=1,AF34-AF32,0)</f>
        <v/>
      </c>
      <c r="AG35" s="19">
        <f>IF(Time!AG30=1,AG34-AG32,0)</f>
        <v/>
      </c>
      <c r="AH35" s="19">
        <f>IF(Time!AH30=1,AH34-AH32,0)</f>
        <v/>
      </c>
      <c r="AI35" s="19">
        <f>IF(Time!AI30=1,AI34-AI32,0)</f>
        <v/>
      </c>
      <c r="AJ35" s="19">
        <f>IF(Time!AJ30=1,AJ34-AJ32,0)</f>
        <v/>
      </c>
      <c r="AK35" s="19">
        <f>IF(Time!AK30=1,AK34-AK32,0)</f>
        <v/>
      </c>
      <c r="AL35" s="19">
        <f>IF(Time!AL30=1,AL34-AL32,0)</f>
        <v/>
      </c>
      <c r="AM35" s="19">
        <f>IF(Time!AM30=1,AM34-AM32,0)</f>
        <v/>
      </c>
      <c r="AN35" s="19">
        <f>IF(Time!AN30=1,AN34-AN32,0)</f>
        <v/>
      </c>
      <c r="AO35" s="19">
        <f>IF(Time!AO30=1,AO34-AO32,0)</f>
        <v/>
      </c>
      <c r="AP35" s="19">
        <f>IF(Time!AP30=1,AP34-AP32,0)</f>
        <v/>
      </c>
      <c r="AQ35" s="19">
        <f>IF(Time!AQ30=1,AQ34-AQ32,0)</f>
        <v/>
      </c>
      <c r="AR35" s="19">
        <f>IF(Time!AR30=1,AR34-AR32,0)</f>
        <v/>
      </c>
      <c r="AS35" s="19">
        <f>IF(Time!AS30=1,AS34-AS32,0)</f>
        <v/>
      </c>
      <c r="AT35" s="19">
        <f>IF(Time!AT30=1,AT34-AT32,0)</f>
        <v/>
      </c>
      <c r="AU35" s="19">
        <f>IF(Time!AU30=1,AU34-AU32,0)</f>
        <v/>
      </c>
      <c r="AV35" s="19">
        <f>IF(Time!AV30=1,AV34-AV32,0)</f>
        <v/>
      </c>
      <c r="AW35" s="19">
        <f>IF(Time!AW30=1,AW34-AW32,0)</f>
        <v/>
      </c>
      <c r="AX35" s="19">
        <f>IF(Time!AX30=1,AX34-AX32,0)</f>
        <v/>
      </c>
      <c r="AY35" s="19">
        <f>IF(Time!AY30=1,AY34-AY32,0)</f>
        <v/>
      </c>
      <c r="AZ35" s="19">
        <f>IF(Time!AZ30=1,AZ34-AZ32,0)</f>
        <v/>
      </c>
      <c r="BA35" s="19">
        <f>IF(Time!BA30=1,BA34-BA32,0)</f>
        <v/>
      </c>
      <c r="BB35" s="19">
        <f>IF(Time!BB30=1,BB34-BB32,0)</f>
        <v/>
      </c>
      <c r="BC35" s="19">
        <f>IF(Time!BC30=1,BC34-BC32,0)</f>
        <v/>
      </c>
      <c r="BD35" s="19">
        <f>IF(Time!BD30=1,BD34-BD32,0)</f>
        <v/>
      </c>
      <c r="BE35" s="19">
        <f>IF(Time!BE30=1,BE34-BE32,0)</f>
        <v/>
      </c>
      <c r="BF35" s="19">
        <f>IF(Time!BF30=1,BF34-BF32,0)</f>
        <v/>
      </c>
      <c r="BG35" s="19">
        <f>IF(Time!BG30=1,BG34-BG32,0)</f>
        <v/>
      </c>
      <c r="BH35" s="19">
        <f>IF(Time!BH30=1,BH34-BH32,0)</f>
        <v/>
      </c>
      <c r="BI35" s="19">
        <f>IF(Time!BI30=1,BI34-BI32,0)</f>
        <v/>
      </c>
      <c r="BJ35" s="19">
        <f>IF(Time!BJ30=1,BJ34-BJ32,0)</f>
        <v/>
      </c>
      <c r="BK35" s="19">
        <f>IF(Time!BK30=1,BK34-BK32,0)</f>
        <v/>
      </c>
      <c r="BL35" s="19">
        <f>IF(Time!BL30=1,BL34-BL32,0)</f>
        <v/>
      </c>
      <c r="BM35" s="19">
        <f>IF(Time!BM30=1,BM34-BM32,0)</f>
        <v/>
      </c>
      <c r="BN35" s="19">
        <f>IF(Time!BN30=1,BN34-BN32,0)</f>
        <v/>
      </c>
      <c r="BO35" s="19">
        <f>IF(Time!BO30=1,BO34-BO32,0)</f>
        <v/>
      </c>
      <c r="BP35" s="19">
        <f>IF(Time!BP30=1,BP34-BP32,0)</f>
        <v/>
      </c>
      <c r="BQ35" s="19">
        <f>IF(Time!BQ30=1,BQ34-BQ32,0)</f>
        <v/>
      </c>
      <c r="BR35" s="19">
        <f>IF(Time!BR30=1,BR34-BR32,0)</f>
        <v/>
      </c>
      <c r="BS35" s="19">
        <f>IF(Time!BS30=1,BS34-BS32,0)</f>
        <v/>
      </c>
      <c r="BT35" s="19">
        <f>IF(Time!BT30=1,BT34-BT32,0)</f>
        <v/>
      </c>
      <c r="BU35" s="19">
        <f>IF(Time!BU30=1,BU34-BU32,0)</f>
        <v/>
      </c>
      <c r="BV35" s="19">
        <f>IF(Time!BV30=1,BV34-BV32,0)</f>
        <v/>
      </c>
      <c r="BW35" s="19">
        <f>IF(Time!BW30=1,BW34-BW32,0)</f>
        <v/>
      </c>
      <c r="BX35" s="19">
        <f>IF(Time!BX30=1,BX34-BX32,0)</f>
        <v/>
      </c>
      <c r="BY35" s="19">
        <f>IF(Time!BY30=1,BY34-BY32,0)</f>
        <v/>
      </c>
      <c r="BZ35" s="19">
        <f>IF(Time!BZ30=1,BZ34-BZ32,0)</f>
        <v/>
      </c>
      <c r="CA35" s="19">
        <f>IF(Time!CA30=1,CA34-CA32,0)</f>
        <v/>
      </c>
      <c r="CB35" s="19">
        <f>IF(Time!CB30=1,CB34-CB32,0)</f>
        <v/>
      </c>
      <c r="CC35" s="19">
        <f>IF(Time!CC30=1,CC34-CC32,0)</f>
        <v/>
      </c>
      <c r="CD35" s="19">
        <f>IF(Time!CD30=1,CD34-CD32,0)</f>
        <v/>
      </c>
      <c r="CE35" s="19">
        <f>IF(Time!CE30=1,CE34-CE32,0)</f>
        <v/>
      </c>
      <c r="CF35" s="19">
        <f>IF(Time!CF30=1,CF34-CF32,0)</f>
        <v/>
      </c>
      <c r="CG35" s="19">
        <f>IF(Time!CG30=1,CG34-CG32,0)</f>
        <v/>
      </c>
      <c r="CH35" s="19">
        <f>IF(Time!CH30=1,CH34-CH32,0)</f>
        <v/>
      </c>
      <c r="CI35" s="19">
        <f>IF(Time!CI30=1,CI34-CI32,0)</f>
        <v/>
      </c>
      <c r="CJ35" s="19">
        <f>IF(Time!CJ30=1,CJ34-CJ32,0)</f>
        <v/>
      </c>
      <c r="CK35" s="19">
        <f>IF(Time!CK30=1,CK34-CK32,0)</f>
        <v/>
      </c>
      <c r="CL35" s="19">
        <f>IF(Time!CL30=1,CL34-CL32,0)</f>
        <v/>
      </c>
      <c r="CM35" s="19">
        <f>IF(Time!CM30=1,CM34-CM32,0)</f>
        <v/>
      </c>
      <c r="CN35" s="19">
        <f>IF(Time!CN30=1,CN34-CN32,0)</f>
        <v/>
      </c>
      <c r="CO35" s="19">
        <f>IF(Time!CO30=1,CO34-CO32,0)</f>
        <v/>
      </c>
      <c r="CP35" s="19">
        <f>IF(Time!CP30=1,CP34-CP32,0)</f>
        <v/>
      </c>
      <c r="CQ35" s="19">
        <f>IF(Time!CQ30=1,CQ34-CQ32,0)</f>
        <v/>
      </c>
      <c r="CR35" s="19">
        <f>IF(Time!CR30=1,CR34-CR32,0)</f>
        <v/>
      </c>
      <c r="CS35" s="19">
        <f>IF(Time!CS30=1,CS34-CS32,0)</f>
        <v/>
      </c>
      <c r="CT35" s="19">
        <f>IF(Time!CT30=1,CT34-CT32,0)</f>
        <v/>
      </c>
      <c r="CU35" s="19">
        <f>IF(Time!CU30=1,CU34-CU32,0)</f>
        <v/>
      </c>
      <c r="CV35" s="19">
        <f>IF(Time!CV30=1,CV34-CV32,0)</f>
        <v/>
      </c>
      <c r="CW35" s="19">
        <f>IF(Time!CW30=1,CW34-CW32,0)</f>
        <v/>
      </c>
      <c r="CX35" s="19">
        <f>IF(Time!CX30=1,CX34-CX32,0)</f>
        <v/>
      </c>
      <c r="CY35" s="19">
        <f>IF(Time!CY30=1,CY34-CY32,0)</f>
        <v/>
      </c>
      <c r="CZ35" s="19">
        <f>IF(Time!CZ30=1,CZ34-CZ32,0)</f>
        <v/>
      </c>
      <c r="DA35" s="19">
        <f>IF(Time!DA30=1,DA34-DA32,0)</f>
        <v/>
      </c>
      <c r="DB35" s="19">
        <f>IF(Time!DB30=1,DB34-DB32,0)</f>
        <v/>
      </c>
    </row>
    <row r="36">
      <c r="D36" t="inlineStr">
        <is>
          <t>Scheduled balance: closing</t>
        </is>
      </c>
      <c r="E36" t="inlineStr">
        <is>
          <t>ARD m</t>
        </is>
      </c>
      <c r="J36" s="19">
        <f>J31-J35</f>
        <v/>
      </c>
      <c r="K36" s="19">
        <f>K31-K35</f>
        <v/>
      </c>
      <c r="L36" s="19">
        <f>L31-L35</f>
        <v/>
      </c>
      <c r="M36" s="19">
        <f>M31-M35</f>
        <v/>
      </c>
      <c r="N36" s="19">
        <f>N31-N35</f>
        <v/>
      </c>
      <c r="O36" s="19">
        <f>O31-O35</f>
        <v/>
      </c>
      <c r="P36" s="19">
        <f>P31-P35</f>
        <v/>
      </c>
      <c r="Q36" s="19">
        <f>Q31-Q35</f>
        <v/>
      </c>
      <c r="R36" s="19">
        <f>R31-R35</f>
        <v/>
      </c>
      <c r="S36" s="19">
        <f>S31-S35</f>
        <v/>
      </c>
      <c r="T36" s="19">
        <f>T31-T35</f>
        <v/>
      </c>
      <c r="U36" s="19">
        <f>U31-U35</f>
        <v/>
      </c>
      <c r="V36" s="19">
        <f>V31-V35</f>
        <v/>
      </c>
      <c r="W36" s="19">
        <f>W31-W35</f>
        <v/>
      </c>
      <c r="X36" s="19">
        <f>X31-X35</f>
        <v/>
      </c>
      <c r="Y36" s="19">
        <f>Y31-Y35</f>
        <v/>
      </c>
      <c r="Z36" s="19">
        <f>Z31-Z35</f>
        <v/>
      </c>
      <c r="AA36" s="19">
        <f>AA31-AA35</f>
        <v/>
      </c>
      <c r="AB36" s="19">
        <f>AB31-AB35</f>
        <v/>
      </c>
      <c r="AC36" s="19">
        <f>AC31-AC35</f>
        <v/>
      </c>
      <c r="AD36" s="19">
        <f>AD31-AD35</f>
        <v/>
      </c>
      <c r="AE36" s="19">
        <f>AE31-AE35</f>
        <v/>
      </c>
      <c r="AF36" s="19">
        <f>AF31-AF35</f>
        <v/>
      </c>
      <c r="AG36" s="19">
        <f>AG31-AG35</f>
        <v/>
      </c>
      <c r="AH36" s="19">
        <f>AH31-AH35</f>
        <v/>
      </c>
      <c r="AI36" s="19">
        <f>AI31-AI35</f>
        <v/>
      </c>
      <c r="AJ36" s="19">
        <f>AJ31-AJ35</f>
        <v/>
      </c>
      <c r="AK36" s="19">
        <f>AK31-AK35</f>
        <v/>
      </c>
      <c r="AL36" s="19">
        <f>AL31-AL35</f>
        <v/>
      </c>
      <c r="AM36" s="19">
        <f>AM31-AM35</f>
        <v/>
      </c>
      <c r="AN36" s="19">
        <f>AN31-AN35</f>
        <v/>
      </c>
      <c r="AO36" s="19">
        <f>AO31-AO35</f>
        <v/>
      </c>
      <c r="AP36" s="19">
        <f>AP31-AP35</f>
        <v/>
      </c>
      <c r="AQ36" s="19">
        <f>AQ31-AQ35</f>
        <v/>
      </c>
      <c r="AR36" s="19">
        <f>AR31-AR35</f>
        <v/>
      </c>
      <c r="AS36" s="19">
        <f>AS31-AS35</f>
        <v/>
      </c>
      <c r="AT36" s="19">
        <f>AT31-AT35</f>
        <v/>
      </c>
      <c r="AU36" s="19">
        <f>AU31-AU35</f>
        <v/>
      </c>
      <c r="AV36" s="19">
        <f>AV31-AV35</f>
        <v/>
      </c>
      <c r="AW36" s="19">
        <f>AW31-AW35</f>
        <v/>
      </c>
      <c r="AX36" s="19">
        <f>AX31-AX35</f>
        <v/>
      </c>
      <c r="AY36" s="19">
        <f>AY31-AY35</f>
        <v/>
      </c>
      <c r="AZ36" s="19">
        <f>AZ31-AZ35</f>
        <v/>
      </c>
      <c r="BA36" s="19">
        <f>BA31-BA35</f>
        <v/>
      </c>
      <c r="BB36" s="19">
        <f>BB31-BB35</f>
        <v/>
      </c>
      <c r="BC36" s="19">
        <f>BC31-BC35</f>
        <v/>
      </c>
      <c r="BD36" s="19">
        <f>BD31-BD35</f>
        <v/>
      </c>
      <c r="BE36" s="19">
        <f>BE31-BE35</f>
        <v/>
      </c>
      <c r="BF36" s="19">
        <f>BF31-BF35</f>
        <v/>
      </c>
      <c r="BG36" s="19">
        <f>BG31-BG35</f>
        <v/>
      </c>
      <c r="BH36" s="19">
        <f>BH31-BH35</f>
        <v/>
      </c>
      <c r="BI36" s="19">
        <f>BI31-BI35</f>
        <v/>
      </c>
      <c r="BJ36" s="19">
        <f>BJ31-BJ35</f>
        <v/>
      </c>
      <c r="BK36" s="19">
        <f>BK31-BK35</f>
        <v/>
      </c>
      <c r="BL36" s="19">
        <f>BL31-BL35</f>
        <v/>
      </c>
      <c r="BM36" s="19">
        <f>BM31-BM35</f>
        <v/>
      </c>
      <c r="BN36" s="19">
        <f>BN31-BN35</f>
        <v/>
      </c>
      <c r="BO36" s="19">
        <f>BO31-BO35</f>
        <v/>
      </c>
      <c r="BP36" s="19">
        <f>BP31-BP35</f>
        <v/>
      </c>
      <c r="BQ36" s="19">
        <f>BQ31-BQ35</f>
        <v/>
      </c>
      <c r="BR36" s="19">
        <f>BR31-BR35</f>
        <v/>
      </c>
      <c r="BS36" s="19">
        <f>BS31-BS35</f>
        <v/>
      </c>
      <c r="BT36" s="19">
        <f>BT31-BT35</f>
        <v/>
      </c>
      <c r="BU36" s="19">
        <f>BU31-BU35</f>
        <v/>
      </c>
      <c r="BV36" s="19">
        <f>BV31-BV35</f>
        <v/>
      </c>
      <c r="BW36" s="19">
        <f>BW31-BW35</f>
        <v/>
      </c>
      <c r="BX36" s="19">
        <f>BX31-BX35</f>
        <v/>
      </c>
      <c r="BY36" s="19">
        <f>BY31-BY35</f>
        <v/>
      </c>
      <c r="BZ36" s="19">
        <f>BZ31-BZ35</f>
        <v/>
      </c>
      <c r="CA36" s="19">
        <f>CA31-CA35</f>
        <v/>
      </c>
      <c r="CB36" s="19">
        <f>CB31-CB35</f>
        <v/>
      </c>
      <c r="CC36" s="19">
        <f>CC31-CC35</f>
        <v/>
      </c>
      <c r="CD36" s="19">
        <f>CD31-CD35</f>
        <v/>
      </c>
      <c r="CE36" s="19">
        <f>CE31-CE35</f>
        <v/>
      </c>
      <c r="CF36" s="19">
        <f>CF31-CF35</f>
        <v/>
      </c>
      <c r="CG36" s="19">
        <f>CG31-CG35</f>
        <v/>
      </c>
      <c r="CH36" s="19">
        <f>CH31-CH35</f>
        <v/>
      </c>
      <c r="CI36" s="19">
        <f>CI31-CI35</f>
        <v/>
      </c>
      <c r="CJ36" s="19">
        <f>CJ31-CJ35</f>
        <v/>
      </c>
      <c r="CK36" s="19">
        <f>CK31-CK35</f>
        <v/>
      </c>
      <c r="CL36" s="19">
        <f>CL31-CL35</f>
        <v/>
      </c>
      <c r="CM36" s="19">
        <f>CM31-CM35</f>
        <v/>
      </c>
      <c r="CN36" s="19">
        <f>CN31-CN35</f>
        <v/>
      </c>
      <c r="CO36" s="19">
        <f>CO31-CO35</f>
        <v/>
      </c>
      <c r="CP36" s="19">
        <f>CP31-CP35</f>
        <v/>
      </c>
      <c r="CQ36" s="19">
        <f>CQ31-CQ35</f>
        <v/>
      </c>
      <c r="CR36" s="19">
        <f>CR31-CR35</f>
        <v/>
      </c>
      <c r="CS36" s="19">
        <f>CS31-CS35</f>
        <v/>
      </c>
      <c r="CT36" s="19">
        <f>CT31-CT35</f>
        <v/>
      </c>
      <c r="CU36" s="19">
        <f>CU31-CU35</f>
        <v/>
      </c>
      <c r="CV36" s="19">
        <f>CV31-CV35</f>
        <v/>
      </c>
      <c r="CW36" s="19">
        <f>CW31-CW35</f>
        <v/>
      </c>
      <c r="CX36" s="19">
        <f>CX31-CX35</f>
        <v/>
      </c>
      <c r="CY36" s="19">
        <f>CY31-CY35</f>
        <v/>
      </c>
      <c r="CZ36" s="19">
        <f>CZ31-CZ35</f>
        <v/>
      </c>
      <c r="DA36" s="19">
        <f>DA31-DA35</f>
        <v/>
      </c>
      <c r="DB36" s="19">
        <f>DB31-DB35</f>
        <v/>
      </c>
    </row>
    <row r="37">
      <c r="D37" t="inlineStr">
        <is>
          <t>Sculpting divisor s (fixed point)</t>
        </is>
      </c>
      <c r="E37" t="inlineStr">
        <is>
          <t>x</t>
        </is>
      </c>
      <c r="F37" s="27">
        <f>IF($F$24=1,IFERROR(IF($F$37&lt;0.5,MAX(Inputs!$F$9,SUMPRODUCT($J$13:$DB$13*$J$12:$DB$12*Time!$J$30:$DB$30*(1-$J$33:$DB$33))/($F$26-SUMPRODUCT($J$32:$DB$32*$J$12:$DB$12*$J$33:$DB$33))),0.5*$F$37+0.5*MAX(Inputs!$F$9,SUMPRODUCT($J$13:$DB$13*$J$12:$DB$12*Time!$J$30:$DB$30*(1-$J$33:$DB$33))/($F$26-SUMPRODUCT($J$32:$DB$32*$J$12:$DB$12*$J$33:$DB$33)))),Inputs!$F$92),Inputs!$F$92)</f>
        <v/>
      </c>
    </row>
    <row r="38">
      <c r="D38" t="inlineStr">
        <is>
          <t>Ramp-up interest account release (live)</t>
        </is>
      </c>
      <c r="E38" t="inlineStr">
        <is>
          <t>ARD m</t>
        </is>
      </c>
      <c r="G38" s="19">
        <f>SUM(J38:DB38)</f>
        <v/>
      </c>
      <c r="J38" s="19">
        <f>IF(Time!J32=1,MAX(0,J32-J13/Inputs!$F$96),0)</f>
        <v/>
      </c>
      <c r="K38" s="19">
        <f>IF(Time!K32=1,MAX(0,K32-K13/Inputs!$F$96),0)</f>
        <v/>
      </c>
      <c r="L38" s="19">
        <f>IF(Time!L32=1,MAX(0,L32-L13/Inputs!$F$96),0)</f>
        <v/>
      </c>
      <c r="M38" s="19">
        <f>IF(Time!M32=1,MAX(0,M32-M13/Inputs!$F$96),0)</f>
        <v/>
      </c>
      <c r="N38" s="19">
        <f>IF(Time!N32=1,MAX(0,N32-N13/Inputs!$F$96),0)</f>
        <v/>
      </c>
      <c r="O38" s="19">
        <f>IF(Time!O32=1,MAX(0,O32-O13/Inputs!$F$96),0)</f>
        <v/>
      </c>
      <c r="P38" s="19">
        <f>IF(Time!P32=1,MAX(0,P32-P13/Inputs!$F$96),0)</f>
        <v/>
      </c>
      <c r="Q38" s="19">
        <f>IF(Time!Q32=1,MAX(0,Q32-Q13/Inputs!$F$96),0)</f>
        <v/>
      </c>
      <c r="R38" s="19">
        <f>IF(Time!R32=1,MAX(0,R32-R13/Inputs!$F$96),0)</f>
        <v/>
      </c>
      <c r="S38" s="19">
        <f>IF(Time!S32=1,MAX(0,S32-S13/Inputs!$F$96),0)</f>
        <v/>
      </c>
      <c r="T38" s="19">
        <f>IF(Time!T32=1,MAX(0,T32-T13/Inputs!$F$96),0)</f>
        <v/>
      </c>
      <c r="U38" s="19">
        <f>IF(Time!U32=1,MAX(0,U32-U13/Inputs!$F$96),0)</f>
        <v/>
      </c>
      <c r="V38" s="19">
        <f>IF(Time!V32=1,MAX(0,V32-V13/Inputs!$F$96),0)</f>
        <v/>
      </c>
      <c r="W38" s="19">
        <f>IF(Time!W32=1,MAX(0,W32-W13/Inputs!$F$96),0)</f>
        <v/>
      </c>
      <c r="X38" s="19">
        <f>IF(Time!X32=1,MAX(0,X32-X13/Inputs!$F$96),0)</f>
        <v/>
      </c>
      <c r="Y38" s="19">
        <f>IF(Time!Y32=1,MAX(0,Y32-Y13/Inputs!$F$96),0)</f>
        <v/>
      </c>
      <c r="Z38" s="19">
        <f>IF(Time!Z32=1,MAX(0,Z32-Z13/Inputs!$F$96),0)</f>
        <v/>
      </c>
      <c r="AA38" s="19">
        <f>IF(Time!AA32=1,MAX(0,AA32-AA13/Inputs!$F$96),0)</f>
        <v/>
      </c>
      <c r="AB38" s="19">
        <f>IF(Time!AB32=1,MAX(0,AB32-AB13/Inputs!$F$96),0)</f>
        <v/>
      </c>
      <c r="AC38" s="19">
        <f>IF(Time!AC32=1,MAX(0,AC32-AC13/Inputs!$F$96),0)</f>
        <v/>
      </c>
      <c r="AD38" s="19">
        <f>IF(Time!AD32=1,MAX(0,AD32-AD13/Inputs!$F$96),0)</f>
        <v/>
      </c>
      <c r="AE38" s="19">
        <f>IF(Time!AE32=1,MAX(0,AE32-AE13/Inputs!$F$96),0)</f>
        <v/>
      </c>
      <c r="AF38" s="19">
        <f>IF(Time!AF32=1,MAX(0,AF32-AF13/Inputs!$F$96),0)</f>
        <v/>
      </c>
      <c r="AG38" s="19">
        <f>IF(Time!AG32=1,MAX(0,AG32-AG13/Inputs!$F$96),0)</f>
        <v/>
      </c>
      <c r="AH38" s="19">
        <f>IF(Time!AH32=1,MAX(0,AH32-AH13/Inputs!$F$96),0)</f>
        <v/>
      </c>
      <c r="AI38" s="19">
        <f>IF(Time!AI32=1,MAX(0,AI32-AI13/Inputs!$F$96),0)</f>
        <v/>
      </c>
      <c r="AJ38" s="19">
        <f>IF(Time!AJ32=1,MAX(0,AJ32-AJ13/Inputs!$F$96),0)</f>
        <v/>
      </c>
      <c r="AK38" s="19">
        <f>IF(Time!AK32=1,MAX(0,AK32-AK13/Inputs!$F$96),0)</f>
        <v/>
      </c>
      <c r="AL38" s="19">
        <f>IF(Time!AL32=1,MAX(0,AL32-AL13/Inputs!$F$96),0)</f>
        <v/>
      </c>
      <c r="AM38" s="19">
        <f>IF(Time!AM32=1,MAX(0,AM32-AM13/Inputs!$F$96),0)</f>
        <v/>
      </c>
      <c r="AN38" s="19">
        <f>IF(Time!AN32=1,MAX(0,AN32-AN13/Inputs!$F$96),0)</f>
        <v/>
      </c>
      <c r="AO38" s="19">
        <f>IF(Time!AO32=1,MAX(0,AO32-AO13/Inputs!$F$96),0)</f>
        <v/>
      </c>
      <c r="AP38" s="19">
        <f>IF(Time!AP32=1,MAX(0,AP32-AP13/Inputs!$F$96),0)</f>
        <v/>
      </c>
      <c r="AQ38" s="19">
        <f>IF(Time!AQ32=1,MAX(0,AQ32-AQ13/Inputs!$F$96),0)</f>
        <v/>
      </c>
      <c r="AR38" s="19">
        <f>IF(Time!AR32=1,MAX(0,AR32-AR13/Inputs!$F$96),0)</f>
        <v/>
      </c>
      <c r="AS38" s="19">
        <f>IF(Time!AS32=1,MAX(0,AS32-AS13/Inputs!$F$96),0)</f>
        <v/>
      </c>
      <c r="AT38" s="19">
        <f>IF(Time!AT32=1,MAX(0,AT32-AT13/Inputs!$F$96),0)</f>
        <v/>
      </c>
      <c r="AU38" s="19">
        <f>IF(Time!AU32=1,MAX(0,AU32-AU13/Inputs!$F$96),0)</f>
        <v/>
      </c>
      <c r="AV38" s="19">
        <f>IF(Time!AV32=1,MAX(0,AV32-AV13/Inputs!$F$96),0)</f>
        <v/>
      </c>
      <c r="AW38" s="19">
        <f>IF(Time!AW32=1,MAX(0,AW32-AW13/Inputs!$F$96),0)</f>
        <v/>
      </c>
      <c r="AX38" s="19">
        <f>IF(Time!AX32=1,MAX(0,AX32-AX13/Inputs!$F$96),0)</f>
        <v/>
      </c>
      <c r="AY38" s="19">
        <f>IF(Time!AY32=1,MAX(0,AY32-AY13/Inputs!$F$96),0)</f>
        <v/>
      </c>
      <c r="AZ38" s="19">
        <f>IF(Time!AZ32=1,MAX(0,AZ32-AZ13/Inputs!$F$96),0)</f>
        <v/>
      </c>
      <c r="BA38" s="19">
        <f>IF(Time!BA32=1,MAX(0,BA32-BA13/Inputs!$F$96),0)</f>
        <v/>
      </c>
      <c r="BB38" s="19">
        <f>IF(Time!BB32=1,MAX(0,BB32-BB13/Inputs!$F$96),0)</f>
        <v/>
      </c>
      <c r="BC38" s="19">
        <f>IF(Time!BC32=1,MAX(0,BC32-BC13/Inputs!$F$96),0)</f>
        <v/>
      </c>
      <c r="BD38" s="19">
        <f>IF(Time!BD32=1,MAX(0,BD32-BD13/Inputs!$F$96),0)</f>
        <v/>
      </c>
      <c r="BE38" s="19">
        <f>IF(Time!BE32=1,MAX(0,BE32-BE13/Inputs!$F$96),0)</f>
        <v/>
      </c>
      <c r="BF38" s="19">
        <f>IF(Time!BF32=1,MAX(0,BF32-BF13/Inputs!$F$96),0)</f>
        <v/>
      </c>
      <c r="BG38" s="19">
        <f>IF(Time!BG32=1,MAX(0,BG32-BG13/Inputs!$F$96),0)</f>
        <v/>
      </c>
      <c r="BH38" s="19">
        <f>IF(Time!BH32=1,MAX(0,BH32-BH13/Inputs!$F$96),0)</f>
        <v/>
      </c>
      <c r="BI38" s="19">
        <f>IF(Time!BI32=1,MAX(0,BI32-BI13/Inputs!$F$96),0)</f>
        <v/>
      </c>
      <c r="BJ38" s="19">
        <f>IF(Time!BJ32=1,MAX(0,BJ32-BJ13/Inputs!$F$96),0)</f>
        <v/>
      </c>
      <c r="BK38" s="19">
        <f>IF(Time!BK32=1,MAX(0,BK32-BK13/Inputs!$F$96),0)</f>
        <v/>
      </c>
      <c r="BL38" s="19">
        <f>IF(Time!BL32=1,MAX(0,BL32-BL13/Inputs!$F$96),0)</f>
        <v/>
      </c>
      <c r="BM38" s="19">
        <f>IF(Time!BM32=1,MAX(0,BM32-BM13/Inputs!$F$96),0)</f>
        <v/>
      </c>
      <c r="BN38" s="19">
        <f>IF(Time!BN32=1,MAX(0,BN32-BN13/Inputs!$F$96),0)</f>
        <v/>
      </c>
      <c r="BO38" s="19">
        <f>IF(Time!BO32=1,MAX(0,BO32-BO13/Inputs!$F$96),0)</f>
        <v/>
      </c>
      <c r="BP38" s="19">
        <f>IF(Time!BP32=1,MAX(0,BP32-BP13/Inputs!$F$96),0)</f>
        <v/>
      </c>
      <c r="BQ38" s="19">
        <f>IF(Time!BQ32=1,MAX(0,BQ32-BQ13/Inputs!$F$96),0)</f>
        <v/>
      </c>
      <c r="BR38" s="19">
        <f>IF(Time!BR32=1,MAX(0,BR32-BR13/Inputs!$F$96),0)</f>
        <v/>
      </c>
      <c r="BS38" s="19">
        <f>IF(Time!BS32=1,MAX(0,BS32-BS13/Inputs!$F$96),0)</f>
        <v/>
      </c>
      <c r="BT38" s="19">
        <f>IF(Time!BT32=1,MAX(0,BT32-BT13/Inputs!$F$96),0)</f>
        <v/>
      </c>
      <c r="BU38" s="19">
        <f>IF(Time!BU32=1,MAX(0,BU32-BU13/Inputs!$F$96),0)</f>
        <v/>
      </c>
      <c r="BV38" s="19">
        <f>IF(Time!BV32=1,MAX(0,BV32-BV13/Inputs!$F$96),0)</f>
        <v/>
      </c>
      <c r="BW38" s="19">
        <f>IF(Time!BW32=1,MAX(0,BW32-BW13/Inputs!$F$96),0)</f>
        <v/>
      </c>
      <c r="BX38" s="19">
        <f>IF(Time!BX32=1,MAX(0,BX32-BX13/Inputs!$F$96),0)</f>
        <v/>
      </c>
      <c r="BY38" s="19">
        <f>IF(Time!BY32=1,MAX(0,BY32-BY13/Inputs!$F$96),0)</f>
        <v/>
      </c>
      <c r="BZ38" s="19">
        <f>IF(Time!BZ32=1,MAX(0,BZ32-BZ13/Inputs!$F$96),0)</f>
        <v/>
      </c>
      <c r="CA38" s="19">
        <f>IF(Time!CA32=1,MAX(0,CA32-CA13/Inputs!$F$96),0)</f>
        <v/>
      </c>
      <c r="CB38" s="19">
        <f>IF(Time!CB32=1,MAX(0,CB32-CB13/Inputs!$F$96),0)</f>
        <v/>
      </c>
      <c r="CC38" s="19">
        <f>IF(Time!CC32=1,MAX(0,CC32-CC13/Inputs!$F$96),0)</f>
        <v/>
      </c>
      <c r="CD38" s="19">
        <f>IF(Time!CD32=1,MAX(0,CD32-CD13/Inputs!$F$96),0)</f>
        <v/>
      </c>
      <c r="CE38" s="19">
        <f>IF(Time!CE32=1,MAX(0,CE32-CE13/Inputs!$F$96),0)</f>
        <v/>
      </c>
      <c r="CF38" s="19">
        <f>IF(Time!CF32=1,MAX(0,CF32-CF13/Inputs!$F$96),0)</f>
        <v/>
      </c>
      <c r="CG38" s="19">
        <f>IF(Time!CG32=1,MAX(0,CG32-CG13/Inputs!$F$96),0)</f>
        <v/>
      </c>
      <c r="CH38" s="19">
        <f>IF(Time!CH32=1,MAX(0,CH32-CH13/Inputs!$F$96),0)</f>
        <v/>
      </c>
      <c r="CI38" s="19">
        <f>IF(Time!CI32=1,MAX(0,CI32-CI13/Inputs!$F$96),0)</f>
        <v/>
      </c>
      <c r="CJ38" s="19">
        <f>IF(Time!CJ32=1,MAX(0,CJ32-CJ13/Inputs!$F$96),0)</f>
        <v/>
      </c>
      <c r="CK38" s="19">
        <f>IF(Time!CK32=1,MAX(0,CK32-CK13/Inputs!$F$96),0)</f>
        <v/>
      </c>
      <c r="CL38" s="19">
        <f>IF(Time!CL32=1,MAX(0,CL32-CL13/Inputs!$F$96),0)</f>
        <v/>
      </c>
      <c r="CM38" s="19">
        <f>IF(Time!CM32=1,MAX(0,CM32-CM13/Inputs!$F$96),0)</f>
        <v/>
      </c>
      <c r="CN38" s="19">
        <f>IF(Time!CN32=1,MAX(0,CN32-CN13/Inputs!$F$96),0)</f>
        <v/>
      </c>
      <c r="CO38" s="19">
        <f>IF(Time!CO32=1,MAX(0,CO32-CO13/Inputs!$F$96),0)</f>
        <v/>
      </c>
      <c r="CP38" s="19">
        <f>IF(Time!CP32=1,MAX(0,CP32-CP13/Inputs!$F$96),0)</f>
        <v/>
      </c>
      <c r="CQ38" s="19">
        <f>IF(Time!CQ32=1,MAX(0,CQ32-CQ13/Inputs!$F$96),0)</f>
        <v/>
      </c>
      <c r="CR38" s="19">
        <f>IF(Time!CR32=1,MAX(0,CR32-CR13/Inputs!$F$96),0)</f>
        <v/>
      </c>
      <c r="CS38" s="19">
        <f>IF(Time!CS32=1,MAX(0,CS32-CS13/Inputs!$F$96),0)</f>
        <v/>
      </c>
      <c r="CT38" s="19">
        <f>IF(Time!CT32=1,MAX(0,CT32-CT13/Inputs!$F$96),0)</f>
        <v/>
      </c>
      <c r="CU38" s="19">
        <f>IF(Time!CU32=1,MAX(0,CU32-CU13/Inputs!$F$96),0)</f>
        <v/>
      </c>
      <c r="CV38" s="19">
        <f>IF(Time!CV32=1,MAX(0,CV32-CV13/Inputs!$F$96),0)</f>
        <v/>
      </c>
      <c r="CW38" s="19">
        <f>IF(Time!CW32=1,MAX(0,CW32-CW13/Inputs!$F$96),0)</f>
        <v/>
      </c>
      <c r="CX38" s="19">
        <f>IF(Time!CX32=1,MAX(0,CX32-CX13/Inputs!$F$96),0)</f>
        <v/>
      </c>
      <c r="CY38" s="19">
        <f>IF(Time!CY32=1,MAX(0,CY32-CY13/Inputs!$F$96),0)</f>
        <v/>
      </c>
      <c r="CZ38" s="19">
        <f>IF(Time!CZ32=1,MAX(0,CZ32-CZ13/Inputs!$F$96),0)</f>
        <v/>
      </c>
      <c r="DA38" s="19">
        <f>IF(Time!DA32=1,MAX(0,DA32-DA13/Inputs!$F$96),0)</f>
        <v/>
      </c>
      <c r="DB38" s="19">
        <f>IF(Time!DB32=1,MAX(0,DB32-DB13/Inputs!$F$96),0)</f>
        <v/>
      </c>
    </row>
    <row r="39">
      <c r="D39" t="inlineStr">
        <is>
          <t>Ramp-up interest account release (applied)</t>
        </is>
      </c>
      <c r="E39" t="inlineStr">
        <is>
          <t>ARD m</t>
        </is>
      </c>
      <c r="G39" s="19">
        <f>SUM(J39:DB39)</f>
        <v/>
      </c>
      <c r="J39" s="19">
        <f>IF($F$24=1,J38,Inputs!J276)</f>
        <v/>
      </c>
      <c r="K39" s="19">
        <f>IF($F$24=1,K38,Inputs!K276)</f>
        <v/>
      </c>
      <c r="L39" s="19">
        <f>IF($F$24=1,L38,Inputs!L276)</f>
        <v/>
      </c>
      <c r="M39" s="19">
        <f>IF($F$24=1,M38,Inputs!M276)</f>
        <v/>
      </c>
      <c r="N39" s="19">
        <f>IF($F$24=1,N38,Inputs!N276)</f>
        <v/>
      </c>
      <c r="O39" s="19">
        <f>IF($F$24=1,O38,Inputs!O276)</f>
        <v/>
      </c>
      <c r="P39" s="19">
        <f>IF($F$24=1,P38,Inputs!P276)</f>
        <v/>
      </c>
      <c r="Q39" s="19">
        <f>IF($F$24=1,Q38,Inputs!Q276)</f>
        <v/>
      </c>
      <c r="R39" s="19">
        <f>IF($F$24=1,R38,Inputs!R276)</f>
        <v/>
      </c>
      <c r="S39" s="19">
        <f>IF($F$24=1,S38,Inputs!S276)</f>
        <v/>
      </c>
      <c r="T39" s="19">
        <f>IF($F$24=1,T38,Inputs!T276)</f>
        <v/>
      </c>
      <c r="U39" s="19">
        <f>IF($F$24=1,U38,Inputs!U276)</f>
        <v/>
      </c>
      <c r="V39" s="19">
        <f>IF($F$24=1,V38,Inputs!V276)</f>
        <v/>
      </c>
      <c r="W39" s="19">
        <f>IF($F$24=1,W38,Inputs!W276)</f>
        <v/>
      </c>
      <c r="X39" s="19">
        <f>IF($F$24=1,X38,Inputs!X276)</f>
        <v/>
      </c>
      <c r="Y39" s="19">
        <f>IF($F$24=1,Y38,Inputs!Y276)</f>
        <v/>
      </c>
      <c r="Z39" s="19">
        <f>IF($F$24=1,Z38,Inputs!Z276)</f>
        <v/>
      </c>
      <c r="AA39" s="19">
        <f>IF($F$24=1,AA38,Inputs!AA276)</f>
        <v/>
      </c>
      <c r="AB39" s="19">
        <f>IF($F$24=1,AB38,Inputs!AB276)</f>
        <v/>
      </c>
      <c r="AC39" s="19">
        <f>IF($F$24=1,AC38,Inputs!AC276)</f>
        <v/>
      </c>
      <c r="AD39" s="19">
        <f>IF($F$24=1,AD38,Inputs!AD276)</f>
        <v/>
      </c>
      <c r="AE39" s="19">
        <f>IF($F$24=1,AE38,Inputs!AE276)</f>
        <v/>
      </c>
      <c r="AF39" s="19">
        <f>IF($F$24=1,AF38,Inputs!AF276)</f>
        <v/>
      </c>
      <c r="AG39" s="19">
        <f>IF($F$24=1,AG38,Inputs!AG276)</f>
        <v/>
      </c>
      <c r="AH39" s="19">
        <f>IF($F$24=1,AH38,Inputs!AH276)</f>
        <v/>
      </c>
      <c r="AI39" s="19">
        <f>IF($F$24=1,AI38,Inputs!AI276)</f>
        <v/>
      </c>
      <c r="AJ39" s="19">
        <f>IF($F$24=1,AJ38,Inputs!AJ276)</f>
        <v/>
      </c>
      <c r="AK39" s="19">
        <f>IF($F$24=1,AK38,Inputs!AK276)</f>
        <v/>
      </c>
      <c r="AL39" s="19">
        <f>IF($F$24=1,AL38,Inputs!AL276)</f>
        <v/>
      </c>
      <c r="AM39" s="19">
        <f>IF($F$24=1,AM38,Inputs!AM276)</f>
        <v/>
      </c>
      <c r="AN39" s="19">
        <f>IF($F$24=1,AN38,Inputs!AN276)</f>
        <v/>
      </c>
      <c r="AO39" s="19">
        <f>IF($F$24=1,AO38,Inputs!AO276)</f>
        <v/>
      </c>
      <c r="AP39" s="19">
        <f>IF($F$24=1,AP38,Inputs!AP276)</f>
        <v/>
      </c>
      <c r="AQ39" s="19">
        <f>IF($F$24=1,AQ38,Inputs!AQ276)</f>
        <v/>
      </c>
      <c r="AR39" s="19">
        <f>IF($F$24=1,AR38,Inputs!AR276)</f>
        <v/>
      </c>
      <c r="AS39" s="19">
        <f>IF($F$24=1,AS38,Inputs!AS276)</f>
        <v/>
      </c>
      <c r="AT39" s="19">
        <f>IF($F$24=1,AT38,Inputs!AT276)</f>
        <v/>
      </c>
      <c r="AU39" s="19">
        <f>IF($F$24=1,AU38,Inputs!AU276)</f>
        <v/>
      </c>
      <c r="AV39" s="19">
        <f>IF($F$24=1,AV38,Inputs!AV276)</f>
        <v/>
      </c>
      <c r="AW39" s="19">
        <f>IF($F$24=1,AW38,Inputs!AW276)</f>
        <v/>
      </c>
      <c r="AX39" s="19">
        <f>IF($F$24=1,AX38,Inputs!AX276)</f>
        <v/>
      </c>
      <c r="AY39" s="19">
        <f>IF($F$24=1,AY38,Inputs!AY276)</f>
        <v/>
      </c>
      <c r="AZ39" s="19">
        <f>IF($F$24=1,AZ38,Inputs!AZ276)</f>
        <v/>
      </c>
      <c r="BA39" s="19">
        <f>IF($F$24=1,BA38,Inputs!BA276)</f>
        <v/>
      </c>
      <c r="BB39" s="19">
        <f>IF($F$24=1,BB38,Inputs!BB276)</f>
        <v/>
      </c>
      <c r="BC39" s="19">
        <f>IF($F$24=1,BC38,Inputs!BC276)</f>
        <v/>
      </c>
      <c r="BD39" s="19">
        <f>IF($F$24=1,BD38,Inputs!BD276)</f>
        <v/>
      </c>
      <c r="BE39" s="19">
        <f>IF($F$24=1,BE38,Inputs!BE276)</f>
        <v/>
      </c>
      <c r="BF39" s="19">
        <f>IF($F$24=1,BF38,Inputs!BF276)</f>
        <v/>
      </c>
      <c r="BG39" s="19">
        <f>IF($F$24=1,BG38,Inputs!BG276)</f>
        <v/>
      </c>
      <c r="BH39" s="19">
        <f>IF($F$24=1,BH38,Inputs!BH276)</f>
        <v/>
      </c>
      <c r="BI39" s="19">
        <f>IF($F$24=1,BI38,Inputs!BI276)</f>
        <v/>
      </c>
      <c r="BJ39" s="19">
        <f>IF($F$24=1,BJ38,Inputs!BJ276)</f>
        <v/>
      </c>
      <c r="BK39" s="19">
        <f>IF($F$24=1,BK38,Inputs!BK276)</f>
        <v/>
      </c>
      <c r="BL39" s="19">
        <f>IF($F$24=1,BL38,Inputs!BL276)</f>
        <v/>
      </c>
      <c r="BM39" s="19">
        <f>IF($F$24=1,BM38,Inputs!BM276)</f>
        <v/>
      </c>
      <c r="BN39" s="19">
        <f>IF($F$24=1,BN38,Inputs!BN276)</f>
        <v/>
      </c>
      <c r="BO39" s="19">
        <f>IF($F$24=1,BO38,Inputs!BO276)</f>
        <v/>
      </c>
      <c r="BP39" s="19">
        <f>IF($F$24=1,BP38,Inputs!BP276)</f>
        <v/>
      </c>
      <c r="BQ39" s="19">
        <f>IF($F$24=1,BQ38,Inputs!BQ276)</f>
        <v/>
      </c>
      <c r="BR39" s="19">
        <f>IF($F$24=1,BR38,Inputs!BR276)</f>
        <v/>
      </c>
      <c r="BS39" s="19">
        <f>IF($F$24=1,BS38,Inputs!BS276)</f>
        <v/>
      </c>
      <c r="BT39" s="19">
        <f>IF($F$24=1,BT38,Inputs!BT276)</f>
        <v/>
      </c>
      <c r="BU39" s="19">
        <f>IF($F$24=1,BU38,Inputs!BU276)</f>
        <v/>
      </c>
      <c r="BV39" s="19">
        <f>IF($F$24=1,BV38,Inputs!BV276)</f>
        <v/>
      </c>
      <c r="BW39" s="19">
        <f>IF($F$24=1,BW38,Inputs!BW276)</f>
        <v/>
      </c>
      <c r="BX39" s="19">
        <f>IF($F$24=1,BX38,Inputs!BX276)</f>
        <v/>
      </c>
      <c r="BY39" s="19">
        <f>IF($F$24=1,BY38,Inputs!BY276)</f>
        <v/>
      </c>
      <c r="BZ39" s="19">
        <f>IF($F$24=1,BZ38,Inputs!BZ276)</f>
        <v/>
      </c>
      <c r="CA39" s="19">
        <f>IF($F$24=1,CA38,Inputs!CA276)</f>
        <v/>
      </c>
      <c r="CB39" s="19">
        <f>IF($F$24=1,CB38,Inputs!CB276)</f>
        <v/>
      </c>
      <c r="CC39" s="19">
        <f>IF($F$24=1,CC38,Inputs!CC276)</f>
        <v/>
      </c>
      <c r="CD39" s="19">
        <f>IF($F$24=1,CD38,Inputs!CD276)</f>
        <v/>
      </c>
      <c r="CE39" s="19">
        <f>IF($F$24=1,CE38,Inputs!CE276)</f>
        <v/>
      </c>
      <c r="CF39" s="19">
        <f>IF($F$24=1,CF38,Inputs!CF276)</f>
        <v/>
      </c>
      <c r="CG39" s="19">
        <f>IF($F$24=1,CG38,Inputs!CG276)</f>
        <v/>
      </c>
      <c r="CH39" s="19">
        <f>IF($F$24=1,CH38,Inputs!CH276)</f>
        <v/>
      </c>
      <c r="CI39" s="19">
        <f>IF($F$24=1,CI38,Inputs!CI276)</f>
        <v/>
      </c>
      <c r="CJ39" s="19">
        <f>IF($F$24=1,CJ38,Inputs!CJ276)</f>
        <v/>
      </c>
      <c r="CK39" s="19">
        <f>IF($F$24=1,CK38,Inputs!CK276)</f>
        <v/>
      </c>
      <c r="CL39" s="19">
        <f>IF($F$24=1,CL38,Inputs!CL276)</f>
        <v/>
      </c>
      <c r="CM39" s="19">
        <f>IF($F$24=1,CM38,Inputs!CM276)</f>
        <v/>
      </c>
      <c r="CN39" s="19">
        <f>IF($F$24=1,CN38,Inputs!CN276)</f>
        <v/>
      </c>
      <c r="CO39" s="19">
        <f>IF($F$24=1,CO38,Inputs!CO276)</f>
        <v/>
      </c>
      <c r="CP39" s="19">
        <f>IF($F$24=1,CP38,Inputs!CP276)</f>
        <v/>
      </c>
      <c r="CQ39" s="19">
        <f>IF($F$24=1,CQ38,Inputs!CQ276)</f>
        <v/>
      </c>
      <c r="CR39" s="19">
        <f>IF($F$24=1,CR38,Inputs!CR276)</f>
        <v/>
      </c>
      <c r="CS39" s="19">
        <f>IF($F$24=1,CS38,Inputs!CS276)</f>
        <v/>
      </c>
      <c r="CT39" s="19">
        <f>IF($F$24=1,CT38,Inputs!CT276)</f>
        <v/>
      </c>
      <c r="CU39" s="19">
        <f>IF($F$24=1,CU38,Inputs!CU276)</f>
        <v/>
      </c>
      <c r="CV39" s="19">
        <f>IF($F$24=1,CV38,Inputs!CV276)</f>
        <v/>
      </c>
      <c r="CW39" s="19">
        <f>IF($F$24=1,CW38,Inputs!CW276)</f>
        <v/>
      </c>
      <c r="CX39" s="19">
        <f>IF($F$24=1,CX38,Inputs!CX276)</f>
        <v/>
      </c>
      <c r="CY39" s="19">
        <f>IF($F$24=1,CY38,Inputs!CY276)</f>
        <v/>
      </c>
      <c r="CZ39" s="19">
        <f>IF($F$24=1,CZ38,Inputs!CZ276)</f>
        <v/>
      </c>
      <c r="DA39" s="19">
        <f>IF($F$24=1,DA38,Inputs!DA276)</f>
        <v/>
      </c>
      <c r="DB39" s="19">
        <f>IF($F$24=1,DB38,Inputs!DB276)</f>
        <v/>
      </c>
    </row>
    <row r="40">
      <c r="D40" t="inlineStr">
        <is>
          <t>Scheduled senior principal (applied)</t>
        </is>
      </c>
      <c r="E40" t="inlineStr">
        <is>
          <t>ARD m</t>
        </is>
      </c>
      <c r="G40" s="19">
        <f>SUM(J40:DB40)</f>
        <v/>
      </c>
      <c r="J40" s="19">
        <f>IF($F$24=1,J35,Inputs!J275)</f>
        <v/>
      </c>
      <c r="K40" s="19">
        <f>IF($F$24=1,K35,Inputs!K275)</f>
        <v/>
      </c>
      <c r="L40" s="19">
        <f>IF($F$24=1,L35,Inputs!L275)</f>
        <v/>
      </c>
      <c r="M40" s="19">
        <f>IF($F$24=1,M35,Inputs!M275)</f>
        <v/>
      </c>
      <c r="N40" s="19">
        <f>IF($F$24=1,N35,Inputs!N275)</f>
        <v/>
      </c>
      <c r="O40" s="19">
        <f>IF($F$24=1,O35,Inputs!O275)</f>
        <v/>
      </c>
      <c r="P40" s="19">
        <f>IF($F$24=1,P35,Inputs!P275)</f>
        <v/>
      </c>
      <c r="Q40" s="19">
        <f>IF($F$24=1,Q35,Inputs!Q275)</f>
        <v/>
      </c>
      <c r="R40" s="19">
        <f>IF($F$24=1,R35,Inputs!R275)</f>
        <v/>
      </c>
      <c r="S40" s="19">
        <f>IF($F$24=1,S35,Inputs!S275)</f>
        <v/>
      </c>
      <c r="T40" s="19">
        <f>IF($F$24=1,T35,Inputs!T275)</f>
        <v/>
      </c>
      <c r="U40" s="19">
        <f>IF($F$24=1,U35,Inputs!U275)</f>
        <v/>
      </c>
      <c r="V40" s="19">
        <f>IF($F$24=1,V35,Inputs!V275)</f>
        <v/>
      </c>
      <c r="W40" s="19">
        <f>IF($F$24=1,W35,Inputs!W275)</f>
        <v/>
      </c>
      <c r="X40" s="19">
        <f>IF($F$24=1,X35,Inputs!X275)</f>
        <v/>
      </c>
      <c r="Y40" s="19">
        <f>IF($F$24=1,Y35,Inputs!Y275)</f>
        <v/>
      </c>
      <c r="Z40" s="19">
        <f>IF($F$24=1,Z35,Inputs!Z275)</f>
        <v/>
      </c>
      <c r="AA40" s="19">
        <f>IF($F$24=1,AA35,Inputs!AA275)</f>
        <v/>
      </c>
      <c r="AB40" s="19">
        <f>IF($F$24=1,AB35,Inputs!AB275)</f>
        <v/>
      </c>
      <c r="AC40" s="19">
        <f>IF($F$24=1,AC35,Inputs!AC275)</f>
        <v/>
      </c>
      <c r="AD40" s="19">
        <f>IF($F$24=1,AD35,Inputs!AD275)</f>
        <v/>
      </c>
      <c r="AE40" s="19">
        <f>IF($F$24=1,AE35,Inputs!AE275)</f>
        <v/>
      </c>
      <c r="AF40" s="19">
        <f>IF($F$24=1,AF35,Inputs!AF275)</f>
        <v/>
      </c>
      <c r="AG40" s="19">
        <f>IF($F$24=1,AG35,Inputs!AG275)</f>
        <v/>
      </c>
      <c r="AH40" s="19">
        <f>IF($F$24=1,AH35,Inputs!AH275)</f>
        <v/>
      </c>
      <c r="AI40" s="19">
        <f>IF($F$24=1,AI35,Inputs!AI275)</f>
        <v/>
      </c>
      <c r="AJ40" s="19">
        <f>IF($F$24=1,AJ35,Inputs!AJ275)</f>
        <v/>
      </c>
      <c r="AK40" s="19">
        <f>IF($F$24=1,AK35,Inputs!AK275)</f>
        <v/>
      </c>
      <c r="AL40" s="19">
        <f>IF($F$24=1,AL35,Inputs!AL275)</f>
        <v/>
      </c>
      <c r="AM40" s="19">
        <f>IF($F$24=1,AM35,Inputs!AM275)</f>
        <v/>
      </c>
      <c r="AN40" s="19">
        <f>IF($F$24=1,AN35,Inputs!AN275)</f>
        <v/>
      </c>
      <c r="AO40" s="19">
        <f>IF($F$24=1,AO35,Inputs!AO275)</f>
        <v/>
      </c>
      <c r="AP40" s="19">
        <f>IF($F$24=1,AP35,Inputs!AP275)</f>
        <v/>
      </c>
      <c r="AQ40" s="19">
        <f>IF($F$24=1,AQ35,Inputs!AQ275)</f>
        <v/>
      </c>
      <c r="AR40" s="19">
        <f>IF($F$24=1,AR35,Inputs!AR275)</f>
        <v/>
      </c>
      <c r="AS40" s="19">
        <f>IF($F$24=1,AS35,Inputs!AS275)</f>
        <v/>
      </c>
      <c r="AT40" s="19">
        <f>IF($F$24=1,AT35,Inputs!AT275)</f>
        <v/>
      </c>
      <c r="AU40" s="19">
        <f>IF($F$24=1,AU35,Inputs!AU275)</f>
        <v/>
      </c>
      <c r="AV40" s="19">
        <f>IF($F$24=1,AV35,Inputs!AV275)</f>
        <v/>
      </c>
      <c r="AW40" s="19">
        <f>IF($F$24=1,AW35,Inputs!AW275)</f>
        <v/>
      </c>
      <c r="AX40" s="19">
        <f>IF($F$24=1,AX35,Inputs!AX275)</f>
        <v/>
      </c>
      <c r="AY40" s="19">
        <f>IF($F$24=1,AY35,Inputs!AY275)</f>
        <v/>
      </c>
      <c r="AZ40" s="19">
        <f>IF($F$24=1,AZ35,Inputs!AZ275)</f>
        <v/>
      </c>
      <c r="BA40" s="19">
        <f>IF($F$24=1,BA35,Inputs!BA275)</f>
        <v/>
      </c>
      <c r="BB40" s="19">
        <f>IF($F$24=1,BB35,Inputs!BB275)</f>
        <v/>
      </c>
      <c r="BC40" s="19">
        <f>IF($F$24=1,BC35,Inputs!BC275)</f>
        <v/>
      </c>
      <c r="BD40" s="19">
        <f>IF($F$24=1,BD35,Inputs!BD275)</f>
        <v/>
      </c>
      <c r="BE40" s="19">
        <f>IF($F$24=1,BE35,Inputs!BE275)</f>
        <v/>
      </c>
      <c r="BF40" s="19">
        <f>IF($F$24=1,BF35,Inputs!BF275)</f>
        <v/>
      </c>
      <c r="BG40" s="19">
        <f>IF($F$24=1,BG35,Inputs!BG275)</f>
        <v/>
      </c>
      <c r="BH40" s="19">
        <f>IF($F$24=1,BH35,Inputs!BH275)</f>
        <v/>
      </c>
      <c r="BI40" s="19">
        <f>IF($F$24=1,BI35,Inputs!BI275)</f>
        <v/>
      </c>
      <c r="BJ40" s="19">
        <f>IF($F$24=1,BJ35,Inputs!BJ275)</f>
        <v/>
      </c>
      <c r="BK40" s="19">
        <f>IF($F$24=1,BK35,Inputs!BK275)</f>
        <v/>
      </c>
      <c r="BL40" s="19">
        <f>IF($F$24=1,BL35,Inputs!BL275)</f>
        <v/>
      </c>
      <c r="BM40" s="19">
        <f>IF($F$24=1,BM35,Inputs!BM275)</f>
        <v/>
      </c>
      <c r="BN40" s="19">
        <f>IF($F$24=1,BN35,Inputs!BN275)</f>
        <v/>
      </c>
      <c r="BO40" s="19">
        <f>IF($F$24=1,BO35,Inputs!BO275)</f>
        <v/>
      </c>
      <c r="BP40" s="19">
        <f>IF($F$24=1,BP35,Inputs!BP275)</f>
        <v/>
      </c>
      <c r="BQ40" s="19">
        <f>IF($F$24=1,BQ35,Inputs!BQ275)</f>
        <v/>
      </c>
      <c r="BR40" s="19">
        <f>IF($F$24=1,BR35,Inputs!BR275)</f>
        <v/>
      </c>
      <c r="BS40" s="19">
        <f>IF($F$24=1,BS35,Inputs!BS275)</f>
        <v/>
      </c>
      <c r="BT40" s="19">
        <f>IF($F$24=1,BT35,Inputs!BT275)</f>
        <v/>
      </c>
      <c r="BU40" s="19">
        <f>IF($F$24=1,BU35,Inputs!BU275)</f>
        <v/>
      </c>
      <c r="BV40" s="19">
        <f>IF($F$24=1,BV35,Inputs!BV275)</f>
        <v/>
      </c>
      <c r="BW40" s="19">
        <f>IF($F$24=1,BW35,Inputs!BW275)</f>
        <v/>
      </c>
      <c r="BX40" s="19">
        <f>IF($F$24=1,BX35,Inputs!BX275)</f>
        <v/>
      </c>
      <c r="BY40" s="19">
        <f>IF($F$24=1,BY35,Inputs!BY275)</f>
        <v/>
      </c>
      <c r="BZ40" s="19">
        <f>IF($F$24=1,BZ35,Inputs!BZ275)</f>
        <v/>
      </c>
      <c r="CA40" s="19">
        <f>IF($F$24=1,CA35,Inputs!CA275)</f>
        <v/>
      </c>
      <c r="CB40" s="19">
        <f>IF($F$24=1,CB35,Inputs!CB275)</f>
        <v/>
      </c>
      <c r="CC40" s="19">
        <f>IF($F$24=1,CC35,Inputs!CC275)</f>
        <v/>
      </c>
      <c r="CD40" s="19">
        <f>IF($F$24=1,CD35,Inputs!CD275)</f>
        <v/>
      </c>
      <c r="CE40" s="19">
        <f>IF($F$24=1,CE35,Inputs!CE275)</f>
        <v/>
      </c>
      <c r="CF40" s="19">
        <f>IF($F$24=1,CF35,Inputs!CF275)</f>
        <v/>
      </c>
      <c r="CG40" s="19">
        <f>IF($F$24=1,CG35,Inputs!CG275)</f>
        <v/>
      </c>
      <c r="CH40" s="19">
        <f>IF($F$24=1,CH35,Inputs!CH275)</f>
        <v/>
      </c>
      <c r="CI40" s="19">
        <f>IF($F$24=1,CI35,Inputs!CI275)</f>
        <v/>
      </c>
      <c r="CJ40" s="19">
        <f>IF($F$24=1,CJ35,Inputs!CJ275)</f>
        <v/>
      </c>
      <c r="CK40" s="19">
        <f>IF($F$24=1,CK35,Inputs!CK275)</f>
        <v/>
      </c>
      <c r="CL40" s="19">
        <f>IF($F$24=1,CL35,Inputs!CL275)</f>
        <v/>
      </c>
      <c r="CM40" s="19">
        <f>IF($F$24=1,CM35,Inputs!CM275)</f>
        <v/>
      </c>
      <c r="CN40" s="19">
        <f>IF($F$24=1,CN35,Inputs!CN275)</f>
        <v/>
      </c>
      <c r="CO40" s="19">
        <f>IF($F$24=1,CO35,Inputs!CO275)</f>
        <v/>
      </c>
      <c r="CP40" s="19">
        <f>IF($F$24=1,CP35,Inputs!CP275)</f>
        <v/>
      </c>
      <c r="CQ40" s="19">
        <f>IF($F$24=1,CQ35,Inputs!CQ275)</f>
        <v/>
      </c>
      <c r="CR40" s="19">
        <f>IF($F$24=1,CR35,Inputs!CR275)</f>
        <v/>
      </c>
      <c r="CS40" s="19">
        <f>IF($F$24=1,CS35,Inputs!CS275)</f>
        <v/>
      </c>
      <c r="CT40" s="19">
        <f>IF($F$24=1,CT35,Inputs!CT275)</f>
        <v/>
      </c>
      <c r="CU40" s="19">
        <f>IF($F$24=1,CU35,Inputs!CU275)</f>
        <v/>
      </c>
      <c r="CV40" s="19">
        <f>IF($F$24=1,CV35,Inputs!CV275)</f>
        <v/>
      </c>
      <c r="CW40" s="19">
        <f>IF($F$24=1,CW35,Inputs!CW275)</f>
        <v/>
      </c>
      <c r="CX40" s="19">
        <f>IF($F$24=1,CX35,Inputs!CX275)</f>
        <v/>
      </c>
      <c r="CY40" s="19">
        <f>IF($F$24=1,CY35,Inputs!CY275)</f>
        <v/>
      </c>
      <c r="CZ40" s="19">
        <f>IF($F$24=1,CZ35,Inputs!CZ275)</f>
        <v/>
      </c>
      <c r="DA40" s="19">
        <f>IF($F$24=1,DA35,Inputs!DA275)</f>
        <v/>
      </c>
      <c r="DB40" s="19">
        <f>IF($F$24=1,DB35,Inputs!DB275)</f>
        <v/>
      </c>
    </row>
    <row r="41">
      <c r="D41" s="3" t="inlineStr">
        <is>
          <t>Bank mini-perm</t>
        </is>
      </c>
    </row>
    <row r="42">
      <c r="D42" t="inlineStr">
        <is>
          <t>Opening balance</t>
        </is>
      </c>
      <c r="E42" t="inlineStr">
        <is>
          <t>ARD m</t>
        </is>
      </c>
      <c r="J42" s="19">
        <f>I47</f>
        <v/>
      </c>
      <c r="K42" s="19">
        <f>J47</f>
        <v/>
      </c>
      <c r="L42" s="19">
        <f>K47</f>
        <v/>
      </c>
      <c r="M42" s="19">
        <f>L47</f>
        <v/>
      </c>
      <c r="N42" s="19">
        <f>M47</f>
        <v/>
      </c>
      <c r="O42" s="19">
        <f>N47</f>
        <v/>
      </c>
      <c r="P42" s="19">
        <f>O47</f>
        <v/>
      </c>
      <c r="Q42" s="19">
        <f>P47</f>
        <v/>
      </c>
      <c r="R42" s="19">
        <f>Q47</f>
        <v/>
      </c>
      <c r="S42" s="19">
        <f>R47</f>
        <v/>
      </c>
      <c r="T42" s="19">
        <f>S47</f>
        <v/>
      </c>
      <c r="U42" s="19">
        <f>T47</f>
        <v/>
      </c>
      <c r="V42" s="19">
        <f>U47</f>
        <v/>
      </c>
      <c r="W42" s="19">
        <f>V47</f>
        <v/>
      </c>
      <c r="X42" s="19">
        <f>W47</f>
        <v/>
      </c>
      <c r="Y42" s="19">
        <f>X47</f>
        <v/>
      </c>
      <c r="Z42" s="19">
        <f>Y47</f>
        <v/>
      </c>
      <c r="AA42" s="19">
        <f>Z47</f>
        <v/>
      </c>
      <c r="AB42" s="19">
        <f>AA47</f>
        <v/>
      </c>
      <c r="AC42" s="19">
        <f>AB47</f>
        <v/>
      </c>
      <c r="AD42" s="19">
        <f>AC47</f>
        <v/>
      </c>
      <c r="AE42" s="19">
        <f>AD47</f>
        <v/>
      </c>
      <c r="AF42" s="19">
        <f>AE47</f>
        <v/>
      </c>
      <c r="AG42" s="19">
        <f>AF47</f>
        <v/>
      </c>
      <c r="AH42" s="19">
        <f>AG47</f>
        <v/>
      </c>
      <c r="AI42" s="19">
        <f>AH47</f>
        <v/>
      </c>
      <c r="AJ42" s="19">
        <f>AI47</f>
        <v/>
      </c>
      <c r="AK42" s="19">
        <f>AJ47</f>
        <v/>
      </c>
      <c r="AL42" s="19">
        <f>AK47</f>
        <v/>
      </c>
      <c r="AM42" s="19">
        <f>AL47</f>
        <v/>
      </c>
      <c r="AN42" s="19">
        <f>AM47</f>
        <v/>
      </c>
      <c r="AO42" s="19">
        <f>AN47</f>
        <v/>
      </c>
      <c r="AP42" s="19">
        <f>AO47</f>
        <v/>
      </c>
      <c r="AQ42" s="19">
        <f>AP47</f>
        <v/>
      </c>
      <c r="AR42" s="19">
        <f>AQ47</f>
        <v/>
      </c>
      <c r="AS42" s="19">
        <f>AR47</f>
        <v/>
      </c>
      <c r="AT42" s="19">
        <f>AS47</f>
        <v/>
      </c>
      <c r="AU42" s="19">
        <f>AT47</f>
        <v/>
      </c>
      <c r="AV42" s="19">
        <f>AU47</f>
        <v/>
      </c>
      <c r="AW42" s="19">
        <f>AV47</f>
        <v/>
      </c>
      <c r="AX42" s="19">
        <f>AW47</f>
        <v/>
      </c>
      <c r="AY42" s="19">
        <f>AX47</f>
        <v/>
      </c>
      <c r="AZ42" s="19">
        <f>AY47</f>
        <v/>
      </c>
      <c r="BA42" s="19">
        <f>AZ47</f>
        <v/>
      </c>
      <c r="BB42" s="19">
        <f>BA47</f>
        <v/>
      </c>
      <c r="BC42" s="19">
        <f>BB47</f>
        <v/>
      </c>
      <c r="BD42" s="19">
        <f>BC47</f>
        <v/>
      </c>
      <c r="BE42" s="19">
        <f>BD47</f>
        <v/>
      </c>
      <c r="BF42" s="19">
        <f>BE47</f>
        <v/>
      </c>
      <c r="BG42" s="19">
        <f>BF47</f>
        <v/>
      </c>
      <c r="BH42" s="19">
        <f>BG47</f>
        <v/>
      </c>
      <c r="BI42" s="19">
        <f>BH47</f>
        <v/>
      </c>
      <c r="BJ42" s="19">
        <f>BI47</f>
        <v/>
      </c>
      <c r="BK42" s="19">
        <f>BJ47</f>
        <v/>
      </c>
      <c r="BL42" s="19">
        <f>BK47</f>
        <v/>
      </c>
      <c r="BM42" s="19">
        <f>BL47</f>
        <v/>
      </c>
      <c r="BN42" s="19">
        <f>BM47</f>
        <v/>
      </c>
      <c r="BO42" s="19">
        <f>BN47</f>
        <v/>
      </c>
      <c r="BP42" s="19">
        <f>BO47</f>
        <v/>
      </c>
      <c r="BQ42" s="19">
        <f>BP47</f>
        <v/>
      </c>
      <c r="BR42" s="19">
        <f>BQ47</f>
        <v/>
      </c>
      <c r="BS42" s="19">
        <f>BR47</f>
        <v/>
      </c>
      <c r="BT42" s="19">
        <f>BS47</f>
        <v/>
      </c>
      <c r="BU42" s="19">
        <f>BT47</f>
        <v/>
      </c>
      <c r="BV42" s="19">
        <f>BU47</f>
        <v/>
      </c>
      <c r="BW42" s="19">
        <f>BV47</f>
        <v/>
      </c>
      <c r="BX42" s="19">
        <f>BW47</f>
        <v/>
      </c>
      <c r="BY42" s="19">
        <f>BX47</f>
        <v/>
      </c>
      <c r="BZ42" s="19">
        <f>BY47</f>
        <v/>
      </c>
      <c r="CA42" s="19">
        <f>BZ47</f>
        <v/>
      </c>
      <c r="CB42" s="19">
        <f>CA47</f>
        <v/>
      </c>
      <c r="CC42" s="19">
        <f>CB47</f>
        <v/>
      </c>
      <c r="CD42" s="19">
        <f>CC47</f>
        <v/>
      </c>
      <c r="CE42" s="19">
        <f>CD47</f>
        <v/>
      </c>
      <c r="CF42" s="19">
        <f>CE47</f>
        <v/>
      </c>
      <c r="CG42" s="19">
        <f>CF47</f>
        <v/>
      </c>
      <c r="CH42" s="19">
        <f>CG47</f>
        <v/>
      </c>
      <c r="CI42" s="19">
        <f>CH47</f>
        <v/>
      </c>
      <c r="CJ42" s="19">
        <f>CI47</f>
        <v/>
      </c>
      <c r="CK42" s="19">
        <f>CJ47</f>
        <v/>
      </c>
      <c r="CL42" s="19">
        <f>CK47</f>
        <v/>
      </c>
      <c r="CM42" s="19">
        <f>CL47</f>
        <v/>
      </c>
      <c r="CN42" s="19">
        <f>CM47</f>
        <v/>
      </c>
      <c r="CO42" s="19">
        <f>CN47</f>
        <v/>
      </c>
      <c r="CP42" s="19">
        <f>CO47</f>
        <v/>
      </c>
      <c r="CQ42" s="19">
        <f>CP47</f>
        <v/>
      </c>
      <c r="CR42" s="19">
        <f>CQ47</f>
        <v/>
      </c>
      <c r="CS42" s="19">
        <f>CR47</f>
        <v/>
      </c>
      <c r="CT42" s="19">
        <f>CS47</f>
        <v/>
      </c>
      <c r="CU42" s="19">
        <f>CT47</f>
        <v/>
      </c>
      <c r="CV42" s="19">
        <f>CU47</f>
        <v/>
      </c>
      <c r="CW42" s="19">
        <f>CV47</f>
        <v/>
      </c>
      <c r="CX42" s="19">
        <f>CW47</f>
        <v/>
      </c>
      <c r="CY42" s="19">
        <f>CX47</f>
        <v/>
      </c>
      <c r="CZ42" s="19">
        <f>CY47</f>
        <v/>
      </c>
      <c r="DA42" s="19">
        <f>CZ47</f>
        <v/>
      </c>
      <c r="DB42" s="19">
        <f>DA47</f>
        <v/>
      </c>
    </row>
    <row r="43">
      <c r="D43" t="inlineStr">
        <is>
          <t>Interest</t>
        </is>
      </c>
      <c r="E43" t="inlineStr">
        <is>
          <t>ARD m</t>
        </is>
      </c>
      <c r="G43" s="19">
        <f>SUM(J43:DB43)</f>
        <v/>
      </c>
      <c r="J43" s="19">
        <f>J42*J8*Time!J9/Inputs!$F$46</f>
        <v/>
      </c>
      <c r="K43" s="19">
        <f>K42*K8*Time!K9/Inputs!$F$46</f>
        <v/>
      </c>
      <c r="L43" s="19">
        <f>L42*L8*Time!L9/Inputs!$F$46</f>
        <v/>
      </c>
      <c r="M43" s="19">
        <f>M42*M8*Time!M9/Inputs!$F$46</f>
        <v/>
      </c>
      <c r="N43" s="19">
        <f>N42*N8*Time!N9/Inputs!$F$46</f>
        <v/>
      </c>
      <c r="O43" s="19">
        <f>O42*O8*Time!O9/Inputs!$F$46</f>
        <v/>
      </c>
      <c r="P43" s="19">
        <f>P42*P8*Time!P9/Inputs!$F$46</f>
        <v/>
      </c>
      <c r="Q43" s="19">
        <f>Q42*Q8*Time!Q9/Inputs!$F$46</f>
        <v/>
      </c>
      <c r="R43" s="19">
        <f>R42*R8*Time!R9/Inputs!$F$46</f>
        <v/>
      </c>
      <c r="S43" s="19">
        <f>S42*S8*Time!S9/Inputs!$F$46</f>
        <v/>
      </c>
      <c r="T43" s="19">
        <f>T42*T8*Time!T9/Inputs!$F$46</f>
        <v/>
      </c>
      <c r="U43" s="19">
        <f>U42*U8*Time!U9/Inputs!$F$46</f>
        <v/>
      </c>
      <c r="V43" s="19">
        <f>V42*V8*Time!V9/Inputs!$F$46</f>
        <v/>
      </c>
      <c r="W43" s="19">
        <f>W42*W8*Time!W9/Inputs!$F$46</f>
        <v/>
      </c>
      <c r="X43" s="19">
        <f>X42*X8*Time!X9/Inputs!$F$46</f>
        <v/>
      </c>
      <c r="Y43" s="19">
        <f>Y42*Y8*Time!Y9/Inputs!$F$46</f>
        <v/>
      </c>
      <c r="Z43" s="19">
        <f>Z42*Z8*Time!Z9/Inputs!$F$46</f>
        <v/>
      </c>
      <c r="AA43" s="19">
        <f>AA42*AA8*Time!AA9/Inputs!$F$46</f>
        <v/>
      </c>
      <c r="AB43" s="19">
        <f>AB42*AB8*Time!AB9/Inputs!$F$46</f>
        <v/>
      </c>
      <c r="AC43" s="19">
        <f>AC42*AC8*Time!AC9/Inputs!$F$46</f>
        <v/>
      </c>
      <c r="AD43" s="19">
        <f>AD42*AD8*Time!AD9/Inputs!$F$46</f>
        <v/>
      </c>
      <c r="AE43" s="19">
        <f>AE42*AE8*Time!AE9/Inputs!$F$46</f>
        <v/>
      </c>
      <c r="AF43" s="19">
        <f>AF42*AF8*Time!AF9/Inputs!$F$46</f>
        <v/>
      </c>
      <c r="AG43" s="19">
        <f>AG42*AG8*Time!AG9/Inputs!$F$46</f>
        <v/>
      </c>
      <c r="AH43" s="19">
        <f>AH42*AH8*Time!AH9/Inputs!$F$46</f>
        <v/>
      </c>
      <c r="AI43" s="19">
        <f>AI42*AI8*Time!AI9/Inputs!$F$46</f>
        <v/>
      </c>
      <c r="AJ43" s="19">
        <f>AJ42*AJ8*Time!AJ9/Inputs!$F$46</f>
        <v/>
      </c>
      <c r="AK43" s="19">
        <f>AK42*AK8*Time!AK9/Inputs!$F$46</f>
        <v/>
      </c>
      <c r="AL43" s="19">
        <f>AL42*AL8*Time!AL9/Inputs!$F$46</f>
        <v/>
      </c>
      <c r="AM43" s="19">
        <f>AM42*AM8*Time!AM9/Inputs!$F$46</f>
        <v/>
      </c>
      <c r="AN43" s="19">
        <f>AN42*AN8*Time!AN9/Inputs!$F$46</f>
        <v/>
      </c>
      <c r="AO43" s="19">
        <f>AO42*AO8*Time!AO9/Inputs!$F$46</f>
        <v/>
      </c>
      <c r="AP43" s="19">
        <f>AP42*AP8*Time!AP9/Inputs!$F$46</f>
        <v/>
      </c>
      <c r="AQ43" s="19">
        <f>AQ42*AQ8*Time!AQ9/Inputs!$F$46</f>
        <v/>
      </c>
      <c r="AR43" s="19">
        <f>AR42*AR8*Time!AR9/Inputs!$F$46</f>
        <v/>
      </c>
      <c r="AS43" s="19">
        <f>AS42*AS8*Time!AS9/Inputs!$F$46</f>
        <v/>
      </c>
      <c r="AT43" s="19">
        <f>AT42*AT8*Time!AT9/Inputs!$F$46</f>
        <v/>
      </c>
      <c r="AU43" s="19">
        <f>AU42*AU8*Time!AU9/Inputs!$F$46</f>
        <v/>
      </c>
      <c r="AV43" s="19">
        <f>AV42*AV8*Time!AV9/Inputs!$F$46</f>
        <v/>
      </c>
      <c r="AW43" s="19">
        <f>AW42*AW8*Time!AW9/Inputs!$F$46</f>
        <v/>
      </c>
      <c r="AX43" s="19">
        <f>AX42*AX8*Time!AX9/Inputs!$F$46</f>
        <v/>
      </c>
      <c r="AY43" s="19">
        <f>AY42*AY8*Time!AY9/Inputs!$F$46</f>
        <v/>
      </c>
      <c r="AZ43" s="19">
        <f>AZ42*AZ8*Time!AZ9/Inputs!$F$46</f>
        <v/>
      </c>
      <c r="BA43" s="19">
        <f>BA42*BA8*Time!BA9/Inputs!$F$46</f>
        <v/>
      </c>
      <c r="BB43" s="19">
        <f>BB42*BB8*Time!BB9/Inputs!$F$46</f>
        <v/>
      </c>
      <c r="BC43" s="19">
        <f>BC42*BC8*Time!BC9/Inputs!$F$46</f>
        <v/>
      </c>
      <c r="BD43" s="19">
        <f>BD42*BD8*Time!BD9/Inputs!$F$46</f>
        <v/>
      </c>
      <c r="BE43" s="19">
        <f>BE42*BE8*Time!BE9/Inputs!$F$46</f>
        <v/>
      </c>
      <c r="BF43" s="19">
        <f>BF42*BF8*Time!BF9/Inputs!$F$46</f>
        <v/>
      </c>
      <c r="BG43" s="19">
        <f>BG42*BG8*Time!BG9/Inputs!$F$46</f>
        <v/>
      </c>
      <c r="BH43" s="19">
        <f>BH42*BH8*Time!BH9/Inputs!$F$46</f>
        <v/>
      </c>
      <c r="BI43" s="19">
        <f>BI42*BI8*Time!BI9/Inputs!$F$46</f>
        <v/>
      </c>
      <c r="BJ43" s="19">
        <f>BJ42*BJ8*Time!BJ9/Inputs!$F$46</f>
        <v/>
      </c>
      <c r="BK43" s="19">
        <f>BK42*BK8*Time!BK9/Inputs!$F$46</f>
        <v/>
      </c>
      <c r="BL43" s="19">
        <f>BL42*BL8*Time!BL9/Inputs!$F$46</f>
        <v/>
      </c>
      <c r="BM43" s="19">
        <f>BM42*BM8*Time!BM9/Inputs!$F$46</f>
        <v/>
      </c>
      <c r="BN43" s="19">
        <f>BN42*BN8*Time!BN9/Inputs!$F$46</f>
        <v/>
      </c>
      <c r="BO43" s="19">
        <f>BO42*BO8*Time!BO9/Inputs!$F$46</f>
        <v/>
      </c>
      <c r="BP43" s="19">
        <f>BP42*BP8*Time!BP9/Inputs!$F$46</f>
        <v/>
      </c>
      <c r="BQ43" s="19">
        <f>BQ42*BQ8*Time!BQ9/Inputs!$F$46</f>
        <v/>
      </c>
      <c r="BR43" s="19">
        <f>BR42*BR8*Time!BR9/Inputs!$F$46</f>
        <v/>
      </c>
      <c r="BS43" s="19">
        <f>BS42*BS8*Time!BS9/Inputs!$F$46</f>
        <v/>
      </c>
      <c r="BT43" s="19">
        <f>BT42*BT8*Time!BT9/Inputs!$F$46</f>
        <v/>
      </c>
      <c r="BU43" s="19">
        <f>BU42*BU8*Time!BU9/Inputs!$F$46</f>
        <v/>
      </c>
      <c r="BV43" s="19">
        <f>BV42*BV8*Time!BV9/Inputs!$F$46</f>
        <v/>
      </c>
      <c r="BW43" s="19">
        <f>BW42*BW8*Time!BW9/Inputs!$F$46</f>
        <v/>
      </c>
      <c r="BX43" s="19">
        <f>BX42*BX8*Time!BX9/Inputs!$F$46</f>
        <v/>
      </c>
      <c r="BY43" s="19">
        <f>BY42*BY8*Time!BY9/Inputs!$F$46</f>
        <v/>
      </c>
      <c r="BZ43" s="19">
        <f>BZ42*BZ8*Time!BZ9/Inputs!$F$46</f>
        <v/>
      </c>
      <c r="CA43" s="19">
        <f>CA42*CA8*Time!CA9/Inputs!$F$46</f>
        <v/>
      </c>
      <c r="CB43" s="19">
        <f>CB42*CB8*Time!CB9/Inputs!$F$46</f>
        <v/>
      </c>
      <c r="CC43" s="19">
        <f>CC42*CC8*Time!CC9/Inputs!$F$46</f>
        <v/>
      </c>
      <c r="CD43" s="19">
        <f>CD42*CD8*Time!CD9/Inputs!$F$46</f>
        <v/>
      </c>
      <c r="CE43" s="19">
        <f>CE42*CE8*Time!CE9/Inputs!$F$46</f>
        <v/>
      </c>
      <c r="CF43" s="19">
        <f>CF42*CF8*Time!CF9/Inputs!$F$46</f>
        <v/>
      </c>
      <c r="CG43" s="19">
        <f>CG42*CG8*Time!CG9/Inputs!$F$46</f>
        <v/>
      </c>
      <c r="CH43" s="19">
        <f>CH42*CH8*Time!CH9/Inputs!$F$46</f>
        <v/>
      </c>
      <c r="CI43" s="19">
        <f>CI42*CI8*Time!CI9/Inputs!$F$46</f>
        <v/>
      </c>
      <c r="CJ43" s="19">
        <f>CJ42*CJ8*Time!CJ9/Inputs!$F$46</f>
        <v/>
      </c>
      <c r="CK43" s="19">
        <f>CK42*CK8*Time!CK9/Inputs!$F$46</f>
        <v/>
      </c>
      <c r="CL43" s="19">
        <f>CL42*CL8*Time!CL9/Inputs!$F$46</f>
        <v/>
      </c>
      <c r="CM43" s="19">
        <f>CM42*CM8*Time!CM9/Inputs!$F$46</f>
        <v/>
      </c>
      <c r="CN43" s="19">
        <f>CN42*CN8*Time!CN9/Inputs!$F$46</f>
        <v/>
      </c>
      <c r="CO43" s="19">
        <f>CO42*CO8*Time!CO9/Inputs!$F$46</f>
        <v/>
      </c>
      <c r="CP43" s="19">
        <f>CP42*CP8*Time!CP9/Inputs!$F$46</f>
        <v/>
      </c>
      <c r="CQ43" s="19">
        <f>CQ42*CQ8*Time!CQ9/Inputs!$F$46</f>
        <v/>
      </c>
      <c r="CR43" s="19">
        <f>CR42*CR8*Time!CR9/Inputs!$F$46</f>
        <v/>
      </c>
      <c r="CS43" s="19">
        <f>CS42*CS8*Time!CS9/Inputs!$F$46</f>
        <v/>
      </c>
      <c r="CT43" s="19">
        <f>CT42*CT8*Time!CT9/Inputs!$F$46</f>
        <v/>
      </c>
      <c r="CU43" s="19">
        <f>CU42*CU8*Time!CU9/Inputs!$F$46</f>
        <v/>
      </c>
      <c r="CV43" s="19">
        <f>CV42*CV8*Time!CV9/Inputs!$F$46</f>
        <v/>
      </c>
      <c r="CW43" s="19">
        <f>CW42*CW8*Time!CW9/Inputs!$F$46</f>
        <v/>
      </c>
      <c r="CX43" s="19">
        <f>CX42*CX8*Time!CX9/Inputs!$F$46</f>
        <v/>
      </c>
      <c r="CY43" s="19">
        <f>CY42*CY8*Time!CY9/Inputs!$F$46</f>
        <v/>
      </c>
      <c r="CZ43" s="19">
        <f>CZ42*CZ8*Time!CZ9/Inputs!$F$46</f>
        <v/>
      </c>
      <c r="DA43" s="19">
        <f>DA42*DA8*Time!DA9/Inputs!$F$46</f>
        <v/>
      </c>
      <c r="DB43" s="19">
        <f>DB42*DB8*Time!DB9/Inputs!$F$46</f>
        <v/>
      </c>
    </row>
    <row r="44">
      <c r="D44" t="inlineStr">
        <is>
          <t>Interest due from operations</t>
        </is>
      </c>
      <c r="E44" t="inlineStr">
        <is>
          <t>ARD m</t>
        </is>
      </c>
      <c r="G44" s="19">
        <f>SUM(J44:DB44)</f>
        <v/>
      </c>
      <c r="J44" s="19">
        <f>J43*(1-Time!J20)</f>
        <v/>
      </c>
      <c r="K44" s="19">
        <f>K43*(1-Time!K20)</f>
        <v/>
      </c>
      <c r="L44" s="19">
        <f>L43*(1-Time!L20)</f>
        <v/>
      </c>
      <c r="M44" s="19">
        <f>M43*(1-Time!M20)</f>
        <v/>
      </c>
      <c r="N44" s="19">
        <f>N43*(1-Time!N20)</f>
        <v/>
      </c>
      <c r="O44" s="19">
        <f>O43*(1-Time!O20)</f>
        <v/>
      </c>
      <c r="P44" s="19">
        <f>P43*(1-Time!P20)</f>
        <v/>
      </c>
      <c r="Q44" s="19">
        <f>Q43*(1-Time!Q20)</f>
        <v/>
      </c>
      <c r="R44" s="19">
        <f>R43*(1-Time!R20)</f>
        <v/>
      </c>
      <c r="S44" s="19">
        <f>S43*(1-Time!S20)</f>
        <v/>
      </c>
      <c r="T44" s="19">
        <f>T43*(1-Time!T20)</f>
        <v/>
      </c>
      <c r="U44" s="19">
        <f>U43*(1-Time!U20)</f>
        <v/>
      </c>
      <c r="V44" s="19">
        <f>V43*(1-Time!V20)</f>
        <v/>
      </c>
      <c r="W44" s="19">
        <f>W43*(1-Time!W20)</f>
        <v/>
      </c>
      <c r="X44" s="19">
        <f>X43*(1-Time!X20)</f>
        <v/>
      </c>
      <c r="Y44" s="19">
        <f>Y43*(1-Time!Y20)</f>
        <v/>
      </c>
      <c r="Z44" s="19">
        <f>Z43*(1-Time!Z20)</f>
        <v/>
      </c>
      <c r="AA44" s="19">
        <f>AA43*(1-Time!AA20)</f>
        <v/>
      </c>
      <c r="AB44" s="19">
        <f>AB43*(1-Time!AB20)</f>
        <v/>
      </c>
      <c r="AC44" s="19">
        <f>AC43*(1-Time!AC20)</f>
        <v/>
      </c>
      <c r="AD44" s="19">
        <f>AD43*(1-Time!AD20)</f>
        <v/>
      </c>
      <c r="AE44" s="19">
        <f>AE43*(1-Time!AE20)</f>
        <v/>
      </c>
      <c r="AF44" s="19">
        <f>AF43*(1-Time!AF20)</f>
        <v/>
      </c>
      <c r="AG44" s="19">
        <f>AG43*(1-Time!AG20)</f>
        <v/>
      </c>
      <c r="AH44" s="19">
        <f>AH43*(1-Time!AH20)</f>
        <v/>
      </c>
      <c r="AI44" s="19">
        <f>AI43*(1-Time!AI20)</f>
        <v/>
      </c>
      <c r="AJ44" s="19">
        <f>AJ43*(1-Time!AJ20)</f>
        <v/>
      </c>
      <c r="AK44" s="19">
        <f>AK43*(1-Time!AK20)</f>
        <v/>
      </c>
      <c r="AL44" s="19">
        <f>AL43*(1-Time!AL20)</f>
        <v/>
      </c>
      <c r="AM44" s="19">
        <f>AM43*(1-Time!AM20)</f>
        <v/>
      </c>
      <c r="AN44" s="19">
        <f>AN43*(1-Time!AN20)</f>
        <v/>
      </c>
      <c r="AO44" s="19">
        <f>AO43*(1-Time!AO20)</f>
        <v/>
      </c>
      <c r="AP44" s="19">
        <f>AP43*(1-Time!AP20)</f>
        <v/>
      </c>
      <c r="AQ44" s="19">
        <f>AQ43*(1-Time!AQ20)</f>
        <v/>
      </c>
      <c r="AR44" s="19">
        <f>AR43*(1-Time!AR20)</f>
        <v/>
      </c>
      <c r="AS44" s="19">
        <f>AS43*(1-Time!AS20)</f>
        <v/>
      </c>
      <c r="AT44" s="19">
        <f>AT43*(1-Time!AT20)</f>
        <v/>
      </c>
      <c r="AU44" s="19">
        <f>AU43*(1-Time!AU20)</f>
        <v/>
      </c>
      <c r="AV44" s="19">
        <f>AV43*(1-Time!AV20)</f>
        <v/>
      </c>
      <c r="AW44" s="19">
        <f>AW43*(1-Time!AW20)</f>
        <v/>
      </c>
      <c r="AX44" s="19">
        <f>AX43*(1-Time!AX20)</f>
        <v/>
      </c>
      <c r="AY44" s="19">
        <f>AY43*(1-Time!AY20)</f>
        <v/>
      </c>
      <c r="AZ44" s="19">
        <f>AZ43*(1-Time!AZ20)</f>
        <v/>
      </c>
      <c r="BA44" s="19">
        <f>BA43*(1-Time!BA20)</f>
        <v/>
      </c>
      <c r="BB44" s="19">
        <f>BB43*(1-Time!BB20)</f>
        <v/>
      </c>
      <c r="BC44" s="19">
        <f>BC43*(1-Time!BC20)</f>
        <v/>
      </c>
      <c r="BD44" s="19">
        <f>BD43*(1-Time!BD20)</f>
        <v/>
      </c>
      <c r="BE44" s="19">
        <f>BE43*(1-Time!BE20)</f>
        <v/>
      </c>
      <c r="BF44" s="19">
        <f>BF43*(1-Time!BF20)</f>
        <v/>
      </c>
      <c r="BG44" s="19">
        <f>BG43*(1-Time!BG20)</f>
        <v/>
      </c>
      <c r="BH44" s="19">
        <f>BH43*(1-Time!BH20)</f>
        <v/>
      </c>
      <c r="BI44" s="19">
        <f>BI43*(1-Time!BI20)</f>
        <v/>
      </c>
      <c r="BJ44" s="19">
        <f>BJ43*(1-Time!BJ20)</f>
        <v/>
      </c>
      <c r="BK44" s="19">
        <f>BK43*(1-Time!BK20)</f>
        <v/>
      </c>
      <c r="BL44" s="19">
        <f>BL43*(1-Time!BL20)</f>
        <v/>
      </c>
      <c r="BM44" s="19">
        <f>BM43*(1-Time!BM20)</f>
        <v/>
      </c>
      <c r="BN44" s="19">
        <f>BN43*(1-Time!BN20)</f>
        <v/>
      </c>
      <c r="BO44" s="19">
        <f>BO43*(1-Time!BO20)</f>
        <v/>
      </c>
      <c r="BP44" s="19">
        <f>BP43*(1-Time!BP20)</f>
        <v/>
      </c>
      <c r="BQ44" s="19">
        <f>BQ43*(1-Time!BQ20)</f>
        <v/>
      </c>
      <c r="BR44" s="19">
        <f>BR43*(1-Time!BR20)</f>
        <v/>
      </c>
      <c r="BS44" s="19">
        <f>BS43*(1-Time!BS20)</f>
        <v/>
      </c>
      <c r="BT44" s="19">
        <f>BT43*(1-Time!BT20)</f>
        <v/>
      </c>
      <c r="BU44" s="19">
        <f>BU43*(1-Time!BU20)</f>
        <v/>
      </c>
      <c r="BV44" s="19">
        <f>BV43*(1-Time!BV20)</f>
        <v/>
      </c>
      <c r="BW44" s="19">
        <f>BW43*(1-Time!BW20)</f>
        <v/>
      </c>
      <c r="BX44" s="19">
        <f>BX43*(1-Time!BX20)</f>
        <v/>
      </c>
      <c r="BY44" s="19">
        <f>BY43*(1-Time!BY20)</f>
        <v/>
      </c>
      <c r="BZ44" s="19">
        <f>BZ43*(1-Time!BZ20)</f>
        <v/>
      </c>
      <c r="CA44" s="19">
        <f>CA43*(1-Time!CA20)</f>
        <v/>
      </c>
      <c r="CB44" s="19">
        <f>CB43*(1-Time!CB20)</f>
        <v/>
      </c>
      <c r="CC44" s="19">
        <f>CC43*(1-Time!CC20)</f>
        <v/>
      </c>
      <c r="CD44" s="19">
        <f>CD43*(1-Time!CD20)</f>
        <v/>
      </c>
      <c r="CE44" s="19">
        <f>CE43*(1-Time!CE20)</f>
        <v/>
      </c>
      <c r="CF44" s="19">
        <f>CF43*(1-Time!CF20)</f>
        <v/>
      </c>
      <c r="CG44" s="19">
        <f>CG43*(1-Time!CG20)</f>
        <v/>
      </c>
      <c r="CH44" s="19">
        <f>CH43*(1-Time!CH20)</f>
        <v/>
      </c>
      <c r="CI44" s="19">
        <f>CI43*(1-Time!CI20)</f>
        <v/>
      </c>
      <c r="CJ44" s="19">
        <f>CJ43*(1-Time!CJ20)</f>
        <v/>
      </c>
      <c r="CK44" s="19">
        <f>CK43*(1-Time!CK20)</f>
        <v/>
      </c>
      <c r="CL44" s="19">
        <f>CL43*(1-Time!CL20)</f>
        <v/>
      </c>
      <c r="CM44" s="19">
        <f>CM43*(1-Time!CM20)</f>
        <v/>
      </c>
      <c r="CN44" s="19">
        <f>CN43*(1-Time!CN20)</f>
        <v/>
      </c>
      <c r="CO44" s="19">
        <f>CO43*(1-Time!CO20)</f>
        <v/>
      </c>
      <c r="CP44" s="19">
        <f>CP43*(1-Time!CP20)</f>
        <v/>
      </c>
      <c r="CQ44" s="19">
        <f>CQ43*(1-Time!CQ20)</f>
        <v/>
      </c>
      <c r="CR44" s="19">
        <f>CR43*(1-Time!CR20)</f>
        <v/>
      </c>
      <c r="CS44" s="19">
        <f>CS43*(1-Time!CS20)</f>
        <v/>
      </c>
      <c r="CT44" s="19">
        <f>CT43*(1-Time!CT20)</f>
        <v/>
      </c>
      <c r="CU44" s="19">
        <f>CU43*(1-Time!CU20)</f>
        <v/>
      </c>
      <c r="CV44" s="19">
        <f>CV43*(1-Time!CV20)</f>
        <v/>
      </c>
      <c r="CW44" s="19">
        <f>CW43*(1-Time!CW20)</f>
        <v/>
      </c>
      <c r="CX44" s="19">
        <f>CX43*(1-Time!CX20)</f>
        <v/>
      </c>
      <c r="CY44" s="19">
        <f>CY43*(1-Time!CY20)</f>
        <v/>
      </c>
      <c r="CZ44" s="19">
        <f>CZ43*(1-Time!CZ20)</f>
        <v/>
      </c>
      <c r="DA44" s="19">
        <f>DA43*(1-Time!DA20)</f>
        <v/>
      </c>
      <c r="DB44" s="19">
        <f>DB43*(1-Time!DB20)</f>
        <v/>
      </c>
    </row>
    <row r="45">
      <c r="D45" t="inlineStr">
        <is>
          <t>Principal due</t>
        </is>
      </c>
      <c r="E45" t="inlineStr">
        <is>
          <t>ARD m</t>
        </is>
      </c>
      <c r="G45" s="19">
        <f>SUM(J45:DB45)</f>
        <v/>
      </c>
      <c r="J45" s="19">
        <f>IF(OR(Time!J20=1,Time!J34=1,Time!J23=1),0,MIN(Inputs!$F$97*J40,J42))</f>
        <v/>
      </c>
      <c r="K45" s="19">
        <f>IF(OR(Time!K20=1,Time!K34=1,Time!K23=1),0,MIN(Inputs!$F$97*K40,K42))</f>
        <v/>
      </c>
      <c r="L45" s="19">
        <f>IF(OR(Time!L20=1,Time!L34=1,Time!L23=1),0,MIN(Inputs!$F$97*L40,L42))</f>
        <v/>
      </c>
      <c r="M45" s="19">
        <f>IF(OR(Time!M20=1,Time!M34=1,Time!M23=1),0,MIN(Inputs!$F$97*M40,M42))</f>
        <v/>
      </c>
      <c r="N45" s="19">
        <f>IF(OR(Time!N20=1,Time!N34=1,Time!N23=1),0,MIN(Inputs!$F$97*N40,N42))</f>
        <v/>
      </c>
      <c r="O45" s="19">
        <f>IF(OR(Time!O20=1,Time!O34=1,Time!O23=1),0,MIN(Inputs!$F$97*O40,O42))</f>
        <v/>
      </c>
      <c r="P45" s="19">
        <f>IF(OR(Time!P20=1,Time!P34=1,Time!P23=1),0,MIN(Inputs!$F$97*P40,P42))</f>
        <v/>
      </c>
      <c r="Q45" s="19">
        <f>IF(OR(Time!Q20=1,Time!Q34=1,Time!Q23=1),0,MIN(Inputs!$F$97*Q40,Q42))</f>
        <v/>
      </c>
      <c r="R45" s="19">
        <f>IF(OR(Time!R20=1,Time!R34=1,Time!R23=1),0,MIN(Inputs!$F$97*R40,R42))</f>
        <v/>
      </c>
      <c r="S45" s="19">
        <f>IF(OR(Time!S20=1,Time!S34=1,Time!S23=1),0,MIN(Inputs!$F$97*S40,S42))</f>
        <v/>
      </c>
      <c r="T45" s="19">
        <f>IF(OR(Time!T20=1,Time!T34=1,Time!T23=1),0,MIN(Inputs!$F$97*T40,T42))</f>
        <v/>
      </c>
      <c r="U45" s="19">
        <f>IF(OR(Time!U20=1,Time!U34=1,Time!U23=1),0,MIN(Inputs!$F$97*U40,U42))</f>
        <v/>
      </c>
      <c r="V45" s="19">
        <f>IF(OR(Time!V20=1,Time!V34=1,Time!V23=1),0,MIN(Inputs!$F$97*V40,V42))</f>
        <v/>
      </c>
      <c r="W45" s="19">
        <f>IF(OR(Time!W20=1,Time!W34=1,Time!W23=1),0,MIN(Inputs!$F$97*W40,W42))</f>
        <v/>
      </c>
      <c r="X45" s="19">
        <f>IF(OR(Time!X20=1,Time!X34=1,Time!X23=1),0,MIN(Inputs!$F$97*X40,X42))</f>
        <v/>
      </c>
      <c r="Y45" s="19">
        <f>IF(OR(Time!Y20=1,Time!Y34=1,Time!Y23=1),0,MIN(Inputs!$F$97*Y40,Y42))</f>
        <v/>
      </c>
      <c r="Z45" s="19">
        <f>IF(OR(Time!Z20=1,Time!Z34=1,Time!Z23=1),0,MIN(Inputs!$F$97*Z40,Z42))</f>
        <v/>
      </c>
      <c r="AA45" s="19">
        <f>IF(OR(Time!AA20=1,Time!AA34=1,Time!AA23=1),0,MIN(Inputs!$F$97*AA40,AA42))</f>
        <v/>
      </c>
      <c r="AB45" s="19">
        <f>IF(OR(Time!AB20=1,Time!AB34=1,Time!AB23=1),0,MIN(Inputs!$F$97*AB40,AB42))</f>
        <v/>
      </c>
      <c r="AC45" s="19">
        <f>IF(OR(Time!AC20=1,Time!AC34=1,Time!AC23=1),0,MIN(Inputs!$F$97*AC40,AC42))</f>
        <v/>
      </c>
      <c r="AD45" s="19">
        <f>IF(OR(Time!AD20=1,Time!AD34=1,Time!AD23=1),0,MIN(Inputs!$F$97*AD40,AD42))</f>
        <v/>
      </c>
      <c r="AE45" s="19">
        <f>IF(OR(Time!AE20=1,Time!AE34=1,Time!AE23=1),0,MIN(Inputs!$F$97*AE40,AE42))</f>
        <v/>
      </c>
      <c r="AF45" s="19">
        <f>IF(OR(Time!AF20=1,Time!AF34=1,Time!AF23=1),0,MIN(Inputs!$F$97*AF40,AF42))</f>
        <v/>
      </c>
      <c r="AG45" s="19">
        <f>IF(OR(Time!AG20=1,Time!AG34=1,Time!AG23=1),0,MIN(Inputs!$F$97*AG40,AG42))</f>
        <v/>
      </c>
      <c r="AH45" s="19">
        <f>IF(OR(Time!AH20=1,Time!AH34=1,Time!AH23=1),0,MIN(Inputs!$F$97*AH40,AH42))</f>
        <v/>
      </c>
      <c r="AI45" s="19">
        <f>IF(OR(Time!AI20=1,Time!AI34=1,Time!AI23=1),0,MIN(Inputs!$F$97*AI40,AI42))</f>
        <v/>
      </c>
      <c r="AJ45" s="19">
        <f>IF(OR(Time!AJ20=1,Time!AJ34=1,Time!AJ23=1),0,MIN(Inputs!$F$97*AJ40,AJ42))</f>
        <v/>
      </c>
      <c r="AK45" s="19">
        <f>IF(OR(Time!AK20=1,Time!AK34=1,Time!AK23=1),0,MIN(Inputs!$F$97*AK40,AK42))</f>
        <v/>
      </c>
      <c r="AL45" s="19">
        <f>IF(OR(Time!AL20=1,Time!AL34=1,Time!AL23=1),0,MIN(Inputs!$F$97*AL40,AL42))</f>
        <v/>
      </c>
      <c r="AM45" s="19">
        <f>IF(OR(Time!AM20=1,Time!AM34=1,Time!AM23=1),0,MIN(Inputs!$F$97*AM40,AM42))</f>
        <v/>
      </c>
      <c r="AN45" s="19">
        <f>IF(OR(Time!AN20=1,Time!AN34=1,Time!AN23=1),0,MIN(Inputs!$F$97*AN40,AN42))</f>
        <v/>
      </c>
      <c r="AO45" s="19">
        <f>IF(OR(Time!AO20=1,Time!AO34=1,Time!AO23=1),0,MIN(Inputs!$F$97*AO40,AO42))</f>
        <v/>
      </c>
      <c r="AP45" s="19">
        <f>IF(OR(Time!AP20=1,Time!AP34=1,Time!AP23=1),0,MIN(Inputs!$F$97*AP40,AP42))</f>
        <v/>
      </c>
      <c r="AQ45" s="19">
        <f>IF(OR(Time!AQ20=1,Time!AQ34=1,Time!AQ23=1),0,MIN(Inputs!$F$97*AQ40,AQ42))</f>
        <v/>
      </c>
      <c r="AR45" s="19">
        <f>IF(OR(Time!AR20=1,Time!AR34=1,Time!AR23=1),0,MIN(Inputs!$F$97*AR40,AR42))</f>
        <v/>
      </c>
      <c r="AS45" s="19">
        <f>IF(OR(Time!AS20=1,Time!AS34=1,Time!AS23=1),0,MIN(Inputs!$F$97*AS40,AS42))</f>
        <v/>
      </c>
      <c r="AT45" s="19">
        <f>IF(OR(Time!AT20=1,Time!AT34=1,Time!AT23=1),0,MIN(Inputs!$F$97*AT40,AT42))</f>
        <v/>
      </c>
      <c r="AU45" s="19">
        <f>IF(OR(Time!AU20=1,Time!AU34=1,Time!AU23=1),0,MIN(Inputs!$F$97*AU40,AU42))</f>
        <v/>
      </c>
      <c r="AV45" s="19">
        <f>IF(OR(Time!AV20=1,Time!AV34=1,Time!AV23=1),0,MIN(Inputs!$F$97*AV40,AV42))</f>
        <v/>
      </c>
      <c r="AW45" s="19">
        <f>IF(OR(Time!AW20=1,Time!AW34=1,Time!AW23=1),0,MIN(Inputs!$F$97*AW40,AW42))</f>
        <v/>
      </c>
      <c r="AX45" s="19">
        <f>IF(OR(Time!AX20=1,Time!AX34=1,Time!AX23=1),0,MIN(Inputs!$F$97*AX40,AX42))</f>
        <v/>
      </c>
      <c r="AY45" s="19">
        <f>IF(OR(Time!AY20=1,Time!AY34=1,Time!AY23=1),0,MIN(Inputs!$F$97*AY40,AY42))</f>
        <v/>
      </c>
      <c r="AZ45" s="19">
        <f>IF(OR(Time!AZ20=1,Time!AZ34=1,Time!AZ23=1),0,MIN(Inputs!$F$97*AZ40,AZ42))</f>
        <v/>
      </c>
      <c r="BA45" s="19">
        <f>IF(OR(Time!BA20=1,Time!BA34=1,Time!BA23=1),0,MIN(Inputs!$F$97*BA40,BA42))</f>
        <v/>
      </c>
      <c r="BB45" s="19">
        <f>IF(OR(Time!BB20=1,Time!BB34=1,Time!BB23=1),0,MIN(Inputs!$F$97*BB40,BB42))</f>
        <v/>
      </c>
      <c r="BC45" s="19">
        <f>IF(OR(Time!BC20=1,Time!BC34=1,Time!BC23=1),0,MIN(Inputs!$F$97*BC40,BC42))</f>
        <v/>
      </c>
      <c r="BD45" s="19">
        <f>IF(OR(Time!BD20=1,Time!BD34=1,Time!BD23=1),0,MIN(Inputs!$F$97*BD40,BD42))</f>
        <v/>
      </c>
      <c r="BE45" s="19">
        <f>IF(OR(Time!BE20=1,Time!BE34=1,Time!BE23=1),0,MIN(Inputs!$F$97*BE40,BE42))</f>
        <v/>
      </c>
      <c r="BF45" s="19">
        <f>IF(OR(Time!BF20=1,Time!BF34=1,Time!BF23=1),0,MIN(Inputs!$F$97*BF40,BF42))</f>
        <v/>
      </c>
      <c r="BG45" s="19">
        <f>IF(OR(Time!BG20=1,Time!BG34=1,Time!BG23=1),0,MIN(Inputs!$F$97*BG40,BG42))</f>
        <v/>
      </c>
      <c r="BH45" s="19">
        <f>IF(OR(Time!BH20=1,Time!BH34=1,Time!BH23=1),0,MIN(Inputs!$F$97*BH40,BH42))</f>
        <v/>
      </c>
      <c r="BI45" s="19">
        <f>IF(OR(Time!BI20=1,Time!BI34=1,Time!BI23=1),0,MIN(Inputs!$F$97*BI40,BI42))</f>
        <v/>
      </c>
      <c r="BJ45" s="19">
        <f>IF(OR(Time!BJ20=1,Time!BJ34=1,Time!BJ23=1),0,MIN(Inputs!$F$97*BJ40,BJ42))</f>
        <v/>
      </c>
      <c r="BK45" s="19">
        <f>IF(OR(Time!BK20=1,Time!BK34=1,Time!BK23=1),0,MIN(Inputs!$F$97*BK40,BK42))</f>
        <v/>
      </c>
      <c r="BL45" s="19">
        <f>IF(OR(Time!BL20=1,Time!BL34=1,Time!BL23=1),0,MIN(Inputs!$F$97*BL40,BL42))</f>
        <v/>
      </c>
      <c r="BM45" s="19">
        <f>IF(OR(Time!BM20=1,Time!BM34=1,Time!BM23=1),0,MIN(Inputs!$F$97*BM40,BM42))</f>
        <v/>
      </c>
      <c r="BN45" s="19">
        <f>IF(OR(Time!BN20=1,Time!BN34=1,Time!BN23=1),0,MIN(Inputs!$F$97*BN40,BN42))</f>
        <v/>
      </c>
      <c r="BO45" s="19">
        <f>IF(OR(Time!BO20=1,Time!BO34=1,Time!BO23=1),0,MIN(Inputs!$F$97*BO40,BO42))</f>
        <v/>
      </c>
      <c r="BP45" s="19">
        <f>IF(OR(Time!BP20=1,Time!BP34=1,Time!BP23=1),0,MIN(Inputs!$F$97*BP40,BP42))</f>
        <v/>
      </c>
      <c r="BQ45" s="19">
        <f>IF(OR(Time!BQ20=1,Time!BQ34=1,Time!BQ23=1),0,MIN(Inputs!$F$97*BQ40,BQ42))</f>
        <v/>
      </c>
      <c r="BR45" s="19">
        <f>IF(OR(Time!BR20=1,Time!BR34=1,Time!BR23=1),0,MIN(Inputs!$F$97*BR40,BR42))</f>
        <v/>
      </c>
      <c r="BS45" s="19">
        <f>IF(OR(Time!BS20=1,Time!BS34=1,Time!BS23=1),0,MIN(Inputs!$F$97*BS40,BS42))</f>
        <v/>
      </c>
      <c r="BT45" s="19">
        <f>IF(OR(Time!BT20=1,Time!BT34=1,Time!BT23=1),0,MIN(Inputs!$F$97*BT40,BT42))</f>
        <v/>
      </c>
      <c r="BU45" s="19">
        <f>IF(OR(Time!BU20=1,Time!BU34=1,Time!BU23=1),0,MIN(Inputs!$F$97*BU40,BU42))</f>
        <v/>
      </c>
      <c r="BV45" s="19">
        <f>IF(OR(Time!BV20=1,Time!BV34=1,Time!BV23=1),0,MIN(Inputs!$F$97*BV40,BV42))</f>
        <v/>
      </c>
      <c r="BW45" s="19">
        <f>IF(OR(Time!BW20=1,Time!BW34=1,Time!BW23=1),0,MIN(Inputs!$F$97*BW40,BW42))</f>
        <v/>
      </c>
      <c r="BX45" s="19">
        <f>IF(OR(Time!BX20=1,Time!BX34=1,Time!BX23=1),0,MIN(Inputs!$F$97*BX40,BX42))</f>
        <v/>
      </c>
      <c r="BY45" s="19">
        <f>IF(OR(Time!BY20=1,Time!BY34=1,Time!BY23=1),0,MIN(Inputs!$F$97*BY40,BY42))</f>
        <v/>
      </c>
      <c r="BZ45" s="19">
        <f>IF(OR(Time!BZ20=1,Time!BZ34=1,Time!BZ23=1),0,MIN(Inputs!$F$97*BZ40,BZ42))</f>
        <v/>
      </c>
      <c r="CA45" s="19">
        <f>IF(OR(Time!CA20=1,Time!CA34=1,Time!CA23=1),0,MIN(Inputs!$F$97*CA40,CA42))</f>
        <v/>
      </c>
      <c r="CB45" s="19">
        <f>IF(OR(Time!CB20=1,Time!CB34=1,Time!CB23=1),0,MIN(Inputs!$F$97*CB40,CB42))</f>
        <v/>
      </c>
      <c r="CC45" s="19">
        <f>IF(OR(Time!CC20=1,Time!CC34=1,Time!CC23=1),0,MIN(Inputs!$F$97*CC40,CC42))</f>
        <v/>
      </c>
      <c r="CD45" s="19">
        <f>IF(OR(Time!CD20=1,Time!CD34=1,Time!CD23=1),0,MIN(Inputs!$F$97*CD40,CD42))</f>
        <v/>
      </c>
      <c r="CE45" s="19">
        <f>IF(OR(Time!CE20=1,Time!CE34=1,Time!CE23=1),0,MIN(Inputs!$F$97*CE40,CE42))</f>
        <v/>
      </c>
      <c r="CF45" s="19">
        <f>IF(OR(Time!CF20=1,Time!CF34=1,Time!CF23=1),0,MIN(Inputs!$F$97*CF40,CF42))</f>
        <v/>
      </c>
      <c r="CG45" s="19">
        <f>IF(OR(Time!CG20=1,Time!CG34=1,Time!CG23=1),0,MIN(Inputs!$F$97*CG40,CG42))</f>
        <v/>
      </c>
      <c r="CH45" s="19">
        <f>IF(OR(Time!CH20=1,Time!CH34=1,Time!CH23=1),0,MIN(Inputs!$F$97*CH40,CH42))</f>
        <v/>
      </c>
      <c r="CI45" s="19">
        <f>IF(OR(Time!CI20=1,Time!CI34=1,Time!CI23=1),0,MIN(Inputs!$F$97*CI40,CI42))</f>
        <v/>
      </c>
      <c r="CJ45" s="19">
        <f>IF(OR(Time!CJ20=1,Time!CJ34=1,Time!CJ23=1),0,MIN(Inputs!$F$97*CJ40,CJ42))</f>
        <v/>
      </c>
      <c r="CK45" s="19">
        <f>IF(OR(Time!CK20=1,Time!CK34=1,Time!CK23=1),0,MIN(Inputs!$F$97*CK40,CK42))</f>
        <v/>
      </c>
      <c r="CL45" s="19">
        <f>IF(OR(Time!CL20=1,Time!CL34=1,Time!CL23=1),0,MIN(Inputs!$F$97*CL40,CL42))</f>
        <v/>
      </c>
      <c r="CM45" s="19">
        <f>IF(OR(Time!CM20=1,Time!CM34=1,Time!CM23=1),0,MIN(Inputs!$F$97*CM40,CM42))</f>
        <v/>
      </c>
      <c r="CN45" s="19">
        <f>IF(OR(Time!CN20=1,Time!CN34=1,Time!CN23=1),0,MIN(Inputs!$F$97*CN40,CN42))</f>
        <v/>
      </c>
      <c r="CO45" s="19">
        <f>IF(OR(Time!CO20=1,Time!CO34=1,Time!CO23=1),0,MIN(Inputs!$F$97*CO40,CO42))</f>
        <v/>
      </c>
      <c r="CP45" s="19">
        <f>IF(OR(Time!CP20=1,Time!CP34=1,Time!CP23=1),0,MIN(Inputs!$F$97*CP40,CP42))</f>
        <v/>
      </c>
      <c r="CQ45" s="19">
        <f>IF(OR(Time!CQ20=1,Time!CQ34=1,Time!CQ23=1),0,MIN(Inputs!$F$97*CQ40,CQ42))</f>
        <v/>
      </c>
      <c r="CR45" s="19">
        <f>IF(OR(Time!CR20=1,Time!CR34=1,Time!CR23=1),0,MIN(Inputs!$F$97*CR40,CR42))</f>
        <v/>
      </c>
      <c r="CS45" s="19">
        <f>IF(OR(Time!CS20=1,Time!CS34=1,Time!CS23=1),0,MIN(Inputs!$F$97*CS40,CS42))</f>
        <v/>
      </c>
      <c r="CT45" s="19">
        <f>IF(OR(Time!CT20=1,Time!CT34=1,Time!CT23=1),0,MIN(Inputs!$F$97*CT40,CT42))</f>
        <v/>
      </c>
      <c r="CU45" s="19">
        <f>IF(OR(Time!CU20=1,Time!CU34=1,Time!CU23=1),0,MIN(Inputs!$F$97*CU40,CU42))</f>
        <v/>
      </c>
      <c r="CV45" s="19">
        <f>IF(OR(Time!CV20=1,Time!CV34=1,Time!CV23=1),0,MIN(Inputs!$F$97*CV40,CV42))</f>
        <v/>
      </c>
      <c r="CW45" s="19">
        <f>IF(OR(Time!CW20=1,Time!CW34=1,Time!CW23=1),0,MIN(Inputs!$F$97*CW40,CW42))</f>
        <v/>
      </c>
      <c r="CX45" s="19">
        <f>IF(OR(Time!CX20=1,Time!CX34=1,Time!CX23=1),0,MIN(Inputs!$F$97*CX40,CX42))</f>
        <v/>
      </c>
      <c r="CY45" s="19">
        <f>IF(OR(Time!CY20=1,Time!CY34=1,Time!CY23=1),0,MIN(Inputs!$F$97*CY40,CY42))</f>
        <v/>
      </c>
      <c r="CZ45" s="19">
        <f>IF(OR(Time!CZ20=1,Time!CZ34=1,Time!CZ23=1),0,MIN(Inputs!$F$97*CZ40,CZ42))</f>
        <v/>
      </c>
      <c r="DA45" s="19">
        <f>IF(OR(Time!DA20=1,Time!DA34=1,Time!DA23=1),0,MIN(Inputs!$F$97*DA40,DA42))</f>
        <v/>
      </c>
      <c r="DB45" s="19">
        <f>IF(OR(Time!DB20=1,Time!DB34=1,Time!DB23=1),0,MIN(Inputs!$F$97*DB40,DB42))</f>
        <v/>
      </c>
    </row>
    <row r="46">
      <c r="D46" t="inlineStr">
        <is>
          <t>Closing balance before restructuring</t>
        </is>
      </c>
      <c r="E46" t="inlineStr">
        <is>
          <t>ARD m</t>
        </is>
      </c>
      <c r="J46" s="19">
        <f>J42+Funding!J35-Waterfall!J20-Waterfall!J31</f>
        <v/>
      </c>
      <c r="K46" s="19">
        <f>K42+Funding!K35-Waterfall!K20-Waterfall!K31</f>
        <v/>
      </c>
      <c r="L46" s="19">
        <f>L42+Funding!L35-Waterfall!L20-Waterfall!L31</f>
        <v/>
      </c>
      <c r="M46" s="19">
        <f>M42+Funding!M35-Waterfall!M20-Waterfall!M31</f>
        <v/>
      </c>
      <c r="N46" s="19">
        <f>N42+Funding!N35-Waterfall!N20-Waterfall!N31</f>
        <v/>
      </c>
      <c r="O46" s="19">
        <f>O42+Funding!O35-Waterfall!O20-Waterfall!O31</f>
        <v/>
      </c>
      <c r="P46" s="19">
        <f>P42+Funding!P35-Waterfall!P20-Waterfall!P31</f>
        <v/>
      </c>
      <c r="Q46" s="19">
        <f>Q42+Funding!Q35-Waterfall!Q20-Waterfall!Q31</f>
        <v/>
      </c>
      <c r="R46" s="19">
        <f>R42+Funding!R35-Waterfall!R20-Waterfall!R31</f>
        <v/>
      </c>
      <c r="S46" s="19">
        <f>S42+Funding!S35-Waterfall!S20-Waterfall!S31</f>
        <v/>
      </c>
      <c r="T46" s="19">
        <f>T42+Funding!T35-Waterfall!T20-Waterfall!T31</f>
        <v/>
      </c>
      <c r="U46" s="19">
        <f>U42+Funding!U35-Waterfall!U20-Waterfall!U31</f>
        <v/>
      </c>
      <c r="V46" s="19">
        <f>V42+Funding!V35-Waterfall!V20-Waterfall!V31</f>
        <v/>
      </c>
      <c r="W46" s="19">
        <f>W42+Funding!W35-Waterfall!W20-Waterfall!W31</f>
        <v/>
      </c>
      <c r="X46" s="19">
        <f>X42+Funding!X35-Waterfall!X20-Waterfall!X31</f>
        <v/>
      </c>
      <c r="Y46" s="19">
        <f>Y42+Funding!Y35-Waterfall!Y20-Waterfall!Y31</f>
        <v/>
      </c>
      <c r="Z46" s="19">
        <f>Z42+Funding!Z35-Waterfall!Z20-Waterfall!Z31</f>
        <v/>
      </c>
      <c r="AA46" s="19">
        <f>AA42+Funding!AA35-Waterfall!AA20-Waterfall!AA31</f>
        <v/>
      </c>
      <c r="AB46" s="19">
        <f>AB42+Funding!AB35-Waterfall!AB20-Waterfall!AB31</f>
        <v/>
      </c>
      <c r="AC46" s="19">
        <f>AC42+Funding!AC35-Waterfall!AC20-Waterfall!AC31</f>
        <v/>
      </c>
      <c r="AD46" s="19">
        <f>AD42+Funding!AD35-Waterfall!AD20-Waterfall!AD31</f>
        <v/>
      </c>
      <c r="AE46" s="19">
        <f>AE42+Funding!AE35-Waterfall!AE20-Waterfall!AE31</f>
        <v/>
      </c>
      <c r="AF46" s="19">
        <f>AF42+Funding!AF35-Waterfall!AF20-Waterfall!AF31</f>
        <v/>
      </c>
      <c r="AG46" s="19">
        <f>AG42+Funding!AG35-Waterfall!AG20-Waterfall!AG31</f>
        <v/>
      </c>
      <c r="AH46" s="19">
        <f>AH42+Funding!AH35-Waterfall!AH20-Waterfall!AH31</f>
        <v/>
      </c>
      <c r="AI46" s="19">
        <f>AI42+Funding!AI35-Waterfall!AI20-Waterfall!AI31</f>
        <v/>
      </c>
      <c r="AJ46" s="19">
        <f>AJ42+Funding!AJ35-Waterfall!AJ20-Waterfall!AJ31</f>
        <v/>
      </c>
      <c r="AK46" s="19">
        <f>AK42+Funding!AK35-Waterfall!AK20-Waterfall!AK31</f>
        <v/>
      </c>
      <c r="AL46" s="19">
        <f>AL42+Funding!AL35-Waterfall!AL20-Waterfall!AL31</f>
        <v/>
      </c>
      <c r="AM46" s="19">
        <f>AM42+Funding!AM35-Waterfall!AM20-Waterfall!AM31</f>
        <v/>
      </c>
      <c r="AN46" s="19">
        <f>AN42+Funding!AN35-Waterfall!AN20-Waterfall!AN31</f>
        <v/>
      </c>
      <c r="AO46" s="19">
        <f>AO42+Funding!AO35-Waterfall!AO20-Waterfall!AO31</f>
        <v/>
      </c>
      <c r="AP46" s="19">
        <f>AP42+Funding!AP35-Waterfall!AP20-Waterfall!AP31</f>
        <v/>
      </c>
      <c r="AQ46" s="19">
        <f>AQ42+Funding!AQ35-Waterfall!AQ20-Waterfall!AQ31</f>
        <v/>
      </c>
      <c r="AR46" s="19">
        <f>AR42+Funding!AR35-Waterfall!AR20-Waterfall!AR31</f>
        <v/>
      </c>
      <c r="AS46" s="19">
        <f>AS42+Funding!AS35-Waterfall!AS20-Waterfall!AS31</f>
        <v/>
      </c>
      <c r="AT46" s="19">
        <f>AT42+Funding!AT35-Waterfall!AT20-Waterfall!AT31</f>
        <v/>
      </c>
      <c r="AU46" s="19">
        <f>AU42+Funding!AU35-Waterfall!AU20-Waterfall!AU31</f>
        <v/>
      </c>
      <c r="AV46" s="19">
        <f>AV42+Funding!AV35-Waterfall!AV20-Waterfall!AV31</f>
        <v/>
      </c>
      <c r="AW46" s="19">
        <f>AW42+Funding!AW35-Waterfall!AW20-Waterfall!AW31</f>
        <v/>
      </c>
      <c r="AX46" s="19">
        <f>AX42+Funding!AX35-Waterfall!AX20-Waterfall!AX31</f>
        <v/>
      </c>
      <c r="AY46" s="19">
        <f>AY42+Funding!AY35-Waterfall!AY20-Waterfall!AY31</f>
        <v/>
      </c>
      <c r="AZ46" s="19">
        <f>AZ42+Funding!AZ35-Waterfall!AZ20-Waterfall!AZ31</f>
        <v/>
      </c>
      <c r="BA46" s="19">
        <f>BA42+Funding!BA35-Waterfall!BA20-Waterfall!BA31</f>
        <v/>
      </c>
      <c r="BB46" s="19">
        <f>BB42+Funding!BB35-Waterfall!BB20-Waterfall!BB31</f>
        <v/>
      </c>
      <c r="BC46" s="19">
        <f>BC42+Funding!BC35-Waterfall!BC20-Waterfall!BC31</f>
        <v/>
      </c>
      <c r="BD46" s="19">
        <f>BD42+Funding!BD35-Waterfall!BD20-Waterfall!BD31</f>
        <v/>
      </c>
      <c r="BE46" s="19">
        <f>BE42+Funding!BE35-Waterfall!BE20-Waterfall!BE31</f>
        <v/>
      </c>
      <c r="BF46" s="19">
        <f>BF42+Funding!BF35-Waterfall!BF20-Waterfall!BF31</f>
        <v/>
      </c>
      <c r="BG46" s="19">
        <f>BG42+Funding!BG35-Waterfall!BG20-Waterfall!BG31</f>
        <v/>
      </c>
      <c r="BH46" s="19">
        <f>BH42+Funding!BH35-Waterfall!BH20-Waterfall!BH31</f>
        <v/>
      </c>
      <c r="BI46" s="19">
        <f>BI42+Funding!BI35-Waterfall!BI20-Waterfall!BI31</f>
        <v/>
      </c>
      <c r="BJ46" s="19">
        <f>BJ42+Funding!BJ35-Waterfall!BJ20-Waterfall!BJ31</f>
        <v/>
      </c>
      <c r="BK46" s="19">
        <f>BK42+Funding!BK35-Waterfall!BK20-Waterfall!BK31</f>
        <v/>
      </c>
      <c r="BL46" s="19">
        <f>BL42+Funding!BL35-Waterfall!BL20-Waterfall!BL31</f>
        <v/>
      </c>
      <c r="BM46" s="19">
        <f>BM42+Funding!BM35-Waterfall!BM20-Waterfall!BM31</f>
        <v/>
      </c>
      <c r="BN46" s="19">
        <f>BN42+Funding!BN35-Waterfall!BN20-Waterfall!BN31</f>
        <v/>
      </c>
      <c r="BO46" s="19">
        <f>BO42+Funding!BO35-Waterfall!BO20-Waterfall!BO31</f>
        <v/>
      </c>
      <c r="BP46" s="19">
        <f>BP42+Funding!BP35-Waterfall!BP20-Waterfall!BP31</f>
        <v/>
      </c>
      <c r="BQ46" s="19">
        <f>BQ42+Funding!BQ35-Waterfall!BQ20-Waterfall!BQ31</f>
        <v/>
      </c>
      <c r="BR46" s="19">
        <f>BR42+Funding!BR35-Waterfall!BR20-Waterfall!BR31</f>
        <v/>
      </c>
      <c r="BS46" s="19">
        <f>BS42+Funding!BS35-Waterfall!BS20-Waterfall!BS31</f>
        <v/>
      </c>
      <c r="BT46" s="19">
        <f>BT42+Funding!BT35-Waterfall!BT20-Waterfall!BT31</f>
        <v/>
      </c>
      <c r="BU46" s="19">
        <f>BU42+Funding!BU35-Waterfall!BU20-Waterfall!BU31</f>
        <v/>
      </c>
      <c r="BV46" s="19">
        <f>BV42+Funding!BV35-Waterfall!BV20-Waterfall!BV31</f>
        <v/>
      </c>
      <c r="BW46" s="19">
        <f>BW42+Funding!BW35-Waterfall!BW20-Waterfall!BW31</f>
        <v/>
      </c>
      <c r="BX46" s="19">
        <f>BX42+Funding!BX35-Waterfall!BX20-Waterfall!BX31</f>
        <v/>
      </c>
      <c r="BY46" s="19">
        <f>BY42+Funding!BY35-Waterfall!BY20-Waterfall!BY31</f>
        <v/>
      </c>
      <c r="BZ46" s="19">
        <f>BZ42+Funding!BZ35-Waterfall!BZ20-Waterfall!BZ31</f>
        <v/>
      </c>
      <c r="CA46" s="19">
        <f>CA42+Funding!CA35-Waterfall!CA20-Waterfall!CA31</f>
        <v/>
      </c>
      <c r="CB46" s="19">
        <f>CB42+Funding!CB35-Waterfall!CB20-Waterfall!CB31</f>
        <v/>
      </c>
      <c r="CC46" s="19">
        <f>CC42+Funding!CC35-Waterfall!CC20-Waterfall!CC31</f>
        <v/>
      </c>
      <c r="CD46" s="19">
        <f>CD42+Funding!CD35-Waterfall!CD20-Waterfall!CD31</f>
        <v/>
      </c>
      <c r="CE46" s="19">
        <f>CE42+Funding!CE35-Waterfall!CE20-Waterfall!CE31</f>
        <v/>
      </c>
      <c r="CF46" s="19">
        <f>CF42+Funding!CF35-Waterfall!CF20-Waterfall!CF31</f>
        <v/>
      </c>
      <c r="CG46" s="19">
        <f>CG42+Funding!CG35-Waterfall!CG20-Waterfall!CG31</f>
        <v/>
      </c>
      <c r="CH46" s="19">
        <f>CH42+Funding!CH35-Waterfall!CH20-Waterfall!CH31</f>
        <v/>
      </c>
      <c r="CI46" s="19">
        <f>CI42+Funding!CI35-Waterfall!CI20-Waterfall!CI31</f>
        <v/>
      </c>
      <c r="CJ46" s="19">
        <f>CJ42+Funding!CJ35-Waterfall!CJ20-Waterfall!CJ31</f>
        <v/>
      </c>
      <c r="CK46" s="19">
        <f>CK42+Funding!CK35-Waterfall!CK20-Waterfall!CK31</f>
        <v/>
      </c>
      <c r="CL46" s="19">
        <f>CL42+Funding!CL35-Waterfall!CL20-Waterfall!CL31</f>
        <v/>
      </c>
      <c r="CM46" s="19">
        <f>CM42+Funding!CM35-Waterfall!CM20-Waterfall!CM31</f>
        <v/>
      </c>
      <c r="CN46" s="19">
        <f>CN42+Funding!CN35-Waterfall!CN20-Waterfall!CN31</f>
        <v/>
      </c>
      <c r="CO46" s="19">
        <f>CO42+Funding!CO35-Waterfall!CO20-Waterfall!CO31</f>
        <v/>
      </c>
      <c r="CP46" s="19">
        <f>CP42+Funding!CP35-Waterfall!CP20-Waterfall!CP31</f>
        <v/>
      </c>
      <c r="CQ46" s="19">
        <f>CQ42+Funding!CQ35-Waterfall!CQ20-Waterfall!CQ31</f>
        <v/>
      </c>
      <c r="CR46" s="19">
        <f>CR42+Funding!CR35-Waterfall!CR20-Waterfall!CR31</f>
        <v/>
      </c>
      <c r="CS46" s="19">
        <f>CS42+Funding!CS35-Waterfall!CS20-Waterfall!CS31</f>
        <v/>
      </c>
      <c r="CT46" s="19">
        <f>CT42+Funding!CT35-Waterfall!CT20-Waterfall!CT31</f>
        <v/>
      </c>
      <c r="CU46" s="19">
        <f>CU42+Funding!CU35-Waterfall!CU20-Waterfall!CU31</f>
        <v/>
      </c>
      <c r="CV46" s="19">
        <f>CV42+Funding!CV35-Waterfall!CV20-Waterfall!CV31</f>
        <v/>
      </c>
      <c r="CW46" s="19">
        <f>CW42+Funding!CW35-Waterfall!CW20-Waterfall!CW31</f>
        <v/>
      </c>
      <c r="CX46" s="19">
        <f>CX42+Funding!CX35-Waterfall!CX20-Waterfall!CX31</f>
        <v/>
      </c>
      <c r="CY46" s="19">
        <f>CY42+Funding!CY35-Waterfall!CY20-Waterfall!CY31</f>
        <v/>
      </c>
      <c r="CZ46" s="19">
        <f>CZ42+Funding!CZ35-Waterfall!CZ20-Waterfall!CZ31</f>
        <v/>
      </c>
      <c r="DA46" s="19">
        <f>DA42+Funding!DA35-Waterfall!DA20-Waterfall!DA31</f>
        <v/>
      </c>
      <c r="DB46" s="19">
        <f>DB42+Funding!DB35-Waterfall!DB20-Waterfall!DB31</f>
        <v/>
      </c>
    </row>
    <row r="47">
      <c r="D47" t="inlineStr">
        <is>
          <t>Closing balance</t>
        </is>
      </c>
      <c r="E47" t="inlineStr">
        <is>
          <t>ARD m</t>
        </is>
      </c>
      <c r="J47" s="19">
        <f>IF(Time!J35=1,0,J46)</f>
        <v/>
      </c>
      <c r="K47" s="19">
        <f>IF(Time!K35=1,0,K46)</f>
        <v/>
      </c>
      <c r="L47" s="19">
        <f>IF(Time!L35=1,0,L46)</f>
        <v/>
      </c>
      <c r="M47" s="19">
        <f>IF(Time!M35=1,0,M46)</f>
        <v/>
      </c>
      <c r="N47" s="19">
        <f>IF(Time!N35=1,0,N46)</f>
        <v/>
      </c>
      <c r="O47" s="19">
        <f>IF(Time!O35=1,0,O46)</f>
        <v/>
      </c>
      <c r="P47" s="19">
        <f>IF(Time!P35=1,0,P46)</f>
        <v/>
      </c>
      <c r="Q47" s="19">
        <f>IF(Time!Q35=1,0,Q46)</f>
        <v/>
      </c>
      <c r="R47" s="19">
        <f>IF(Time!R35=1,0,R46)</f>
        <v/>
      </c>
      <c r="S47" s="19">
        <f>IF(Time!S35=1,0,S46)</f>
        <v/>
      </c>
      <c r="T47" s="19">
        <f>IF(Time!T35=1,0,T46)</f>
        <v/>
      </c>
      <c r="U47" s="19">
        <f>IF(Time!U35=1,0,U46)</f>
        <v/>
      </c>
      <c r="V47" s="19">
        <f>IF(Time!V35=1,0,V46)</f>
        <v/>
      </c>
      <c r="W47" s="19">
        <f>IF(Time!W35=1,0,W46)</f>
        <v/>
      </c>
      <c r="X47" s="19">
        <f>IF(Time!X35=1,0,X46)</f>
        <v/>
      </c>
      <c r="Y47" s="19">
        <f>IF(Time!Y35=1,0,Y46)</f>
        <v/>
      </c>
      <c r="Z47" s="19">
        <f>IF(Time!Z35=1,0,Z46)</f>
        <v/>
      </c>
      <c r="AA47" s="19">
        <f>IF(Time!AA35=1,0,AA46)</f>
        <v/>
      </c>
      <c r="AB47" s="19">
        <f>IF(Time!AB35=1,0,AB46)</f>
        <v/>
      </c>
      <c r="AC47" s="19">
        <f>IF(Time!AC35=1,0,AC46)</f>
        <v/>
      </c>
      <c r="AD47" s="19">
        <f>IF(Time!AD35=1,0,AD46)</f>
        <v/>
      </c>
      <c r="AE47" s="19">
        <f>IF(Time!AE35=1,0,AE46)</f>
        <v/>
      </c>
      <c r="AF47" s="19">
        <f>IF(Time!AF35=1,0,AF46)</f>
        <v/>
      </c>
      <c r="AG47" s="19">
        <f>IF(Time!AG35=1,0,AG46)</f>
        <v/>
      </c>
      <c r="AH47" s="19">
        <f>IF(Time!AH35=1,0,AH46)</f>
        <v/>
      </c>
      <c r="AI47" s="19">
        <f>IF(Time!AI35=1,0,AI46)</f>
        <v/>
      </c>
      <c r="AJ47" s="19">
        <f>IF(Time!AJ35=1,0,AJ46)</f>
        <v/>
      </c>
      <c r="AK47" s="19">
        <f>IF(Time!AK35=1,0,AK46)</f>
        <v/>
      </c>
      <c r="AL47" s="19">
        <f>IF(Time!AL35=1,0,AL46)</f>
        <v/>
      </c>
      <c r="AM47" s="19">
        <f>IF(Time!AM35=1,0,AM46)</f>
        <v/>
      </c>
      <c r="AN47" s="19">
        <f>IF(Time!AN35=1,0,AN46)</f>
        <v/>
      </c>
      <c r="AO47" s="19">
        <f>IF(Time!AO35=1,0,AO46)</f>
        <v/>
      </c>
      <c r="AP47" s="19">
        <f>IF(Time!AP35=1,0,AP46)</f>
        <v/>
      </c>
      <c r="AQ47" s="19">
        <f>IF(Time!AQ35=1,0,AQ46)</f>
        <v/>
      </c>
      <c r="AR47" s="19">
        <f>IF(Time!AR35=1,0,AR46)</f>
        <v/>
      </c>
      <c r="AS47" s="19">
        <f>IF(Time!AS35=1,0,AS46)</f>
        <v/>
      </c>
      <c r="AT47" s="19">
        <f>IF(Time!AT35=1,0,AT46)</f>
        <v/>
      </c>
      <c r="AU47" s="19">
        <f>IF(Time!AU35=1,0,AU46)</f>
        <v/>
      </c>
      <c r="AV47" s="19">
        <f>IF(Time!AV35=1,0,AV46)</f>
        <v/>
      </c>
      <c r="AW47" s="19">
        <f>IF(Time!AW35=1,0,AW46)</f>
        <v/>
      </c>
      <c r="AX47" s="19">
        <f>IF(Time!AX35=1,0,AX46)</f>
        <v/>
      </c>
      <c r="AY47" s="19">
        <f>IF(Time!AY35=1,0,AY46)</f>
        <v/>
      </c>
      <c r="AZ47" s="19">
        <f>IF(Time!AZ35=1,0,AZ46)</f>
        <v/>
      </c>
      <c r="BA47" s="19">
        <f>IF(Time!BA35=1,0,BA46)</f>
        <v/>
      </c>
      <c r="BB47" s="19">
        <f>IF(Time!BB35=1,0,BB46)</f>
        <v/>
      </c>
      <c r="BC47" s="19">
        <f>IF(Time!BC35=1,0,BC46)</f>
        <v/>
      </c>
      <c r="BD47" s="19">
        <f>IF(Time!BD35=1,0,BD46)</f>
        <v/>
      </c>
      <c r="BE47" s="19">
        <f>IF(Time!BE35=1,0,BE46)</f>
        <v/>
      </c>
      <c r="BF47" s="19">
        <f>IF(Time!BF35=1,0,BF46)</f>
        <v/>
      </c>
      <c r="BG47" s="19">
        <f>IF(Time!BG35=1,0,BG46)</f>
        <v/>
      </c>
      <c r="BH47" s="19">
        <f>IF(Time!BH35=1,0,BH46)</f>
        <v/>
      </c>
      <c r="BI47" s="19">
        <f>IF(Time!BI35=1,0,BI46)</f>
        <v/>
      </c>
      <c r="BJ47" s="19">
        <f>IF(Time!BJ35=1,0,BJ46)</f>
        <v/>
      </c>
      <c r="BK47" s="19">
        <f>IF(Time!BK35=1,0,BK46)</f>
        <v/>
      </c>
      <c r="BL47" s="19">
        <f>IF(Time!BL35=1,0,BL46)</f>
        <v/>
      </c>
      <c r="BM47" s="19">
        <f>IF(Time!BM35=1,0,BM46)</f>
        <v/>
      </c>
      <c r="BN47" s="19">
        <f>IF(Time!BN35=1,0,BN46)</f>
        <v/>
      </c>
      <c r="BO47" s="19">
        <f>IF(Time!BO35=1,0,BO46)</f>
        <v/>
      </c>
      <c r="BP47" s="19">
        <f>IF(Time!BP35=1,0,BP46)</f>
        <v/>
      </c>
      <c r="BQ47" s="19">
        <f>IF(Time!BQ35=1,0,BQ46)</f>
        <v/>
      </c>
      <c r="BR47" s="19">
        <f>IF(Time!BR35=1,0,BR46)</f>
        <v/>
      </c>
      <c r="BS47" s="19">
        <f>IF(Time!BS35=1,0,BS46)</f>
        <v/>
      </c>
      <c r="BT47" s="19">
        <f>IF(Time!BT35=1,0,BT46)</f>
        <v/>
      </c>
      <c r="BU47" s="19">
        <f>IF(Time!BU35=1,0,BU46)</f>
        <v/>
      </c>
      <c r="BV47" s="19">
        <f>IF(Time!BV35=1,0,BV46)</f>
        <v/>
      </c>
      <c r="BW47" s="19">
        <f>IF(Time!BW35=1,0,BW46)</f>
        <v/>
      </c>
      <c r="BX47" s="19">
        <f>IF(Time!BX35=1,0,BX46)</f>
        <v/>
      </c>
      <c r="BY47" s="19">
        <f>IF(Time!BY35=1,0,BY46)</f>
        <v/>
      </c>
      <c r="BZ47" s="19">
        <f>IF(Time!BZ35=1,0,BZ46)</f>
        <v/>
      </c>
      <c r="CA47" s="19">
        <f>IF(Time!CA35=1,0,CA46)</f>
        <v/>
      </c>
      <c r="CB47" s="19">
        <f>IF(Time!CB35=1,0,CB46)</f>
        <v/>
      </c>
      <c r="CC47" s="19">
        <f>IF(Time!CC35=1,0,CC46)</f>
        <v/>
      </c>
      <c r="CD47" s="19">
        <f>IF(Time!CD35=1,0,CD46)</f>
        <v/>
      </c>
      <c r="CE47" s="19">
        <f>IF(Time!CE35=1,0,CE46)</f>
        <v/>
      </c>
      <c r="CF47" s="19">
        <f>IF(Time!CF35=1,0,CF46)</f>
        <v/>
      </c>
      <c r="CG47" s="19">
        <f>IF(Time!CG35=1,0,CG46)</f>
        <v/>
      </c>
      <c r="CH47" s="19">
        <f>IF(Time!CH35=1,0,CH46)</f>
        <v/>
      </c>
      <c r="CI47" s="19">
        <f>IF(Time!CI35=1,0,CI46)</f>
        <v/>
      </c>
      <c r="CJ47" s="19">
        <f>IF(Time!CJ35=1,0,CJ46)</f>
        <v/>
      </c>
      <c r="CK47" s="19">
        <f>IF(Time!CK35=1,0,CK46)</f>
        <v/>
      </c>
      <c r="CL47" s="19">
        <f>IF(Time!CL35=1,0,CL46)</f>
        <v/>
      </c>
      <c r="CM47" s="19">
        <f>IF(Time!CM35=1,0,CM46)</f>
        <v/>
      </c>
      <c r="CN47" s="19">
        <f>IF(Time!CN35=1,0,CN46)</f>
        <v/>
      </c>
      <c r="CO47" s="19">
        <f>IF(Time!CO35=1,0,CO46)</f>
        <v/>
      </c>
      <c r="CP47" s="19">
        <f>IF(Time!CP35=1,0,CP46)</f>
        <v/>
      </c>
      <c r="CQ47" s="19">
        <f>IF(Time!CQ35=1,0,CQ46)</f>
        <v/>
      </c>
      <c r="CR47" s="19">
        <f>IF(Time!CR35=1,0,CR46)</f>
        <v/>
      </c>
      <c r="CS47" s="19">
        <f>IF(Time!CS35=1,0,CS46)</f>
        <v/>
      </c>
      <c r="CT47" s="19">
        <f>IF(Time!CT35=1,0,CT46)</f>
        <v/>
      </c>
      <c r="CU47" s="19">
        <f>IF(Time!CU35=1,0,CU46)</f>
        <v/>
      </c>
      <c r="CV47" s="19">
        <f>IF(Time!CV35=1,0,CV46)</f>
        <v/>
      </c>
      <c r="CW47" s="19">
        <f>IF(Time!CW35=1,0,CW46)</f>
        <v/>
      </c>
      <c r="CX47" s="19">
        <f>IF(Time!CX35=1,0,CX46)</f>
        <v/>
      </c>
      <c r="CY47" s="19">
        <f>IF(Time!CY35=1,0,CY46)</f>
        <v/>
      </c>
      <c r="CZ47" s="19">
        <f>IF(Time!CZ35=1,0,CZ46)</f>
        <v/>
      </c>
      <c r="DA47" s="19">
        <f>IF(Time!DA35=1,0,DA46)</f>
        <v/>
      </c>
      <c r="DB47" s="19">
        <f>IF(Time!DB35=1,0,DB46)</f>
        <v/>
      </c>
    </row>
    <row r="48">
      <c r="D48" s="3" t="inlineStr">
        <is>
          <t>Revenue bonds</t>
        </is>
      </c>
    </row>
    <row r="49">
      <c r="D49" t="inlineStr">
        <is>
          <t>Opening balance</t>
        </is>
      </c>
      <c r="E49" t="inlineStr">
        <is>
          <t>ARD m</t>
        </is>
      </c>
      <c r="J49" s="19">
        <f>IF(Time!J6=1,Funding!$F$7,I54)</f>
        <v/>
      </c>
      <c r="K49" s="19">
        <f>IF(Time!K6=1,Funding!$F$7,J54)</f>
        <v/>
      </c>
      <c r="L49" s="19">
        <f>IF(Time!L6=1,Funding!$F$7,K54)</f>
        <v/>
      </c>
      <c r="M49" s="19">
        <f>IF(Time!M6=1,Funding!$F$7,L54)</f>
        <v/>
      </c>
      <c r="N49" s="19">
        <f>IF(Time!N6=1,Funding!$F$7,M54)</f>
        <v/>
      </c>
      <c r="O49" s="19">
        <f>IF(Time!O6=1,Funding!$F$7,N54)</f>
        <v/>
      </c>
      <c r="P49" s="19">
        <f>IF(Time!P6=1,Funding!$F$7,O54)</f>
        <v/>
      </c>
      <c r="Q49" s="19">
        <f>IF(Time!Q6=1,Funding!$F$7,P54)</f>
        <v/>
      </c>
      <c r="R49" s="19">
        <f>IF(Time!R6=1,Funding!$F$7,Q54)</f>
        <v/>
      </c>
      <c r="S49" s="19">
        <f>IF(Time!S6=1,Funding!$F$7,R54)</f>
        <v/>
      </c>
      <c r="T49" s="19">
        <f>IF(Time!T6=1,Funding!$F$7,S54)</f>
        <v/>
      </c>
      <c r="U49" s="19">
        <f>IF(Time!U6=1,Funding!$F$7,T54)</f>
        <v/>
      </c>
      <c r="V49" s="19">
        <f>IF(Time!V6=1,Funding!$F$7,U54)</f>
        <v/>
      </c>
      <c r="W49" s="19">
        <f>IF(Time!W6=1,Funding!$F$7,V54)</f>
        <v/>
      </c>
      <c r="X49" s="19">
        <f>IF(Time!X6=1,Funding!$F$7,W54)</f>
        <v/>
      </c>
      <c r="Y49" s="19">
        <f>IF(Time!Y6=1,Funding!$F$7,X54)</f>
        <v/>
      </c>
      <c r="Z49" s="19">
        <f>IF(Time!Z6=1,Funding!$F$7,Y54)</f>
        <v/>
      </c>
      <c r="AA49" s="19">
        <f>IF(Time!AA6=1,Funding!$F$7,Z54)</f>
        <v/>
      </c>
      <c r="AB49" s="19">
        <f>IF(Time!AB6=1,Funding!$F$7,AA54)</f>
        <v/>
      </c>
      <c r="AC49" s="19">
        <f>IF(Time!AC6=1,Funding!$F$7,AB54)</f>
        <v/>
      </c>
      <c r="AD49" s="19">
        <f>IF(Time!AD6=1,Funding!$F$7,AC54)</f>
        <v/>
      </c>
      <c r="AE49" s="19">
        <f>IF(Time!AE6=1,Funding!$F$7,AD54)</f>
        <v/>
      </c>
      <c r="AF49" s="19">
        <f>IF(Time!AF6=1,Funding!$F$7,AE54)</f>
        <v/>
      </c>
      <c r="AG49" s="19">
        <f>IF(Time!AG6=1,Funding!$F$7,AF54)</f>
        <v/>
      </c>
      <c r="AH49" s="19">
        <f>IF(Time!AH6=1,Funding!$F$7,AG54)</f>
        <v/>
      </c>
      <c r="AI49" s="19">
        <f>IF(Time!AI6=1,Funding!$F$7,AH54)</f>
        <v/>
      </c>
      <c r="AJ49" s="19">
        <f>IF(Time!AJ6=1,Funding!$F$7,AI54)</f>
        <v/>
      </c>
      <c r="AK49" s="19">
        <f>IF(Time!AK6=1,Funding!$F$7,AJ54)</f>
        <v/>
      </c>
      <c r="AL49" s="19">
        <f>IF(Time!AL6=1,Funding!$F$7,AK54)</f>
        <v/>
      </c>
      <c r="AM49" s="19">
        <f>IF(Time!AM6=1,Funding!$F$7,AL54)</f>
        <v/>
      </c>
      <c r="AN49" s="19">
        <f>IF(Time!AN6=1,Funding!$F$7,AM54)</f>
        <v/>
      </c>
      <c r="AO49" s="19">
        <f>IF(Time!AO6=1,Funding!$F$7,AN54)</f>
        <v/>
      </c>
      <c r="AP49" s="19">
        <f>IF(Time!AP6=1,Funding!$F$7,AO54)</f>
        <v/>
      </c>
      <c r="AQ49" s="19">
        <f>IF(Time!AQ6=1,Funding!$F$7,AP54)</f>
        <v/>
      </c>
      <c r="AR49" s="19">
        <f>IF(Time!AR6=1,Funding!$F$7,AQ54)</f>
        <v/>
      </c>
      <c r="AS49" s="19">
        <f>IF(Time!AS6=1,Funding!$F$7,AR54)</f>
        <v/>
      </c>
      <c r="AT49" s="19">
        <f>IF(Time!AT6=1,Funding!$F$7,AS54)</f>
        <v/>
      </c>
      <c r="AU49" s="19">
        <f>IF(Time!AU6=1,Funding!$F$7,AT54)</f>
        <v/>
      </c>
      <c r="AV49" s="19">
        <f>IF(Time!AV6=1,Funding!$F$7,AU54)</f>
        <v/>
      </c>
      <c r="AW49" s="19">
        <f>IF(Time!AW6=1,Funding!$F$7,AV54)</f>
        <v/>
      </c>
      <c r="AX49" s="19">
        <f>IF(Time!AX6=1,Funding!$F$7,AW54)</f>
        <v/>
      </c>
      <c r="AY49" s="19">
        <f>IF(Time!AY6=1,Funding!$F$7,AX54)</f>
        <v/>
      </c>
      <c r="AZ49" s="19">
        <f>IF(Time!AZ6=1,Funding!$F$7,AY54)</f>
        <v/>
      </c>
      <c r="BA49" s="19">
        <f>IF(Time!BA6=1,Funding!$F$7,AZ54)</f>
        <v/>
      </c>
      <c r="BB49" s="19">
        <f>IF(Time!BB6=1,Funding!$F$7,BA54)</f>
        <v/>
      </c>
      <c r="BC49" s="19">
        <f>IF(Time!BC6=1,Funding!$F$7,BB54)</f>
        <v/>
      </c>
      <c r="BD49" s="19">
        <f>IF(Time!BD6=1,Funding!$F$7,BC54)</f>
        <v/>
      </c>
      <c r="BE49" s="19">
        <f>IF(Time!BE6=1,Funding!$F$7,BD54)</f>
        <v/>
      </c>
      <c r="BF49" s="19">
        <f>IF(Time!BF6=1,Funding!$F$7,BE54)</f>
        <v/>
      </c>
      <c r="BG49" s="19">
        <f>IF(Time!BG6=1,Funding!$F$7,BF54)</f>
        <v/>
      </c>
      <c r="BH49" s="19">
        <f>IF(Time!BH6=1,Funding!$F$7,BG54)</f>
        <v/>
      </c>
      <c r="BI49" s="19">
        <f>IF(Time!BI6=1,Funding!$F$7,BH54)</f>
        <v/>
      </c>
      <c r="BJ49" s="19">
        <f>IF(Time!BJ6=1,Funding!$F$7,BI54)</f>
        <v/>
      </c>
      <c r="BK49" s="19">
        <f>IF(Time!BK6=1,Funding!$F$7,BJ54)</f>
        <v/>
      </c>
      <c r="BL49" s="19">
        <f>IF(Time!BL6=1,Funding!$F$7,BK54)</f>
        <v/>
      </c>
      <c r="BM49" s="19">
        <f>IF(Time!BM6=1,Funding!$F$7,BL54)</f>
        <v/>
      </c>
      <c r="BN49" s="19">
        <f>IF(Time!BN6=1,Funding!$F$7,BM54)</f>
        <v/>
      </c>
      <c r="BO49" s="19">
        <f>IF(Time!BO6=1,Funding!$F$7,BN54)</f>
        <v/>
      </c>
      <c r="BP49" s="19">
        <f>IF(Time!BP6=1,Funding!$F$7,BO54)</f>
        <v/>
      </c>
      <c r="BQ49" s="19">
        <f>IF(Time!BQ6=1,Funding!$F$7,BP54)</f>
        <v/>
      </c>
      <c r="BR49" s="19">
        <f>IF(Time!BR6=1,Funding!$F$7,BQ54)</f>
        <v/>
      </c>
      <c r="BS49" s="19">
        <f>IF(Time!BS6=1,Funding!$F$7,BR54)</f>
        <v/>
      </c>
      <c r="BT49" s="19">
        <f>IF(Time!BT6=1,Funding!$F$7,BS54)</f>
        <v/>
      </c>
      <c r="BU49" s="19">
        <f>IF(Time!BU6=1,Funding!$F$7,BT54)</f>
        <v/>
      </c>
      <c r="BV49" s="19">
        <f>IF(Time!BV6=1,Funding!$F$7,BU54)</f>
        <v/>
      </c>
      <c r="BW49" s="19">
        <f>IF(Time!BW6=1,Funding!$F$7,BV54)</f>
        <v/>
      </c>
      <c r="BX49" s="19">
        <f>IF(Time!BX6=1,Funding!$F$7,BW54)</f>
        <v/>
      </c>
      <c r="BY49" s="19">
        <f>IF(Time!BY6=1,Funding!$F$7,BX54)</f>
        <v/>
      </c>
      <c r="BZ49" s="19">
        <f>IF(Time!BZ6=1,Funding!$F$7,BY54)</f>
        <v/>
      </c>
      <c r="CA49" s="19">
        <f>IF(Time!CA6=1,Funding!$F$7,BZ54)</f>
        <v/>
      </c>
      <c r="CB49" s="19">
        <f>IF(Time!CB6=1,Funding!$F$7,CA54)</f>
        <v/>
      </c>
      <c r="CC49" s="19">
        <f>IF(Time!CC6=1,Funding!$F$7,CB54)</f>
        <v/>
      </c>
      <c r="CD49" s="19">
        <f>IF(Time!CD6=1,Funding!$F$7,CC54)</f>
        <v/>
      </c>
      <c r="CE49" s="19">
        <f>IF(Time!CE6=1,Funding!$F$7,CD54)</f>
        <v/>
      </c>
      <c r="CF49" s="19">
        <f>IF(Time!CF6=1,Funding!$F$7,CE54)</f>
        <v/>
      </c>
      <c r="CG49" s="19">
        <f>IF(Time!CG6=1,Funding!$F$7,CF54)</f>
        <v/>
      </c>
      <c r="CH49" s="19">
        <f>IF(Time!CH6=1,Funding!$F$7,CG54)</f>
        <v/>
      </c>
      <c r="CI49" s="19">
        <f>IF(Time!CI6=1,Funding!$F$7,CH54)</f>
        <v/>
      </c>
      <c r="CJ49" s="19">
        <f>IF(Time!CJ6=1,Funding!$F$7,CI54)</f>
        <v/>
      </c>
      <c r="CK49" s="19">
        <f>IF(Time!CK6=1,Funding!$F$7,CJ54)</f>
        <v/>
      </c>
      <c r="CL49" s="19">
        <f>IF(Time!CL6=1,Funding!$F$7,CK54)</f>
        <v/>
      </c>
      <c r="CM49" s="19">
        <f>IF(Time!CM6=1,Funding!$F$7,CL54)</f>
        <v/>
      </c>
      <c r="CN49" s="19">
        <f>IF(Time!CN6=1,Funding!$F$7,CM54)</f>
        <v/>
      </c>
      <c r="CO49" s="19">
        <f>IF(Time!CO6=1,Funding!$F$7,CN54)</f>
        <v/>
      </c>
      <c r="CP49" s="19">
        <f>IF(Time!CP6=1,Funding!$F$7,CO54)</f>
        <v/>
      </c>
      <c r="CQ49" s="19">
        <f>IF(Time!CQ6=1,Funding!$F$7,CP54)</f>
        <v/>
      </c>
      <c r="CR49" s="19">
        <f>IF(Time!CR6=1,Funding!$F$7,CQ54)</f>
        <v/>
      </c>
      <c r="CS49" s="19">
        <f>IF(Time!CS6=1,Funding!$F$7,CR54)</f>
        <v/>
      </c>
      <c r="CT49" s="19">
        <f>IF(Time!CT6=1,Funding!$F$7,CS54)</f>
        <v/>
      </c>
      <c r="CU49" s="19">
        <f>IF(Time!CU6=1,Funding!$F$7,CT54)</f>
        <v/>
      </c>
      <c r="CV49" s="19">
        <f>IF(Time!CV6=1,Funding!$F$7,CU54)</f>
        <v/>
      </c>
      <c r="CW49" s="19">
        <f>IF(Time!CW6=1,Funding!$F$7,CV54)</f>
        <v/>
      </c>
      <c r="CX49" s="19">
        <f>IF(Time!CX6=1,Funding!$F$7,CW54)</f>
        <v/>
      </c>
      <c r="CY49" s="19">
        <f>IF(Time!CY6=1,Funding!$F$7,CX54)</f>
        <v/>
      </c>
      <c r="CZ49" s="19">
        <f>IF(Time!CZ6=1,Funding!$F$7,CY54)</f>
        <v/>
      </c>
      <c r="DA49" s="19">
        <f>IF(Time!DA6=1,Funding!$F$7,CZ54)</f>
        <v/>
      </c>
      <c r="DB49" s="19">
        <f>IF(Time!DB6=1,Funding!$F$7,DA54)</f>
        <v/>
      </c>
    </row>
    <row r="50">
      <c r="D50" t="inlineStr">
        <is>
          <t>Interest (30/360)</t>
        </is>
      </c>
      <c r="E50" t="inlineStr">
        <is>
          <t>ARD m</t>
        </is>
      </c>
      <c r="G50" s="19">
        <f>SUM(J50:DB50)</f>
        <v/>
      </c>
      <c r="J50" s="19">
        <f>J49*Inputs!$F$111*Time!J10/Inputs!$F$47</f>
        <v/>
      </c>
      <c r="K50" s="19">
        <f>K49*Inputs!$F$111*Time!K10/Inputs!$F$47</f>
        <v/>
      </c>
      <c r="L50" s="19">
        <f>L49*Inputs!$F$111*Time!L10/Inputs!$F$47</f>
        <v/>
      </c>
      <c r="M50" s="19">
        <f>M49*Inputs!$F$111*Time!M10/Inputs!$F$47</f>
        <v/>
      </c>
      <c r="N50" s="19">
        <f>N49*Inputs!$F$111*Time!N10/Inputs!$F$47</f>
        <v/>
      </c>
      <c r="O50" s="19">
        <f>O49*Inputs!$F$111*Time!O10/Inputs!$F$47</f>
        <v/>
      </c>
      <c r="P50" s="19">
        <f>P49*Inputs!$F$111*Time!P10/Inputs!$F$47</f>
        <v/>
      </c>
      <c r="Q50" s="19">
        <f>Q49*Inputs!$F$111*Time!Q10/Inputs!$F$47</f>
        <v/>
      </c>
      <c r="R50" s="19">
        <f>R49*Inputs!$F$111*Time!R10/Inputs!$F$47</f>
        <v/>
      </c>
      <c r="S50" s="19">
        <f>S49*Inputs!$F$111*Time!S10/Inputs!$F$47</f>
        <v/>
      </c>
      <c r="T50" s="19">
        <f>T49*Inputs!$F$111*Time!T10/Inputs!$F$47</f>
        <v/>
      </c>
      <c r="U50" s="19">
        <f>U49*Inputs!$F$111*Time!U10/Inputs!$F$47</f>
        <v/>
      </c>
      <c r="V50" s="19">
        <f>V49*Inputs!$F$111*Time!V10/Inputs!$F$47</f>
        <v/>
      </c>
      <c r="W50" s="19">
        <f>W49*Inputs!$F$111*Time!W10/Inputs!$F$47</f>
        <v/>
      </c>
      <c r="X50" s="19">
        <f>X49*Inputs!$F$111*Time!X10/Inputs!$F$47</f>
        <v/>
      </c>
      <c r="Y50" s="19">
        <f>Y49*Inputs!$F$111*Time!Y10/Inputs!$F$47</f>
        <v/>
      </c>
      <c r="Z50" s="19">
        <f>Z49*Inputs!$F$111*Time!Z10/Inputs!$F$47</f>
        <v/>
      </c>
      <c r="AA50" s="19">
        <f>AA49*Inputs!$F$111*Time!AA10/Inputs!$F$47</f>
        <v/>
      </c>
      <c r="AB50" s="19">
        <f>AB49*Inputs!$F$111*Time!AB10/Inputs!$F$47</f>
        <v/>
      </c>
      <c r="AC50" s="19">
        <f>AC49*Inputs!$F$111*Time!AC10/Inputs!$F$47</f>
        <v/>
      </c>
      <c r="AD50" s="19">
        <f>AD49*Inputs!$F$111*Time!AD10/Inputs!$F$47</f>
        <v/>
      </c>
      <c r="AE50" s="19">
        <f>AE49*Inputs!$F$111*Time!AE10/Inputs!$F$47</f>
        <v/>
      </c>
      <c r="AF50" s="19">
        <f>AF49*Inputs!$F$111*Time!AF10/Inputs!$F$47</f>
        <v/>
      </c>
      <c r="AG50" s="19">
        <f>AG49*Inputs!$F$111*Time!AG10/Inputs!$F$47</f>
        <v/>
      </c>
      <c r="AH50" s="19">
        <f>AH49*Inputs!$F$111*Time!AH10/Inputs!$F$47</f>
        <v/>
      </c>
      <c r="AI50" s="19">
        <f>AI49*Inputs!$F$111*Time!AI10/Inputs!$F$47</f>
        <v/>
      </c>
      <c r="AJ50" s="19">
        <f>AJ49*Inputs!$F$111*Time!AJ10/Inputs!$F$47</f>
        <v/>
      </c>
      <c r="AK50" s="19">
        <f>AK49*Inputs!$F$111*Time!AK10/Inputs!$F$47</f>
        <v/>
      </c>
      <c r="AL50" s="19">
        <f>AL49*Inputs!$F$111*Time!AL10/Inputs!$F$47</f>
        <v/>
      </c>
      <c r="AM50" s="19">
        <f>AM49*Inputs!$F$111*Time!AM10/Inputs!$F$47</f>
        <v/>
      </c>
      <c r="AN50" s="19">
        <f>AN49*Inputs!$F$111*Time!AN10/Inputs!$F$47</f>
        <v/>
      </c>
      <c r="AO50" s="19">
        <f>AO49*Inputs!$F$111*Time!AO10/Inputs!$F$47</f>
        <v/>
      </c>
      <c r="AP50" s="19">
        <f>AP49*Inputs!$F$111*Time!AP10/Inputs!$F$47</f>
        <v/>
      </c>
      <c r="AQ50" s="19">
        <f>AQ49*Inputs!$F$111*Time!AQ10/Inputs!$F$47</f>
        <v/>
      </c>
      <c r="AR50" s="19">
        <f>AR49*Inputs!$F$111*Time!AR10/Inputs!$F$47</f>
        <v/>
      </c>
      <c r="AS50" s="19">
        <f>AS49*Inputs!$F$111*Time!AS10/Inputs!$F$47</f>
        <v/>
      </c>
      <c r="AT50" s="19">
        <f>AT49*Inputs!$F$111*Time!AT10/Inputs!$F$47</f>
        <v/>
      </c>
      <c r="AU50" s="19">
        <f>AU49*Inputs!$F$111*Time!AU10/Inputs!$F$47</f>
        <v/>
      </c>
      <c r="AV50" s="19">
        <f>AV49*Inputs!$F$111*Time!AV10/Inputs!$F$47</f>
        <v/>
      </c>
      <c r="AW50" s="19">
        <f>AW49*Inputs!$F$111*Time!AW10/Inputs!$F$47</f>
        <v/>
      </c>
      <c r="AX50" s="19">
        <f>AX49*Inputs!$F$111*Time!AX10/Inputs!$F$47</f>
        <v/>
      </c>
      <c r="AY50" s="19">
        <f>AY49*Inputs!$F$111*Time!AY10/Inputs!$F$47</f>
        <v/>
      </c>
      <c r="AZ50" s="19">
        <f>AZ49*Inputs!$F$111*Time!AZ10/Inputs!$F$47</f>
        <v/>
      </c>
      <c r="BA50" s="19">
        <f>BA49*Inputs!$F$111*Time!BA10/Inputs!$F$47</f>
        <v/>
      </c>
      <c r="BB50" s="19">
        <f>BB49*Inputs!$F$111*Time!BB10/Inputs!$F$47</f>
        <v/>
      </c>
      <c r="BC50" s="19">
        <f>BC49*Inputs!$F$111*Time!BC10/Inputs!$F$47</f>
        <v/>
      </c>
      <c r="BD50" s="19">
        <f>BD49*Inputs!$F$111*Time!BD10/Inputs!$F$47</f>
        <v/>
      </c>
      <c r="BE50" s="19">
        <f>BE49*Inputs!$F$111*Time!BE10/Inputs!$F$47</f>
        <v/>
      </c>
      <c r="BF50" s="19">
        <f>BF49*Inputs!$F$111*Time!BF10/Inputs!$F$47</f>
        <v/>
      </c>
      <c r="BG50" s="19">
        <f>BG49*Inputs!$F$111*Time!BG10/Inputs!$F$47</f>
        <v/>
      </c>
      <c r="BH50" s="19">
        <f>BH49*Inputs!$F$111*Time!BH10/Inputs!$F$47</f>
        <v/>
      </c>
      <c r="BI50" s="19">
        <f>BI49*Inputs!$F$111*Time!BI10/Inputs!$F$47</f>
        <v/>
      </c>
      <c r="BJ50" s="19">
        <f>BJ49*Inputs!$F$111*Time!BJ10/Inputs!$F$47</f>
        <v/>
      </c>
      <c r="BK50" s="19">
        <f>BK49*Inputs!$F$111*Time!BK10/Inputs!$F$47</f>
        <v/>
      </c>
      <c r="BL50" s="19">
        <f>BL49*Inputs!$F$111*Time!BL10/Inputs!$F$47</f>
        <v/>
      </c>
      <c r="BM50" s="19">
        <f>BM49*Inputs!$F$111*Time!BM10/Inputs!$F$47</f>
        <v/>
      </c>
      <c r="BN50" s="19">
        <f>BN49*Inputs!$F$111*Time!BN10/Inputs!$F$47</f>
        <v/>
      </c>
      <c r="BO50" s="19">
        <f>BO49*Inputs!$F$111*Time!BO10/Inputs!$F$47</f>
        <v/>
      </c>
      <c r="BP50" s="19">
        <f>BP49*Inputs!$F$111*Time!BP10/Inputs!$F$47</f>
        <v/>
      </c>
      <c r="BQ50" s="19">
        <f>BQ49*Inputs!$F$111*Time!BQ10/Inputs!$F$47</f>
        <v/>
      </c>
      <c r="BR50" s="19">
        <f>BR49*Inputs!$F$111*Time!BR10/Inputs!$F$47</f>
        <v/>
      </c>
      <c r="BS50" s="19">
        <f>BS49*Inputs!$F$111*Time!BS10/Inputs!$F$47</f>
        <v/>
      </c>
      <c r="BT50" s="19">
        <f>BT49*Inputs!$F$111*Time!BT10/Inputs!$F$47</f>
        <v/>
      </c>
      <c r="BU50" s="19">
        <f>BU49*Inputs!$F$111*Time!BU10/Inputs!$F$47</f>
        <v/>
      </c>
      <c r="BV50" s="19">
        <f>BV49*Inputs!$F$111*Time!BV10/Inputs!$F$47</f>
        <v/>
      </c>
      <c r="BW50" s="19">
        <f>BW49*Inputs!$F$111*Time!BW10/Inputs!$F$47</f>
        <v/>
      </c>
      <c r="BX50" s="19">
        <f>BX49*Inputs!$F$111*Time!BX10/Inputs!$F$47</f>
        <v/>
      </c>
      <c r="BY50" s="19">
        <f>BY49*Inputs!$F$111*Time!BY10/Inputs!$F$47</f>
        <v/>
      </c>
      <c r="BZ50" s="19">
        <f>BZ49*Inputs!$F$111*Time!BZ10/Inputs!$F$47</f>
        <v/>
      </c>
      <c r="CA50" s="19">
        <f>CA49*Inputs!$F$111*Time!CA10/Inputs!$F$47</f>
        <v/>
      </c>
      <c r="CB50" s="19">
        <f>CB49*Inputs!$F$111*Time!CB10/Inputs!$F$47</f>
        <v/>
      </c>
      <c r="CC50" s="19">
        <f>CC49*Inputs!$F$111*Time!CC10/Inputs!$F$47</f>
        <v/>
      </c>
      <c r="CD50" s="19">
        <f>CD49*Inputs!$F$111*Time!CD10/Inputs!$F$47</f>
        <v/>
      </c>
      <c r="CE50" s="19">
        <f>CE49*Inputs!$F$111*Time!CE10/Inputs!$F$47</f>
        <v/>
      </c>
      <c r="CF50" s="19">
        <f>CF49*Inputs!$F$111*Time!CF10/Inputs!$F$47</f>
        <v/>
      </c>
      <c r="CG50" s="19">
        <f>CG49*Inputs!$F$111*Time!CG10/Inputs!$F$47</f>
        <v/>
      </c>
      <c r="CH50" s="19">
        <f>CH49*Inputs!$F$111*Time!CH10/Inputs!$F$47</f>
        <v/>
      </c>
      <c r="CI50" s="19">
        <f>CI49*Inputs!$F$111*Time!CI10/Inputs!$F$47</f>
        <v/>
      </c>
      <c r="CJ50" s="19">
        <f>CJ49*Inputs!$F$111*Time!CJ10/Inputs!$F$47</f>
        <v/>
      </c>
      <c r="CK50" s="19">
        <f>CK49*Inputs!$F$111*Time!CK10/Inputs!$F$47</f>
        <v/>
      </c>
      <c r="CL50" s="19">
        <f>CL49*Inputs!$F$111*Time!CL10/Inputs!$F$47</f>
        <v/>
      </c>
      <c r="CM50" s="19">
        <f>CM49*Inputs!$F$111*Time!CM10/Inputs!$F$47</f>
        <v/>
      </c>
      <c r="CN50" s="19">
        <f>CN49*Inputs!$F$111*Time!CN10/Inputs!$F$47</f>
        <v/>
      </c>
      <c r="CO50" s="19">
        <f>CO49*Inputs!$F$111*Time!CO10/Inputs!$F$47</f>
        <v/>
      </c>
      <c r="CP50" s="19">
        <f>CP49*Inputs!$F$111*Time!CP10/Inputs!$F$47</f>
        <v/>
      </c>
      <c r="CQ50" s="19">
        <f>CQ49*Inputs!$F$111*Time!CQ10/Inputs!$F$47</f>
        <v/>
      </c>
      <c r="CR50" s="19">
        <f>CR49*Inputs!$F$111*Time!CR10/Inputs!$F$47</f>
        <v/>
      </c>
      <c r="CS50" s="19">
        <f>CS49*Inputs!$F$111*Time!CS10/Inputs!$F$47</f>
        <v/>
      </c>
      <c r="CT50" s="19">
        <f>CT49*Inputs!$F$111*Time!CT10/Inputs!$F$47</f>
        <v/>
      </c>
      <c r="CU50" s="19">
        <f>CU49*Inputs!$F$111*Time!CU10/Inputs!$F$47</f>
        <v/>
      </c>
      <c r="CV50" s="19">
        <f>CV49*Inputs!$F$111*Time!CV10/Inputs!$F$47</f>
        <v/>
      </c>
      <c r="CW50" s="19">
        <f>CW49*Inputs!$F$111*Time!CW10/Inputs!$F$47</f>
        <v/>
      </c>
      <c r="CX50" s="19">
        <f>CX49*Inputs!$F$111*Time!CX10/Inputs!$F$47</f>
        <v/>
      </c>
      <c r="CY50" s="19">
        <f>CY49*Inputs!$F$111*Time!CY10/Inputs!$F$47</f>
        <v/>
      </c>
      <c r="CZ50" s="19">
        <f>CZ49*Inputs!$F$111*Time!CZ10/Inputs!$F$47</f>
        <v/>
      </c>
      <c r="DA50" s="19">
        <f>DA49*Inputs!$F$111*Time!DA10/Inputs!$F$47</f>
        <v/>
      </c>
      <c r="DB50" s="19">
        <f>DB49*Inputs!$F$111*Time!DB10/Inputs!$F$47</f>
        <v/>
      </c>
    </row>
    <row r="51">
      <c r="D51" t="inlineStr">
        <is>
          <t>Interest due from operations</t>
        </is>
      </c>
      <c r="E51" t="inlineStr">
        <is>
          <t>ARD m</t>
        </is>
      </c>
      <c r="G51" s="19">
        <f>SUM(J51:DB51)</f>
        <v/>
      </c>
      <c r="J51" s="19">
        <f>J50*(1-Time!J20)</f>
        <v/>
      </c>
      <c r="K51" s="19">
        <f>K50*(1-Time!K20)</f>
        <v/>
      </c>
      <c r="L51" s="19">
        <f>L50*(1-Time!L20)</f>
        <v/>
      </c>
      <c r="M51" s="19">
        <f>M50*(1-Time!M20)</f>
        <v/>
      </c>
      <c r="N51" s="19">
        <f>N50*(1-Time!N20)</f>
        <v/>
      </c>
      <c r="O51" s="19">
        <f>O50*(1-Time!O20)</f>
        <v/>
      </c>
      <c r="P51" s="19">
        <f>P50*(1-Time!P20)</f>
        <v/>
      </c>
      <c r="Q51" s="19">
        <f>Q50*(1-Time!Q20)</f>
        <v/>
      </c>
      <c r="R51" s="19">
        <f>R50*(1-Time!R20)</f>
        <v/>
      </c>
      <c r="S51" s="19">
        <f>S50*(1-Time!S20)</f>
        <v/>
      </c>
      <c r="T51" s="19">
        <f>T50*(1-Time!T20)</f>
        <v/>
      </c>
      <c r="U51" s="19">
        <f>U50*(1-Time!U20)</f>
        <v/>
      </c>
      <c r="V51" s="19">
        <f>V50*(1-Time!V20)</f>
        <v/>
      </c>
      <c r="W51" s="19">
        <f>W50*(1-Time!W20)</f>
        <v/>
      </c>
      <c r="X51" s="19">
        <f>X50*(1-Time!X20)</f>
        <v/>
      </c>
      <c r="Y51" s="19">
        <f>Y50*(1-Time!Y20)</f>
        <v/>
      </c>
      <c r="Z51" s="19">
        <f>Z50*(1-Time!Z20)</f>
        <v/>
      </c>
      <c r="AA51" s="19">
        <f>AA50*(1-Time!AA20)</f>
        <v/>
      </c>
      <c r="AB51" s="19">
        <f>AB50*(1-Time!AB20)</f>
        <v/>
      </c>
      <c r="AC51" s="19">
        <f>AC50*(1-Time!AC20)</f>
        <v/>
      </c>
      <c r="AD51" s="19">
        <f>AD50*(1-Time!AD20)</f>
        <v/>
      </c>
      <c r="AE51" s="19">
        <f>AE50*(1-Time!AE20)</f>
        <v/>
      </c>
      <c r="AF51" s="19">
        <f>AF50*(1-Time!AF20)</f>
        <v/>
      </c>
      <c r="AG51" s="19">
        <f>AG50*(1-Time!AG20)</f>
        <v/>
      </c>
      <c r="AH51" s="19">
        <f>AH50*(1-Time!AH20)</f>
        <v/>
      </c>
      <c r="AI51" s="19">
        <f>AI50*(1-Time!AI20)</f>
        <v/>
      </c>
      <c r="AJ51" s="19">
        <f>AJ50*(1-Time!AJ20)</f>
        <v/>
      </c>
      <c r="AK51" s="19">
        <f>AK50*(1-Time!AK20)</f>
        <v/>
      </c>
      <c r="AL51" s="19">
        <f>AL50*(1-Time!AL20)</f>
        <v/>
      </c>
      <c r="AM51" s="19">
        <f>AM50*(1-Time!AM20)</f>
        <v/>
      </c>
      <c r="AN51" s="19">
        <f>AN50*(1-Time!AN20)</f>
        <v/>
      </c>
      <c r="AO51" s="19">
        <f>AO50*(1-Time!AO20)</f>
        <v/>
      </c>
      <c r="AP51" s="19">
        <f>AP50*(1-Time!AP20)</f>
        <v/>
      </c>
      <c r="AQ51" s="19">
        <f>AQ50*(1-Time!AQ20)</f>
        <v/>
      </c>
      <c r="AR51" s="19">
        <f>AR50*(1-Time!AR20)</f>
        <v/>
      </c>
      <c r="AS51" s="19">
        <f>AS50*(1-Time!AS20)</f>
        <v/>
      </c>
      <c r="AT51" s="19">
        <f>AT50*(1-Time!AT20)</f>
        <v/>
      </c>
      <c r="AU51" s="19">
        <f>AU50*(1-Time!AU20)</f>
        <v/>
      </c>
      <c r="AV51" s="19">
        <f>AV50*(1-Time!AV20)</f>
        <v/>
      </c>
      <c r="AW51" s="19">
        <f>AW50*(1-Time!AW20)</f>
        <v/>
      </c>
      <c r="AX51" s="19">
        <f>AX50*(1-Time!AX20)</f>
        <v/>
      </c>
      <c r="AY51" s="19">
        <f>AY50*(1-Time!AY20)</f>
        <v/>
      </c>
      <c r="AZ51" s="19">
        <f>AZ50*(1-Time!AZ20)</f>
        <v/>
      </c>
      <c r="BA51" s="19">
        <f>BA50*(1-Time!BA20)</f>
        <v/>
      </c>
      <c r="BB51" s="19">
        <f>BB50*(1-Time!BB20)</f>
        <v/>
      </c>
      <c r="BC51" s="19">
        <f>BC50*(1-Time!BC20)</f>
        <v/>
      </c>
      <c r="BD51" s="19">
        <f>BD50*(1-Time!BD20)</f>
        <v/>
      </c>
      <c r="BE51" s="19">
        <f>BE50*(1-Time!BE20)</f>
        <v/>
      </c>
      <c r="BF51" s="19">
        <f>BF50*(1-Time!BF20)</f>
        <v/>
      </c>
      <c r="BG51" s="19">
        <f>BG50*(1-Time!BG20)</f>
        <v/>
      </c>
      <c r="BH51" s="19">
        <f>BH50*(1-Time!BH20)</f>
        <v/>
      </c>
      <c r="BI51" s="19">
        <f>BI50*(1-Time!BI20)</f>
        <v/>
      </c>
      <c r="BJ51" s="19">
        <f>BJ50*(1-Time!BJ20)</f>
        <v/>
      </c>
      <c r="BK51" s="19">
        <f>BK50*(1-Time!BK20)</f>
        <v/>
      </c>
      <c r="BL51" s="19">
        <f>BL50*(1-Time!BL20)</f>
        <v/>
      </c>
      <c r="BM51" s="19">
        <f>BM50*(1-Time!BM20)</f>
        <v/>
      </c>
      <c r="BN51" s="19">
        <f>BN50*(1-Time!BN20)</f>
        <v/>
      </c>
      <c r="BO51" s="19">
        <f>BO50*(1-Time!BO20)</f>
        <v/>
      </c>
      <c r="BP51" s="19">
        <f>BP50*(1-Time!BP20)</f>
        <v/>
      </c>
      <c r="BQ51" s="19">
        <f>BQ50*(1-Time!BQ20)</f>
        <v/>
      </c>
      <c r="BR51" s="19">
        <f>BR50*(1-Time!BR20)</f>
        <v/>
      </c>
      <c r="BS51" s="19">
        <f>BS50*(1-Time!BS20)</f>
        <v/>
      </c>
      <c r="BT51" s="19">
        <f>BT50*(1-Time!BT20)</f>
        <v/>
      </c>
      <c r="BU51" s="19">
        <f>BU50*(1-Time!BU20)</f>
        <v/>
      </c>
      <c r="BV51" s="19">
        <f>BV50*(1-Time!BV20)</f>
        <v/>
      </c>
      <c r="BW51" s="19">
        <f>BW50*(1-Time!BW20)</f>
        <v/>
      </c>
      <c r="BX51" s="19">
        <f>BX50*(1-Time!BX20)</f>
        <v/>
      </c>
      <c r="BY51" s="19">
        <f>BY50*(1-Time!BY20)</f>
        <v/>
      </c>
      <c r="BZ51" s="19">
        <f>BZ50*(1-Time!BZ20)</f>
        <v/>
      </c>
      <c r="CA51" s="19">
        <f>CA50*(1-Time!CA20)</f>
        <v/>
      </c>
      <c r="CB51" s="19">
        <f>CB50*(1-Time!CB20)</f>
        <v/>
      </c>
      <c r="CC51" s="19">
        <f>CC50*(1-Time!CC20)</f>
        <v/>
      </c>
      <c r="CD51" s="19">
        <f>CD50*(1-Time!CD20)</f>
        <v/>
      </c>
      <c r="CE51" s="19">
        <f>CE50*(1-Time!CE20)</f>
        <v/>
      </c>
      <c r="CF51" s="19">
        <f>CF50*(1-Time!CF20)</f>
        <v/>
      </c>
      <c r="CG51" s="19">
        <f>CG50*(1-Time!CG20)</f>
        <v/>
      </c>
      <c r="CH51" s="19">
        <f>CH50*(1-Time!CH20)</f>
        <v/>
      </c>
      <c r="CI51" s="19">
        <f>CI50*(1-Time!CI20)</f>
        <v/>
      </c>
      <c r="CJ51" s="19">
        <f>CJ50*(1-Time!CJ20)</f>
        <v/>
      </c>
      <c r="CK51" s="19">
        <f>CK50*(1-Time!CK20)</f>
        <v/>
      </c>
      <c r="CL51" s="19">
        <f>CL50*(1-Time!CL20)</f>
        <v/>
      </c>
      <c r="CM51" s="19">
        <f>CM50*(1-Time!CM20)</f>
        <v/>
      </c>
      <c r="CN51" s="19">
        <f>CN50*(1-Time!CN20)</f>
        <v/>
      </c>
      <c r="CO51" s="19">
        <f>CO50*(1-Time!CO20)</f>
        <v/>
      </c>
      <c r="CP51" s="19">
        <f>CP50*(1-Time!CP20)</f>
        <v/>
      </c>
      <c r="CQ51" s="19">
        <f>CQ50*(1-Time!CQ20)</f>
        <v/>
      </c>
      <c r="CR51" s="19">
        <f>CR50*(1-Time!CR20)</f>
        <v/>
      </c>
      <c r="CS51" s="19">
        <f>CS50*(1-Time!CS20)</f>
        <v/>
      </c>
      <c r="CT51" s="19">
        <f>CT50*(1-Time!CT20)</f>
        <v/>
      </c>
      <c r="CU51" s="19">
        <f>CU50*(1-Time!CU20)</f>
        <v/>
      </c>
      <c r="CV51" s="19">
        <f>CV50*(1-Time!CV20)</f>
        <v/>
      </c>
      <c r="CW51" s="19">
        <f>CW50*(1-Time!CW20)</f>
        <v/>
      </c>
      <c r="CX51" s="19">
        <f>CX50*(1-Time!CX20)</f>
        <v/>
      </c>
      <c r="CY51" s="19">
        <f>CY50*(1-Time!CY20)</f>
        <v/>
      </c>
      <c r="CZ51" s="19">
        <f>CZ50*(1-Time!CZ20)</f>
        <v/>
      </c>
      <c r="DA51" s="19">
        <f>DA50*(1-Time!DA20)</f>
        <v/>
      </c>
      <c r="DB51" s="19">
        <f>DB50*(1-Time!DB20)</f>
        <v/>
      </c>
    </row>
    <row r="52">
      <c r="D52" t="inlineStr">
        <is>
          <t>Principal due</t>
        </is>
      </c>
      <c r="E52" t="inlineStr">
        <is>
          <t>ARD m</t>
        </is>
      </c>
      <c r="G52" s="19">
        <f>SUM(J52:DB52)</f>
        <v/>
      </c>
      <c r="J52" s="19">
        <f>IF(OR(Time!J20=1,Time!J34=1,Time!J23=1),0,MIN(Inputs!$F$98*J40,J49))</f>
        <v/>
      </c>
      <c r="K52" s="19">
        <f>IF(OR(Time!K20=1,Time!K34=1,Time!K23=1),0,MIN(Inputs!$F$98*K40,K49))</f>
        <v/>
      </c>
      <c r="L52" s="19">
        <f>IF(OR(Time!L20=1,Time!L34=1,Time!L23=1),0,MIN(Inputs!$F$98*L40,L49))</f>
        <v/>
      </c>
      <c r="M52" s="19">
        <f>IF(OR(Time!M20=1,Time!M34=1,Time!M23=1),0,MIN(Inputs!$F$98*M40,M49))</f>
        <v/>
      </c>
      <c r="N52" s="19">
        <f>IF(OR(Time!N20=1,Time!N34=1,Time!N23=1),0,MIN(Inputs!$F$98*N40,N49))</f>
        <v/>
      </c>
      <c r="O52" s="19">
        <f>IF(OR(Time!O20=1,Time!O34=1,Time!O23=1),0,MIN(Inputs!$F$98*O40,O49))</f>
        <v/>
      </c>
      <c r="P52" s="19">
        <f>IF(OR(Time!P20=1,Time!P34=1,Time!P23=1),0,MIN(Inputs!$F$98*P40,P49))</f>
        <v/>
      </c>
      <c r="Q52" s="19">
        <f>IF(OR(Time!Q20=1,Time!Q34=1,Time!Q23=1),0,MIN(Inputs!$F$98*Q40,Q49))</f>
        <v/>
      </c>
      <c r="R52" s="19">
        <f>IF(OR(Time!R20=1,Time!R34=1,Time!R23=1),0,MIN(Inputs!$F$98*R40,R49))</f>
        <v/>
      </c>
      <c r="S52" s="19">
        <f>IF(OR(Time!S20=1,Time!S34=1,Time!S23=1),0,MIN(Inputs!$F$98*S40,S49))</f>
        <v/>
      </c>
      <c r="T52" s="19">
        <f>IF(OR(Time!T20=1,Time!T34=1,Time!T23=1),0,MIN(Inputs!$F$98*T40,T49))</f>
        <v/>
      </c>
      <c r="U52" s="19">
        <f>IF(OR(Time!U20=1,Time!U34=1,Time!U23=1),0,MIN(Inputs!$F$98*U40,U49))</f>
        <v/>
      </c>
      <c r="V52" s="19">
        <f>IF(OR(Time!V20=1,Time!V34=1,Time!V23=1),0,MIN(Inputs!$F$98*V40,V49))</f>
        <v/>
      </c>
      <c r="W52" s="19">
        <f>IF(OR(Time!W20=1,Time!W34=1,Time!W23=1),0,MIN(Inputs!$F$98*W40,W49))</f>
        <v/>
      </c>
      <c r="X52" s="19">
        <f>IF(OR(Time!X20=1,Time!X34=1,Time!X23=1),0,MIN(Inputs!$F$98*X40,X49))</f>
        <v/>
      </c>
      <c r="Y52" s="19">
        <f>IF(OR(Time!Y20=1,Time!Y34=1,Time!Y23=1),0,MIN(Inputs!$F$98*Y40,Y49))</f>
        <v/>
      </c>
      <c r="Z52" s="19">
        <f>IF(OR(Time!Z20=1,Time!Z34=1,Time!Z23=1),0,MIN(Inputs!$F$98*Z40,Z49))</f>
        <v/>
      </c>
      <c r="AA52" s="19">
        <f>IF(OR(Time!AA20=1,Time!AA34=1,Time!AA23=1),0,MIN(Inputs!$F$98*AA40,AA49))</f>
        <v/>
      </c>
      <c r="AB52" s="19">
        <f>IF(OR(Time!AB20=1,Time!AB34=1,Time!AB23=1),0,MIN(Inputs!$F$98*AB40,AB49))</f>
        <v/>
      </c>
      <c r="AC52" s="19">
        <f>IF(OR(Time!AC20=1,Time!AC34=1,Time!AC23=1),0,MIN(Inputs!$F$98*AC40,AC49))</f>
        <v/>
      </c>
      <c r="AD52" s="19">
        <f>IF(OR(Time!AD20=1,Time!AD34=1,Time!AD23=1),0,MIN(Inputs!$F$98*AD40,AD49))</f>
        <v/>
      </c>
      <c r="AE52" s="19">
        <f>IF(OR(Time!AE20=1,Time!AE34=1,Time!AE23=1),0,MIN(Inputs!$F$98*AE40,AE49))</f>
        <v/>
      </c>
      <c r="AF52" s="19">
        <f>IF(OR(Time!AF20=1,Time!AF34=1,Time!AF23=1),0,MIN(Inputs!$F$98*AF40,AF49))</f>
        <v/>
      </c>
      <c r="AG52" s="19">
        <f>IF(OR(Time!AG20=1,Time!AG34=1,Time!AG23=1),0,MIN(Inputs!$F$98*AG40,AG49))</f>
        <v/>
      </c>
      <c r="AH52" s="19">
        <f>IF(OR(Time!AH20=1,Time!AH34=1,Time!AH23=1),0,MIN(Inputs!$F$98*AH40,AH49))</f>
        <v/>
      </c>
      <c r="AI52" s="19">
        <f>IF(OR(Time!AI20=1,Time!AI34=1,Time!AI23=1),0,MIN(Inputs!$F$98*AI40,AI49))</f>
        <v/>
      </c>
      <c r="AJ52" s="19">
        <f>IF(OR(Time!AJ20=1,Time!AJ34=1,Time!AJ23=1),0,MIN(Inputs!$F$98*AJ40,AJ49))</f>
        <v/>
      </c>
      <c r="AK52" s="19">
        <f>IF(OR(Time!AK20=1,Time!AK34=1,Time!AK23=1),0,MIN(Inputs!$F$98*AK40,AK49))</f>
        <v/>
      </c>
      <c r="AL52" s="19">
        <f>IF(OR(Time!AL20=1,Time!AL34=1,Time!AL23=1),0,MIN(Inputs!$F$98*AL40,AL49))</f>
        <v/>
      </c>
      <c r="AM52" s="19">
        <f>IF(OR(Time!AM20=1,Time!AM34=1,Time!AM23=1),0,MIN(Inputs!$F$98*AM40,AM49))</f>
        <v/>
      </c>
      <c r="AN52" s="19">
        <f>IF(OR(Time!AN20=1,Time!AN34=1,Time!AN23=1),0,MIN(Inputs!$F$98*AN40,AN49))</f>
        <v/>
      </c>
      <c r="AO52" s="19">
        <f>IF(OR(Time!AO20=1,Time!AO34=1,Time!AO23=1),0,MIN(Inputs!$F$98*AO40,AO49))</f>
        <v/>
      </c>
      <c r="AP52" s="19">
        <f>IF(OR(Time!AP20=1,Time!AP34=1,Time!AP23=1),0,MIN(Inputs!$F$98*AP40,AP49))</f>
        <v/>
      </c>
      <c r="AQ52" s="19">
        <f>IF(OR(Time!AQ20=1,Time!AQ34=1,Time!AQ23=1),0,MIN(Inputs!$F$98*AQ40,AQ49))</f>
        <v/>
      </c>
      <c r="AR52" s="19">
        <f>IF(OR(Time!AR20=1,Time!AR34=1,Time!AR23=1),0,MIN(Inputs!$F$98*AR40,AR49))</f>
        <v/>
      </c>
      <c r="AS52" s="19">
        <f>IF(OR(Time!AS20=1,Time!AS34=1,Time!AS23=1),0,MIN(Inputs!$F$98*AS40,AS49))</f>
        <v/>
      </c>
      <c r="AT52" s="19">
        <f>IF(OR(Time!AT20=1,Time!AT34=1,Time!AT23=1),0,MIN(Inputs!$F$98*AT40,AT49))</f>
        <v/>
      </c>
      <c r="AU52" s="19">
        <f>IF(OR(Time!AU20=1,Time!AU34=1,Time!AU23=1),0,MIN(Inputs!$F$98*AU40,AU49))</f>
        <v/>
      </c>
      <c r="AV52" s="19">
        <f>IF(OR(Time!AV20=1,Time!AV34=1,Time!AV23=1),0,MIN(Inputs!$F$98*AV40,AV49))</f>
        <v/>
      </c>
      <c r="AW52" s="19">
        <f>IF(OR(Time!AW20=1,Time!AW34=1,Time!AW23=1),0,MIN(Inputs!$F$98*AW40,AW49))</f>
        <v/>
      </c>
      <c r="AX52" s="19">
        <f>IF(OR(Time!AX20=1,Time!AX34=1,Time!AX23=1),0,MIN(Inputs!$F$98*AX40,AX49))</f>
        <v/>
      </c>
      <c r="AY52" s="19">
        <f>IF(OR(Time!AY20=1,Time!AY34=1,Time!AY23=1),0,MIN(Inputs!$F$98*AY40,AY49))</f>
        <v/>
      </c>
      <c r="AZ52" s="19">
        <f>IF(OR(Time!AZ20=1,Time!AZ34=1,Time!AZ23=1),0,MIN(Inputs!$F$98*AZ40,AZ49))</f>
        <v/>
      </c>
      <c r="BA52" s="19">
        <f>IF(OR(Time!BA20=1,Time!BA34=1,Time!BA23=1),0,MIN(Inputs!$F$98*BA40,BA49))</f>
        <v/>
      </c>
      <c r="BB52" s="19">
        <f>IF(OR(Time!BB20=1,Time!BB34=1,Time!BB23=1),0,MIN(Inputs!$F$98*BB40,BB49))</f>
        <v/>
      </c>
      <c r="BC52" s="19">
        <f>IF(OR(Time!BC20=1,Time!BC34=1,Time!BC23=1),0,MIN(Inputs!$F$98*BC40,BC49))</f>
        <v/>
      </c>
      <c r="BD52" s="19">
        <f>IF(OR(Time!BD20=1,Time!BD34=1,Time!BD23=1),0,MIN(Inputs!$F$98*BD40,BD49))</f>
        <v/>
      </c>
      <c r="BE52" s="19">
        <f>IF(OR(Time!BE20=1,Time!BE34=1,Time!BE23=1),0,MIN(Inputs!$F$98*BE40,BE49))</f>
        <v/>
      </c>
      <c r="BF52" s="19">
        <f>IF(OR(Time!BF20=1,Time!BF34=1,Time!BF23=1),0,MIN(Inputs!$F$98*BF40,BF49))</f>
        <v/>
      </c>
      <c r="BG52" s="19">
        <f>IF(OR(Time!BG20=1,Time!BG34=1,Time!BG23=1),0,MIN(Inputs!$F$98*BG40,BG49))</f>
        <v/>
      </c>
      <c r="BH52" s="19">
        <f>IF(OR(Time!BH20=1,Time!BH34=1,Time!BH23=1),0,MIN(Inputs!$F$98*BH40,BH49))</f>
        <v/>
      </c>
      <c r="BI52" s="19">
        <f>IF(OR(Time!BI20=1,Time!BI34=1,Time!BI23=1),0,MIN(Inputs!$F$98*BI40,BI49))</f>
        <v/>
      </c>
      <c r="BJ52" s="19">
        <f>IF(OR(Time!BJ20=1,Time!BJ34=1,Time!BJ23=1),0,MIN(Inputs!$F$98*BJ40,BJ49))</f>
        <v/>
      </c>
      <c r="BK52" s="19">
        <f>IF(OR(Time!BK20=1,Time!BK34=1,Time!BK23=1),0,MIN(Inputs!$F$98*BK40,BK49))</f>
        <v/>
      </c>
      <c r="BL52" s="19">
        <f>IF(OR(Time!BL20=1,Time!BL34=1,Time!BL23=1),0,MIN(Inputs!$F$98*BL40,BL49))</f>
        <v/>
      </c>
      <c r="BM52" s="19">
        <f>IF(OR(Time!BM20=1,Time!BM34=1,Time!BM23=1),0,MIN(Inputs!$F$98*BM40,BM49))</f>
        <v/>
      </c>
      <c r="BN52" s="19">
        <f>IF(OR(Time!BN20=1,Time!BN34=1,Time!BN23=1),0,MIN(Inputs!$F$98*BN40,BN49))</f>
        <v/>
      </c>
      <c r="BO52" s="19">
        <f>IF(OR(Time!BO20=1,Time!BO34=1,Time!BO23=1),0,MIN(Inputs!$F$98*BO40,BO49))</f>
        <v/>
      </c>
      <c r="BP52" s="19">
        <f>IF(OR(Time!BP20=1,Time!BP34=1,Time!BP23=1),0,MIN(Inputs!$F$98*BP40,BP49))</f>
        <v/>
      </c>
      <c r="BQ52" s="19">
        <f>IF(OR(Time!BQ20=1,Time!BQ34=1,Time!BQ23=1),0,MIN(Inputs!$F$98*BQ40,BQ49))</f>
        <v/>
      </c>
      <c r="BR52" s="19">
        <f>IF(OR(Time!BR20=1,Time!BR34=1,Time!BR23=1),0,MIN(Inputs!$F$98*BR40,BR49))</f>
        <v/>
      </c>
      <c r="BS52" s="19">
        <f>IF(OR(Time!BS20=1,Time!BS34=1,Time!BS23=1),0,MIN(Inputs!$F$98*BS40,BS49))</f>
        <v/>
      </c>
      <c r="BT52" s="19">
        <f>IF(OR(Time!BT20=1,Time!BT34=1,Time!BT23=1),0,MIN(Inputs!$F$98*BT40,BT49))</f>
        <v/>
      </c>
      <c r="BU52" s="19">
        <f>IF(OR(Time!BU20=1,Time!BU34=1,Time!BU23=1),0,MIN(Inputs!$F$98*BU40,BU49))</f>
        <v/>
      </c>
      <c r="BV52" s="19">
        <f>IF(OR(Time!BV20=1,Time!BV34=1,Time!BV23=1),0,MIN(Inputs!$F$98*BV40,BV49))</f>
        <v/>
      </c>
      <c r="BW52" s="19">
        <f>IF(OR(Time!BW20=1,Time!BW34=1,Time!BW23=1),0,MIN(Inputs!$F$98*BW40,BW49))</f>
        <v/>
      </c>
      <c r="BX52" s="19">
        <f>IF(OR(Time!BX20=1,Time!BX34=1,Time!BX23=1),0,MIN(Inputs!$F$98*BX40,BX49))</f>
        <v/>
      </c>
      <c r="BY52" s="19">
        <f>IF(OR(Time!BY20=1,Time!BY34=1,Time!BY23=1),0,MIN(Inputs!$F$98*BY40,BY49))</f>
        <v/>
      </c>
      <c r="BZ52" s="19">
        <f>IF(OR(Time!BZ20=1,Time!BZ34=1,Time!BZ23=1),0,MIN(Inputs!$F$98*BZ40,BZ49))</f>
        <v/>
      </c>
      <c r="CA52" s="19">
        <f>IF(OR(Time!CA20=1,Time!CA34=1,Time!CA23=1),0,MIN(Inputs!$F$98*CA40,CA49))</f>
        <v/>
      </c>
      <c r="CB52" s="19">
        <f>IF(OR(Time!CB20=1,Time!CB34=1,Time!CB23=1),0,MIN(Inputs!$F$98*CB40,CB49))</f>
        <v/>
      </c>
      <c r="CC52" s="19">
        <f>IF(OR(Time!CC20=1,Time!CC34=1,Time!CC23=1),0,MIN(Inputs!$F$98*CC40,CC49))</f>
        <v/>
      </c>
      <c r="CD52" s="19">
        <f>IF(OR(Time!CD20=1,Time!CD34=1,Time!CD23=1),0,MIN(Inputs!$F$98*CD40,CD49))</f>
        <v/>
      </c>
      <c r="CE52" s="19">
        <f>IF(OR(Time!CE20=1,Time!CE34=1,Time!CE23=1),0,MIN(Inputs!$F$98*CE40,CE49))</f>
        <v/>
      </c>
      <c r="CF52" s="19">
        <f>IF(OR(Time!CF20=1,Time!CF34=1,Time!CF23=1),0,MIN(Inputs!$F$98*CF40,CF49))</f>
        <v/>
      </c>
      <c r="CG52" s="19">
        <f>IF(OR(Time!CG20=1,Time!CG34=1,Time!CG23=1),0,MIN(Inputs!$F$98*CG40,CG49))</f>
        <v/>
      </c>
      <c r="CH52" s="19">
        <f>IF(OR(Time!CH20=1,Time!CH34=1,Time!CH23=1),0,MIN(Inputs!$F$98*CH40,CH49))</f>
        <v/>
      </c>
      <c r="CI52" s="19">
        <f>IF(OR(Time!CI20=1,Time!CI34=1,Time!CI23=1),0,MIN(Inputs!$F$98*CI40,CI49))</f>
        <v/>
      </c>
      <c r="CJ52" s="19">
        <f>IF(OR(Time!CJ20=1,Time!CJ34=1,Time!CJ23=1),0,MIN(Inputs!$F$98*CJ40,CJ49))</f>
        <v/>
      </c>
      <c r="CK52" s="19">
        <f>IF(OR(Time!CK20=1,Time!CK34=1,Time!CK23=1),0,MIN(Inputs!$F$98*CK40,CK49))</f>
        <v/>
      </c>
      <c r="CL52" s="19">
        <f>IF(OR(Time!CL20=1,Time!CL34=1,Time!CL23=1),0,MIN(Inputs!$F$98*CL40,CL49))</f>
        <v/>
      </c>
      <c r="CM52" s="19">
        <f>IF(OR(Time!CM20=1,Time!CM34=1,Time!CM23=1),0,MIN(Inputs!$F$98*CM40,CM49))</f>
        <v/>
      </c>
      <c r="CN52" s="19">
        <f>IF(OR(Time!CN20=1,Time!CN34=1,Time!CN23=1),0,MIN(Inputs!$F$98*CN40,CN49))</f>
        <v/>
      </c>
      <c r="CO52" s="19">
        <f>IF(OR(Time!CO20=1,Time!CO34=1,Time!CO23=1),0,MIN(Inputs!$F$98*CO40,CO49))</f>
        <v/>
      </c>
      <c r="CP52" s="19">
        <f>IF(OR(Time!CP20=1,Time!CP34=1,Time!CP23=1),0,MIN(Inputs!$F$98*CP40,CP49))</f>
        <v/>
      </c>
      <c r="CQ52" s="19">
        <f>IF(OR(Time!CQ20=1,Time!CQ34=1,Time!CQ23=1),0,MIN(Inputs!$F$98*CQ40,CQ49))</f>
        <v/>
      </c>
      <c r="CR52" s="19">
        <f>IF(OR(Time!CR20=1,Time!CR34=1,Time!CR23=1),0,MIN(Inputs!$F$98*CR40,CR49))</f>
        <v/>
      </c>
      <c r="CS52" s="19">
        <f>IF(OR(Time!CS20=1,Time!CS34=1,Time!CS23=1),0,MIN(Inputs!$F$98*CS40,CS49))</f>
        <v/>
      </c>
      <c r="CT52" s="19">
        <f>IF(OR(Time!CT20=1,Time!CT34=1,Time!CT23=1),0,MIN(Inputs!$F$98*CT40,CT49))</f>
        <v/>
      </c>
      <c r="CU52" s="19">
        <f>IF(OR(Time!CU20=1,Time!CU34=1,Time!CU23=1),0,MIN(Inputs!$F$98*CU40,CU49))</f>
        <v/>
      </c>
      <c r="CV52" s="19">
        <f>IF(OR(Time!CV20=1,Time!CV34=1,Time!CV23=1),0,MIN(Inputs!$F$98*CV40,CV49))</f>
        <v/>
      </c>
      <c r="CW52" s="19">
        <f>IF(OR(Time!CW20=1,Time!CW34=1,Time!CW23=1),0,MIN(Inputs!$F$98*CW40,CW49))</f>
        <v/>
      </c>
      <c r="CX52" s="19">
        <f>IF(OR(Time!CX20=1,Time!CX34=1,Time!CX23=1),0,MIN(Inputs!$F$98*CX40,CX49))</f>
        <v/>
      </c>
      <c r="CY52" s="19">
        <f>IF(OR(Time!CY20=1,Time!CY34=1,Time!CY23=1),0,MIN(Inputs!$F$98*CY40,CY49))</f>
        <v/>
      </c>
      <c r="CZ52" s="19">
        <f>IF(OR(Time!CZ20=1,Time!CZ34=1,Time!CZ23=1),0,MIN(Inputs!$F$98*CZ40,CZ49))</f>
        <v/>
      </c>
      <c r="DA52" s="19">
        <f>IF(OR(Time!DA20=1,Time!DA34=1,Time!DA23=1),0,MIN(Inputs!$F$98*DA40,DA49))</f>
        <v/>
      </c>
      <c r="DB52" s="19">
        <f>IF(OR(Time!DB20=1,Time!DB34=1,Time!DB23=1),0,MIN(Inputs!$F$98*DB40,DB49))</f>
        <v/>
      </c>
    </row>
    <row r="53">
      <c r="D53" t="inlineStr">
        <is>
          <t>Closing balance before restructuring</t>
        </is>
      </c>
      <c r="E53" t="inlineStr">
        <is>
          <t>ARD m</t>
        </is>
      </c>
      <c r="J53" s="19">
        <f>J49-Waterfall!J21-Waterfall!J32</f>
        <v/>
      </c>
      <c r="K53" s="19">
        <f>K49-Waterfall!K21-Waterfall!K32</f>
        <v/>
      </c>
      <c r="L53" s="19">
        <f>L49-Waterfall!L21-Waterfall!L32</f>
        <v/>
      </c>
      <c r="M53" s="19">
        <f>M49-Waterfall!M21-Waterfall!M32</f>
        <v/>
      </c>
      <c r="N53" s="19">
        <f>N49-Waterfall!N21-Waterfall!N32</f>
        <v/>
      </c>
      <c r="O53" s="19">
        <f>O49-Waterfall!O21-Waterfall!O32</f>
        <v/>
      </c>
      <c r="P53" s="19">
        <f>P49-Waterfall!P21-Waterfall!P32</f>
        <v/>
      </c>
      <c r="Q53" s="19">
        <f>Q49-Waterfall!Q21-Waterfall!Q32</f>
        <v/>
      </c>
      <c r="R53" s="19">
        <f>R49-Waterfall!R21-Waterfall!R32</f>
        <v/>
      </c>
      <c r="S53" s="19">
        <f>S49-Waterfall!S21-Waterfall!S32</f>
        <v/>
      </c>
      <c r="T53" s="19">
        <f>T49-Waterfall!T21-Waterfall!T32</f>
        <v/>
      </c>
      <c r="U53" s="19">
        <f>U49-Waterfall!U21-Waterfall!U32</f>
        <v/>
      </c>
      <c r="V53" s="19">
        <f>V49-Waterfall!V21-Waterfall!V32</f>
        <v/>
      </c>
      <c r="W53" s="19">
        <f>W49-Waterfall!W21-Waterfall!W32</f>
        <v/>
      </c>
      <c r="X53" s="19">
        <f>X49-Waterfall!X21-Waterfall!X32</f>
        <v/>
      </c>
      <c r="Y53" s="19">
        <f>Y49-Waterfall!Y21-Waterfall!Y32</f>
        <v/>
      </c>
      <c r="Z53" s="19">
        <f>Z49-Waterfall!Z21-Waterfall!Z32</f>
        <v/>
      </c>
      <c r="AA53" s="19">
        <f>AA49-Waterfall!AA21-Waterfall!AA32</f>
        <v/>
      </c>
      <c r="AB53" s="19">
        <f>AB49-Waterfall!AB21-Waterfall!AB32</f>
        <v/>
      </c>
      <c r="AC53" s="19">
        <f>AC49-Waterfall!AC21-Waterfall!AC32</f>
        <v/>
      </c>
      <c r="AD53" s="19">
        <f>AD49-Waterfall!AD21-Waterfall!AD32</f>
        <v/>
      </c>
      <c r="AE53" s="19">
        <f>AE49-Waterfall!AE21-Waterfall!AE32</f>
        <v/>
      </c>
      <c r="AF53" s="19">
        <f>AF49-Waterfall!AF21-Waterfall!AF32</f>
        <v/>
      </c>
      <c r="AG53" s="19">
        <f>AG49-Waterfall!AG21-Waterfall!AG32</f>
        <v/>
      </c>
      <c r="AH53" s="19">
        <f>AH49-Waterfall!AH21-Waterfall!AH32</f>
        <v/>
      </c>
      <c r="AI53" s="19">
        <f>AI49-Waterfall!AI21-Waterfall!AI32</f>
        <v/>
      </c>
      <c r="AJ53" s="19">
        <f>AJ49-Waterfall!AJ21-Waterfall!AJ32</f>
        <v/>
      </c>
      <c r="AK53" s="19">
        <f>AK49-Waterfall!AK21-Waterfall!AK32</f>
        <v/>
      </c>
      <c r="AL53" s="19">
        <f>AL49-Waterfall!AL21-Waterfall!AL32</f>
        <v/>
      </c>
      <c r="AM53" s="19">
        <f>AM49-Waterfall!AM21-Waterfall!AM32</f>
        <v/>
      </c>
      <c r="AN53" s="19">
        <f>AN49-Waterfall!AN21-Waterfall!AN32</f>
        <v/>
      </c>
      <c r="AO53" s="19">
        <f>AO49-Waterfall!AO21-Waterfall!AO32</f>
        <v/>
      </c>
      <c r="AP53" s="19">
        <f>AP49-Waterfall!AP21-Waterfall!AP32</f>
        <v/>
      </c>
      <c r="AQ53" s="19">
        <f>AQ49-Waterfall!AQ21-Waterfall!AQ32</f>
        <v/>
      </c>
      <c r="AR53" s="19">
        <f>AR49-Waterfall!AR21-Waterfall!AR32</f>
        <v/>
      </c>
      <c r="AS53" s="19">
        <f>AS49-Waterfall!AS21-Waterfall!AS32</f>
        <v/>
      </c>
      <c r="AT53" s="19">
        <f>AT49-Waterfall!AT21-Waterfall!AT32</f>
        <v/>
      </c>
      <c r="AU53" s="19">
        <f>AU49-Waterfall!AU21-Waterfall!AU32</f>
        <v/>
      </c>
      <c r="AV53" s="19">
        <f>AV49-Waterfall!AV21-Waterfall!AV32</f>
        <v/>
      </c>
      <c r="AW53" s="19">
        <f>AW49-Waterfall!AW21-Waterfall!AW32</f>
        <v/>
      </c>
      <c r="AX53" s="19">
        <f>AX49-Waterfall!AX21-Waterfall!AX32</f>
        <v/>
      </c>
      <c r="AY53" s="19">
        <f>AY49-Waterfall!AY21-Waterfall!AY32</f>
        <v/>
      </c>
      <c r="AZ53" s="19">
        <f>AZ49-Waterfall!AZ21-Waterfall!AZ32</f>
        <v/>
      </c>
      <c r="BA53" s="19">
        <f>BA49-Waterfall!BA21-Waterfall!BA32</f>
        <v/>
      </c>
      <c r="BB53" s="19">
        <f>BB49-Waterfall!BB21-Waterfall!BB32</f>
        <v/>
      </c>
      <c r="BC53" s="19">
        <f>BC49-Waterfall!BC21-Waterfall!BC32</f>
        <v/>
      </c>
      <c r="BD53" s="19">
        <f>BD49-Waterfall!BD21-Waterfall!BD32</f>
        <v/>
      </c>
      <c r="BE53" s="19">
        <f>BE49-Waterfall!BE21-Waterfall!BE32</f>
        <v/>
      </c>
      <c r="BF53" s="19">
        <f>BF49-Waterfall!BF21-Waterfall!BF32</f>
        <v/>
      </c>
      <c r="BG53" s="19">
        <f>BG49-Waterfall!BG21-Waterfall!BG32</f>
        <v/>
      </c>
      <c r="BH53" s="19">
        <f>BH49-Waterfall!BH21-Waterfall!BH32</f>
        <v/>
      </c>
      <c r="BI53" s="19">
        <f>BI49-Waterfall!BI21-Waterfall!BI32</f>
        <v/>
      </c>
      <c r="BJ53" s="19">
        <f>BJ49-Waterfall!BJ21-Waterfall!BJ32</f>
        <v/>
      </c>
      <c r="BK53" s="19">
        <f>BK49-Waterfall!BK21-Waterfall!BK32</f>
        <v/>
      </c>
      <c r="BL53" s="19">
        <f>BL49-Waterfall!BL21-Waterfall!BL32</f>
        <v/>
      </c>
      <c r="BM53" s="19">
        <f>BM49-Waterfall!BM21-Waterfall!BM32</f>
        <v/>
      </c>
      <c r="BN53" s="19">
        <f>BN49-Waterfall!BN21-Waterfall!BN32</f>
        <v/>
      </c>
      <c r="BO53" s="19">
        <f>BO49-Waterfall!BO21-Waterfall!BO32</f>
        <v/>
      </c>
      <c r="BP53" s="19">
        <f>BP49-Waterfall!BP21-Waterfall!BP32</f>
        <v/>
      </c>
      <c r="BQ53" s="19">
        <f>BQ49-Waterfall!BQ21-Waterfall!BQ32</f>
        <v/>
      </c>
      <c r="BR53" s="19">
        <f>BR49-Waterfall!BR21-Waterfall!BR32</f>
        <v/>
      </c>
      <c r="BS53" s="19">
        <f>BS49-Waterfall!BS21-Waterfall!BS32</f>
        <v/>
      </c>
      <c r="BT53" s="19">
        <f>BT49-Waterfall!BT21-Waterfall!BT32</f>
        <v/>
      </c>
      <c r="BU53" s="19">
        <f>BU49-Waterfall!BU21-Waterfall!BU32</f>
        <v/>
      </c>
      <c r="BV53" s="19">
        <f>BV49-Waterfall!BV21-Waterfall!BV32</f>
        <v/>
      </c>
      <c r="BW53" s="19">
        <f>BW49-Waterfall!BW21-Waterfall!BW32</f>
        <v/>
      </c>
      <c r="BX53" s="19">
        <f>BX49-Waterfall!BX21-Waterfall!BX32</f>
        <v/>
      </c>
      <c r="BY53" s="19">
        <f>BY49-Waterfall!BY21-Waterfall!BY32</f>
        <v/>
      </c>
      <c r="BZ53" s="19">
        <f>BZ49-Waterfall!BZ21-Waterfall!BZ32</f>
        <v/>
      </c>
      <c r="CA53" s="19">
        <f>CA49-Waterfall!CA21-Waterfall!CA32</f>
        <v/>
      </c>
      <c r="CB53" s="19">
        <f>CB49-Waterfall!CB21-Waterfall!CB32</f>
        <v/>
      </c>
      <c r="CC53" s="19">
        <f>CC49-Waterfall!CC21-Waterfall!CC32</f>
        <v/>
      </c>
      <c r="CD53" s="19">
        <f>CD49-Waterfall!CD21-Waterfall!CD32</f>
        <v/>
      </c>
      <c r="CE53" s="19">
        <f>CE49-Waterfall!CE21-Waterfall!CE32</f>
        <v/>
      </c>
      <c r="CF53" s="19">
        <f>CF49-Waterfall!CF21-Waterfall!CF32</f>
        <v/>
      </c>
      <c r="CG53" s="19">
        <f>CG49-Waterfall!CG21-Waterfall!CG32</f>
        <v/>
      </c>
      <c r="CH53" s="19">
        <f>CH49-Waterfall!CH21-Waterfall!CH32</f>
        <v/>
      </c>
      <c r="CI53" s="19">
        <f>CI49-Waterfall!CI21-Waterfall!CI32</f>
        <v/>
      </c>
      <c r="CJ53" s="19">
        <f>CJ49-Waterfall!CJ21-Waterfall!CJ32</f>
        <v/>
      </c>
      <c r="CK53" s="19">
        <f>CK49-Waterfall!CK21-Waterfall!CK32</f>
        <v/>
      </c>
      <c r="CL53" s="19">
        <f>CL49-Waterfall!CL21-Waterfall!CL32</f>
        <v/>
      </c>
      <c r="CM53" s="19">
        <f>CM49-Waterfall!CM21-Waterfall!CM32</f>
        <v/>
      </c>
      <c r="CN53" s="19">
        <f>CN49-Waterfall!CN21-Waterfall!CN32</f>
        <v/>
      </c>
      <c r="CO53" s="19">
        <f>CO49-Waterfall!CO21-Waterfall!CO32</f>
        <v/>
      </c>
      <c r="CP53" s="19">
        <f>CP49-Waterfall!CP21-Waterfall!CP32</f>
        <v/>
      </c>
      <c r="CQ53" s="19">
        <f>CQ49-Waterfall!CQ21-Waterfall!CQ32</f>
        <v/>
      </c>
      <c r="CR53" s="19">
        <f>CR49-Waterfall!CR21-Waterfall!CR32</f>
        <v/>
      </c>
      <c r="CS53" s="19">
        <f>CS49-Waterfall!CS21-Waterfall!CS32</f>
        <v/>
      </c>
      <c r="CT53" s="19">
        <f>CT49-Waterfall!CT21-Waterfall!CT32</f>
        <v/>
      </c>
      <c r="CU53" s="19">
        <f>CU49-Waterfall!CU21-Waterfall!CU32</f>
        <v/>
      </c>
      <c r="CV53" s="19">
        <f>CV49-Waterfall!CV21-Waterfall!CV32</f>
        <v/>
      </c>
      <c r="CW53" s="19">
        <f>CW49-Waterfall!CW21-Waterfall!CW32</f>
        <v/>
      </c>
      <c r="CX53" s="19">
        <f>CX49-Waterfall!CX21-Waterfall!CX32</f>
        <v/>
      </c>
      <c r="CY53" s="19">
        <f>CY49-Waterfall!CY21-Waterfall!CY32</f>
        <v/>
      </c>
      <c r="CZ53" s="19">
        <f>CZ49-Waterfall!CZ21-Waterfall!CZ32</f>
        <v/>
      </c>
      <c r="DA53" s="19">
        <f>DA49-Waterfall!DA21-Waterfall!DA32</f>
        <v/>
      </c>
      <c r="DB53" s="19">
        <f>DB49-Waterfall!DB21-Waterfall!DB32</f>
        <v/>
      </c>
    </row>
    <row r="54">
      <c r="D54" t="inlineStr">
        <is>
          <t>Closing balance</t>
        </is>
      </c>
      <c r="E54" t="inlineStr">
        <is>
          <t>ARD m</t>
        </is>
      </c>
      <c r="J54" s="19">
        <f>IF(Time!J35=1,0,J53)</f>
        <v/>
      </c>
      <c r="K54" s="19">
        <f>IF(Time!K35=1,0,K53)</f>
        <v/>
      </c>
      <c r="L54" s="19">
        <f>IF(Time!L35=1,0,L53)</f>
        <v/>
      </c>
      <c r="M54" s="19">
        <f>IF(Time!M35=1,0,M53)</f>
        <v/>
      </c>
      <c r="N54" s="19">
        <f>IF(Time!N35=1,0,N53)</f>
        <v/>
      </c>
      <c r="O54" s="19">
        <f>IF(Time!O35=1,0,O53)</f>
        <v/>
      </c>
      <c r="P54" s="19">
        <f>IF(Time!P35=1,0,P53)</f>
        <v/>
      </c>
      <c r="Q54" s="19">
        <f>IF(Time!Q35=1,0,Q53)</f>
        <v/>
      </c>
      <c r="R54" s="19">
        <f>IF(Time!R35=1,0,R53)</f>
        <v/>
      </c>
      <c r="S54" s="19">
        <f>IF(Time!S35=1,0,S53)</f>
        <v/>
      </c>
      <c r="T54" s="19">
        <f>IF(Time!T35=1,0,T53)</f>
        <v/>
      </c>
      <c r="U54" s="19">
        <f>IF(Time!U35=1,0,U53)</f>
        <v/>
      </c>
      <c r="V54" s="19">
        <f>IF(Time!V35=1,0,V53)</f>
        <v/>
      </c>
      <c r="W54" s="19">
        <f>IF(Time!W35=1,0,W53)</f>
        <v/>
      </c>
      <c r="X54" s="19">
        <f>IF(Time!X35=1,0,X53)</f>
        <v/>
      </c>
      <c r="Y54" s="19">
        <f>IF(Time!Y35=1,0,Y53)</f>
        <v/>
      </c>
      <c r="Z54" s="19">
        <f>IF(Time!Z35=1,0,Z53)</f>
        <v/>
      </c>
      <c r="AA54" s="19">
        <f>IF(Time!AA35=1,0,AA53)</f>
        <v/>
      </c>
      <c r="AB54" s="19">
        <f>IF(Time!AB35=1,0,AB53)</f>
        <v/>
      </c>
      <c r="AC54" s="19">
        <f>IF(Time!AC35=1,0,AC53)</f>
        <v/>
      </c>
      <c r="AD54" s="19">
        <f>IF(Time!AD35=1,0,AD53)</f>
        <v/>
      </c>
      <c r="AE54" s="19">
        <f>IF(Time!AE35=1,0,AE53)</f>
        <v/>
      </c>
      <c r="AF54" s="19">
        <f>IF(Time!AF35=1,0,AF53)</f>
        <v/>
      </c>
      <c r="AG54" s="19">
        <f>IF(Time!AG35=1,0,AG53)</f>
        <v/>
      </c>
      <c r="AH54" s="19">
        <f>IF(Time!AH35=1,0,AH53)</f>
        <v/>
      </c>
      <c r="AI54" s="19">
        <f>IF(Time!AI35=1,0,AI53)</f>
        <v/>
      </c>
      <c r="AJ54" s="19">
        <f>IF(Time!AJ35=1,0,AJ53)</f>
        <v/>
      </c>
      <c r="AK54" s="19">
        <f>IF(Time!AK35=1,0,AK53)</f>
        <v/>
      </c>
      <c r="AL54" s="19">
        <f>IF(Time!AL35=1,0,AL53)</f>
        <v/>
      </c>
      <c r="AM54" s="19">
        <f>IF(Time!AM35=1,0,AM53)</f>
        <v/>
      </c>
      <c r="AN54" s="19">
        <f>IF(Time!AN35=1,0,AN53)</f>
        <v/>
      </c>
      <c r="AO54" s="19">
        <f>IF(Time!AO35=1,0,AO53)</f>
        <v/>
      </c>
      <c r="AP54" s="19">
        <f>IF(Time!AP35=1,0,AP53)</f>
        <v/>
      </c>
      <c r="AQ54" s="19">
        <f>IF(Time!AQ35=1,0,AQ53)</f>
        <v/>
      </c>
      <c r="AR54" s="19">
        <f>IF(Time!AR35=1,0,AR53)</f>
        <v/>
      </c>
      <c r="AS54" s="19">
        <f>IF(Time!AS35=1,0,AS53)</f>
        <v/>
      </c>
      <c r="AT54" s="19">
        <f>IF(Time!AT35=1,0,AT53)</f>
        <v/>
      </c>
      <c r="AU54" s="19">
        <f>IF(Time!AU35=1,0,AU53)</f>
        <v/>
      </c>
      <c r="AV54" s="19">
        <f>IF(Time!AV35=1,0,AV53)</f>
        <v/>
      </c>
      <c r="AW54" s="19">
        <f>IF(Time!AW35=1,0,AW53)</f>
        <v/>
      </c>
      <c r="AX54" s="19">
        <f>IF(Time!AX35=1,0,AX53)</f>
        <v/>
      </c>
      <c r="AY54" s="19">
        <f>IF(Time!AY35=1,0,AY53)</f>
        <v/>
      </c>
      <c r="AZ54" s="19">
        <f>IF(Time!AZ35=1,0,AZ53)</f>
        <v/>
      </c>
      <c r="BA54" s="19">
        <f>IF(Time!BA35=1,0,BA53)</f>
        <v/>
      </c>
      <c r="BB54" s="19">
        <f>IF(Time!BB35=1,0,BB53)</f>
        <v/>
      </c>
      <c r="BC54" s="19">
        <f>IF(Time!BC35=1,0,BC53)</f>
        <v/>
      </c>
      <c r="BD54" s="19">
        <f>IF(Time!BD35=1,0,BD53)</f>
        <v/>
      </c>
      <c r="BE54" s="19">
        <f>IF(Time!BE35=1,0,BE53)</f>
        <v/>
      </c>
      <c r="BF54" s="19">
        <f>IF(Time!BF35=1,0,BF53)</f>
        <v/>
      </c>
      <c r="BG54" s="19">
        <f>IF(Time!BG35=1,0,BG53)</f>
        <v/>
      </c>
      <c r="BH54" s="19">
        <f>IF(Time!BH35=1,0,BH53)</f>
        <v/>
      </c>
      <c r="BI54" s="19">
        <f>IF(Time!BI35=1,0,BI53)</f>
        <v/>
      </c>
      <c r="BJ54" s="19">
        <f>IF(Time!BJ35=1,0,BJ53)</f>
        <v/>
      </c>
      <c r="BK54" s="19">
        <f>IF(Time!BK35=1,0,BK53)</f>
        <v/>
      </c>
      <c r="BL54" s="19">
        <f>IF(Time!BL35=1,0,BL53)</f>
        <v/>
      </c>
      <c r="BM54" s="19">
        <f>IF(Time!BM35=1,0,BM53)</f>
        <v/>
      </c>
      <c r="BN54" s="19">
        <f>IF(Time!BN35=1,0,BN53)</f>
        <v/>
      </c>
      <c r="BO54" s="19">
        <f>IF(Time!BO35=1,0,BO53)</f>
        <v/>
      </c>
      <c r="BP54" s="19">
        <f>IF(Time!BP35=1,0,BP53)</f>
        <v/>
      </c>
      <c r="BQ54" s="19">
        <f>IF(Time!BQ35=1,0,BQ53)</f>
        <v/>
      </c>
      <c r="BR54" s="19">
        <f>IF(Time!BR35=1,0,BR53)</f>
        <v/>
      </c>
      <c r="BS54" s="19">
        <f>IF(Time!BS35=1,0,BS53)</f>
        <v/>
      </c>
      <c r="BT54" s="19">
        <f>IF(Time!BT35=1,0,BT53)</f>
        <v/>
      </c>
      <c r="BU54" s="19">
        <f>IF(Time!BU35=1,0,BU53)</f>
        <v/>
      </c>
      <c r="BV54" s="19">
        <f>IF(Time!BV35=1,0,BV53)</f>
        <v/>
      </c>
      <c r="BW54" s="19">
        <f>IF(Time!BW35=1,0,BW53)</f>
        <v/>
      </c>
      <c r="BX54" s="19">
        <f>IF(Time!BX35=1,0,BX53)</f>
        <v/>
      </c>
      <c r="BY54" s="19">
        <f>IF(Time!BY35=1,0,BY53)</f>
        <v/>
      </c>
      <c r="BZ54" s="19">
        <f>IF(Time!BZ35=1,0,BZ53)</f>
        <v/>
      </c>
      <c r="CA54" s="19">
        <f>IF(Time!CA35=1,0,CA53)</f>
        <v/>
      </c>
      <c r="CB54" s="19">
        <f>IF(Time!CB35=1,0,CB53)</f>
        <v/>
      </c>
      <c r="CC54" s="19">
        <f>IF(Time!CC35=1,0,CC53)</f>
        <v/>
      </c>
      <c r="CD54" s="19">
        <f>IF(Time!CD35=1,0,CD53)</f>
        <v/>
      </c>
      <c r="CE54" s="19">
        <f>IF(Time!CE35=1,0,CE53)</f>
        <v/>
      </c>
      <c r="CF54" s="19">
        <f>IF(Time!CF35=1,0,CF53)</f>
        <v/>
      </c>
      <c r="CG54" s="19">
        <f>IF(Time!CG35=1,0,CG53)</f>
        <v/>
      </c>
      <c r="CH54" s="19">
        <f>IF(Time!CH35=1,0,CH53)</f>
        <v/>
      </c>
      <c r="CI54" s="19">
        <f>IF(Time!CI35=1,0,CI53)</f>
        <v/>
      </c>
      <c r="CJ54" s="19">
        <f>IF(Time!CJ35=1,0,CJ53)</f>
        <v/>
      </c>
      <c r="CK54" s="19">
        <f>IF(Time!CK35=1,0,CK53)</f>
        <v/>
      </c>
      <c r="CL54" s="19">
        <f>IF(Time!CL35=1,0,CL53)</f>
        <v/>
      </c>
      <c r="CM54" s="19">
        <f>IF(Time!CM35=1,0,CM53)</f>
        <v/>
      </c>
      <c r="CN54" s="19">
        <f>IF(Time!CN35=1,0,CN53)</f>
        <v/>
      </c>
      <c r="CO54" s="19">
        <f>IF(Time!CO35=1,0,CO53)</f>
        <v/>
      </c>
      <c r="CP54" s="19">
        <f>IF(Time!CP35=1,0,CP53)</f>
        <v/>
      </c>
      <c r="CQ54" s="19">
        <f>IF(Time!CQ35=1,0,CQ53)</f>
        <v/>
      </c>
      <c r="CR54" s="19">
        <f>IF(Time!CR35=1,0,CR53)</f>
        <v/>
      </c>
      <c r="CS54" s="19">
        <f>IF(Time!CS35=1,0,CS53)</f>
        <v/>
      </c>
      <c r="CT54" s="19">
        <f>IF(Time!CT35=1,0,CT53)</f>
        <v/>
      </c>
      <c r="CU54" s="19">
        <f>IF(Time!CU35=1,0,CU53)</f>
        <v/>
      </c>
      <c r="CV54" s="19">
        <f>IF(Time!CV35=1,0,CV53)</f>
        <v/>
      </c>
      <c r="CW54" s="19">
        <f>IF(Time!CW35=1,0,CW53)</f>
        <v/>
      </c>
      <c r="CX54" s="19">
        <f>IF(Time!CX35=1,0,CX53)</f>
        <v/>
      </c>
      <c r="CY54" s="19">
        <f>IF(Time!CY35=1,0,CY53)</f>
        <v/>
      </c>
      <c r="CZ54" s="19">
        <f>IF(Time!CZ35=1,0,CZ53)</f>
        <v/>
      </c>
      <c r="DA54" s="19">
        <f>IF(Time!DA35=1,0,DA53)</f>
        <v/>
      </c>
      <c r="DB54" s="19">
        <f>IF(Time!DB35=1,0,DB53)</f>
        <v/>
      </c>
    </row>
    <row r="55">
      <c r="D55" s="3" t="inlineStr">
        <is>
          <t>Senior arrears (interest unpaid under the standstill)</t>
        </is>
      </c>
    </row>
    <row r="56">
      <c r="D56" t="inlineStr">
        <is>
          <t>Bank arrears: opening</t>
        </is>
      </c>
      <c r="E56" t="inlineStr">
        <is>
          <t>ARD m</t>
        </is>
      </c>
      <c r="J56" s="19">
        <f>I60</f>
        <v/>
      </c>
      <c r="K56" s="19">
        <f>J60</f>
        <v/>
      </c>
      <c r="L56" s="19">
        <f>K60</f>
        <v/>
      </c>
      <c r="M56" s="19">
        <f>L60</f>
        <v/>
      </c>
      <c r="N56" s="19">
        <f>M60</f>
        <v/>
      </c>
      <c r="O56" s="19">
        <f>N60</f>
        <v/>
      </c>
      <c r="P56" s="19">
        <f>O60</f>
        <v/>
      </c>
      <c r="Q56" s="19">
        <f>P60</f>
        <v/>
      </c>
      <c r="R56" s="19">
        <f>Q60</f>
        <v/>
      </c>
      <c r="S56" s="19">
        <f>R60</f>
        <v/>
      </c>
      <c r="T56" s="19">
        <f>S60</f>
        <v/>
      </c>
      <c r="U56" s="19">
        <f>T60</f>
        <v/>
      </c>
      <c r="V56" s="19">
        <f>U60</f>
        <v/>
      </c>
      <c r="W56" s="19">
        <f>V60</f>
        <v/>
      </c>
      <c r="X56" s="19">
        <f>W60</f>
        <v/>
      </c>
      <c r="Y56" s="19">
        <f>X60</f>
        <v/>
      </c>
      <c r="Z56" s="19">
        <f>Y60</f>
        <v/>
      </c>
      <c r="AA56" s="19">
        <f>Z60</f>
        <v/>
      </c>
      <c r="AB56" s="19">
        <f>AA60</f>
        <v/>
      </c>
      <c r="AC56" s="19">
        <f>AB60</f>
        <v/>
      </c>
      <c r="AD56" s="19">
        <f>AC60</f>
        <v/>
      </c>
      <c r="AE56" s="19">
        <f>AD60</f>
        <v/>
      </c>
      <c r="AF56" s="19">
        <f>AE60</f>
        <v/>
      </c>
      <c r="AG56" s="19">
        <f>AF60</f>
        <v/>
      </c>
      <c r="AH56" s="19">
        <f>AG60</f>
        <v/>
      </c>
      <c r="AI56" s="19">
        <f>AH60</f>
        <v/>
      </c>
      <c r="AJ56" s="19">
        <f>AI60</f>
        <v/>
      </c>
      <c r="AK56" s="19">
        <f>AJ60</f>
        <v/>
      </c>
      <c r="AL56" s="19">
        <f>AK60</f>
        <v/>
      </c>
      <c r="AM56" s="19">
        <f>AL60</f>
        <v/>
      </c>
      <c r="AN56" s="19">
        <f>AM60</f>
        <v/>
      </c>
      <c r="AO56" s="19">
        <f>AN60</f>
        <v/>
      </c>
      <c r="AP56" s="19">
        <f>AO60</f>
        <v/>
      </c>
      <c r="AQ56" s="19">
        <f>AP60</f>
        <v/>
      </c>
      <c r="AR56" s="19">
        <f>AQ60</f>
        <v/>
      </c>
      <c r="AS56" s="19">
        <f>AR60</f>
        <v/>
      </c>
      <c r="AT56" s="19">
        <f>AS60</f>
        <v/>
      </c>
      <c r="AU56" s="19">
        <f>AT60</f>
        <v/>
      </c>
      <c r="AV56" s="19">
        <f>AU60</f>
        <v/>
      </c>
      <c r="AW56" s="19">
        <f>AV60</f>
        <v/>
      </c>
      <c r="AX56" s="19">
        <f>AW60</f>
        <v/>
      </c>
      <c r="AY56" s="19">
        <f>AX60</f>
        <v/>
      </c>
      <c r="AZ56" s="19">
        <f>AY60</f>
        <v/>
      </c>
      <c r="BA56" s="19">
        <f>AZ60</f>
        <v/>
      </c>
      <c r="BB56" s="19">
        <f>BA60</f>
        <v/>
      </c>
      <c r="BC56" s="19">
        <f>BB60</f>
        <v/>
      </c>
      <c r="BD56" s="19">
        <f>BC60</f>
        <v/>
      </c>
      <c r="BE56" s="19">
        <f>BD60</f>
        <v/>
      </c>
      <c r="BF56" s="19">
        <f>BE60</f>
        <v/>
      </c>
      <c r="BG56" s="19">
        <f>BF60</f>
        <v/>
      </c>
      <c r="BH56" s="19">
        <f>BG60</f>
        <v/>
      </c>
      <c r="BI56" s="19">
        <f>BH60</f>
        <v/>
      </c>
      <c r="BJ56" s="19">
        <f>BI60</f>
        <v/>
      </c>
      <c r="BK56" s="19">
        <f>BJ60</f>
        <v/>
      </c>
      <c r="BL56" s="19">
        <f>BK60</f>
        <v/>
      </c>
      <c r="BM56" s="19">
        <f>BL60</f>
        <v/>
      </c>
      <c r="BN56" s="19">
        <f>BM60</f>
        <v/>
      </c>
      <c r="BO56" s="19">
        <f>BN60</f>
        <v/>
      </c>
      <c r="BP56" s="19">
        <f>BO60</f>
        <v/>
      </c>
      <c r="BQ56" s="19">
        <f>BP60</f>
        <v/>
      </c>
      <c r="BR56" s="19">
        <f>BQ60</f>
        <v/>
      </c>
      <c r="BS56" s="19">
        <f>BR60</f>
        <v/>
      </c>
      <c r="BT56" s="19">
        <f>BS60</f>
        <v/>
      </c>
      <c r="BU56" s="19">
        <f>BT60</f>
        <v/>
      </c>
      <c r="BV56" s="19">
        <f>BU60</f>
        <v/>
      </c>
      <c r="BW56" s="19">
        <f>BV60</f>
        <v/>
      </c>
      <c r="BX56" s="19">
        <f>BW60</f>
        <v/>
      </c>
      <c r="BY56" s="19">
        <f>BX60</f>
        <v/>
      </c>
      <c r="BZ56" s="19">
        <f>BY60</f>
        <v/>
      </c>
      <c r="CA56" s="19">
        <f>BZ60</f>
        <v/>
      </c>
      <c r="CB56" s="19">
        <f>CA60</f>
        <v/>
      </c>
      <c r="CC56" s="19">
        <f>CB60</f>
        <v/>
      </c>
      <c r="CD56" s="19">
        <f>CC60</f>
        <v/>
      </c>
      <c r="CE56" s="19">
        <f>CD60</f>
        <v/>
      </c>
      <c r="CF56" s="19">
        <f>CE60</f>
        <v/>
      </c>
      <c r="CG56" s="19">
        <f>CF60</f>
        <v/>
      </c>
      <c r="CH56" s="19">
        <f>CG60</f>
        <v/>
      </c>
      <c r="CI56" s="19">
        <f>CH60</f>
        <v/>
      </c>
      <c r="CJ56" s="19">
        <f>CI60</f>
        <v/>
      </c>
      <c r="CK56" s="19">
        <f>CJ60</f>
        <v/>
      </c>
      <c r="CL56" s="19">
        <f>CK60</f>
        <v/>
      </c>
      <c r="CM56" s="19">
        <f>CL60</f>
        <v/>
      </c>
      <c r="CN56" s="19">
        <f>CM60</f>
        <v/>
      </c>
      <c r="CO56" s="19">
        <f>CN60</f>
        <v/>
      </c>
      <c r="CP56" s="19">
        <f>CO60</f>
        <v/>
      </c>
      <c r="CQ56" s="19">
        <f>CP60</f>
        <v/>
      </c>
      <c r="CR56" s="19">
        <f>CQ60</f>
        <v/>
      </c>
      <c r="CS56" s="19">
        <f>CR60</f>
        <v/>
      </c>
      <c r="CT56" s="19">
        <f>CS60</f>
        <v/>
      </c>
      <c r="CU56" s="19">
        <f>CT60</f>
        <v/>
      </c>
      <c r="CV56" s="19">
        <f>CU60</f>
        <v/>
      </c>
      <c r="CW56" s="19">
        <f>CV60</f>
        <v/>
      </c>
      <c r="CX56" s="19">
        <f>CW60</f>
        <v/>
      </c>
      <c r="CY56" s="19">
        <f>CX60</f>
        <v/>
      </c>
      <c r="CZ56" s="19">
        <f>CY60</f>
        <v/>
      </c>
      <c r="DA56" s="19">
        <f>CZ60</f>
        <v/>
      </c>
      <c r="DB56" s="19">
        <f>DA60</f>
        <v/>
      </c>
    </row>
    <row r="57">
      <c r="D57" t="inlineStr">
        <is>
          <t>Bond arrears: opening</t>
        </is>
      </c>
      <c r="E57" t="inlineStr">
        <is>
          <t>ARD m</t>
        </is>
      </c>
      <c r="J57" s="19">
        <f>I61</f>
        <v/>
      </c>
      <c r="K57" s="19">
        <f>J61</f>
        <v/>
      </c>
      <c r="L57" s="19">
        <f>K61</f>
        <v/>
      </c>
      <c r="M57" s="19">
        <f>L61</f>
        <v/>
      </c>
      <c r="N57" s="19">
        <f>M61</f>
        <v/>
      </c>
      <c r="O57" s="19">
        <f>N61</f>
        <v/>
      </c>
      <c r="P57" s="19">
        <f>O61</f>
        <v/>
      </c>
      <c r="Q57" s="19">
        <f>P61</f>
        <v/>
      </c>
      <c r="R57" s="19">
        <f>Q61</f>
        <v/>
      </c>
      <c r="S57" s="19">
        <f>R61</f>
        <v/>
      </c>
      <c r="T57" s="19">
        <f>S61</f>
        <v/>
      </c>
      <c r="U57" s="19">
        <f>T61</f>
        <v/>
      </c>
      <c r="V57" s="19">
        <f>U61</f>
        <v/>
      </c>
      <c r="W57" s="19">
        <f>V61</f>
        <v/>
      </c>
      <c r="X57" s="19">
        <f>W61</f>
        <v/>
      </c>
      <c r="Y57" s="19">
        <f>X61</f>
        <v/>
      </c>
      <c r="Z57" s="19">
        <f>Y61</f>
        <v/>
      </c>
      <c r="AA57" s="19">
        <f>Z61</f>
        <v/>
      </c>
      <c r="AB57" s="19">
        <f>AA61</f>
        <v/>
      </c>
      <c r="AC57" s="19">
        <f>AB61</f>
        <v/>
      </c>
      <c r="AD57" s="19">
        <f>AC61</f>
        <v/>
      </c>
      <c r="AE57" s="19">
        <f>AD61</f>
        <v/>
      </c>
      <c r="AF57" s="19">
        <f>AE61</f>
        <v/>
      </c>
      <c r="AG57" s="19">
        <f>AF61</f>
        <v/>
      </c>
      <c r="AH57" s="19">
        <f>AG61</f>
        <v/>
      </c>
      <c r="AI57" s="19">
        <f>AH61</f>
        <v/>
      </c>
      <c r="AJ57" s="19">
        <f>AI61</f>
        <v/>
      </c>
      <c r="AK57" s="19">
        <f>AJ61</f>
        <v/>
      </c>
      <c r="AL57" s="19">
        <f>AK61</f>
        <v/>
      </c>
      <c r="AM57" s="19">
        <f>AL61</f>
        <v/>
      </c>
      <c r="AN57" s="19">
        <f>AM61</f>
        <v/>
      </c>
      <c r="AO57" s="19">
        <f>AN61</f>
        <v/>
      </c>
      <c r="AP57" s="19">
        <f>AO61</f>
        <v/>
      </c>
      <c r="AQ57" s="19">
        <f>AP61</f>
        <v/>
      </c>
      <c r="AR57" s="19">
        <f>AQ61</f>
        <v/>
      </c>
      <c r="AS57" s="19">
        <f>AR61</f>
        <v/>
      </c>
      <c r="AT57" s="19">
        <f>AS61</f>
        <v/>
      </c>
      <c r="AU57" s="19">
        <f>AT61</f>
        <v/>
      </c>
      <c r="AV57" s="19">
        <f>AU61</f>
        <v/>
      </c>
      <c r="AW57" s="19">
        <f>AV61</f>
        <v/>
      </c>
      <c r="AX57" s="19">
        <f>AW61</f>
        <v/>
      </c>
      <c r="AY57" s="19">
        <f>AX61</f>
        <v/>
      </c>
      <c r="AZ57" s="19">
        <f>AY61</f>
        <v/>
      </c>
      <c r="BA57" s="19">
        <f>AZ61</f>
        <v/>
      </c>
      <c r="BB57" s="19">
        <f>BA61</f>
        <v/>
      </c>
      <c r="BC57" s="19">
        <f>BB61</f>
        <v/>
      </c>
      <c r="BD57" s="19">
        <f>BC61</f>
        <v/>
      </c>
      <c r="BE57" s="19">
        <f>BD61</f>
        <v/>
      </c>
      <c r="BF57" s="19">
        <f>BE61</f>
        <v/>
      </c>
      <c r="BG57" s="19">
        <f>BF61</f>
        <v/>
      </c>
      <c r="BH57" s="19">
        <f>BG61</f>
        <v/>
      </c>
      <c r="BI57" s="19">
        <f>BH61</f>
        <v/>
      </c>
      <c r="BJ57" s="19">
        <f>BI61</f>
        <v/>
      </c>
      <c r="BK57" s="19">
        <f>BJ61</f>
        <v/>
      </c>
      <c r="BL57" s="19">
        <f>BK61</f>
        <v/>
      </c>
      <c r="BM57" s="19">
        <f>BL61</f>
        <v/>
      </c>
      <c r="BN57" s="19">
        <f>BM61</f>
        <v/>
      </c>
      <c r="BO57" s="19">
        <f>BN61</f>
        <v/>
      </c>
      <c r="BP57" s="19">
        <f>BO61</f>
        <v/>
      </c>
      <c r="BQ57" s="19">
        <f>BP61</f>
        <v/>
      </c>
      <c r="BR57" s="19">
        <f>BQ61</f>
        <v/>
      </c>
      <c r="BS57" s="19">
        <f>BR61</f>
        <v/>
      </c>
      <c r="BT57" s="19">
        <f>BS61</f>
        <v/>
      </c>
      <c r="BU57" s="19">
        <f>BT61</f>
        <v/>
      </c>
      <c r="BV57" s="19">
        <f>BU61</f>
        <v/>
      </c>
      <c r="BW57" s="19">
        <f>BV61</f>
        <v/>
      </c>
      <c r="BX57" s="19">
        <f>BW61</f>
        <v/>
      </c>
      <c r="BY57" s="19">
        <f>BX61</f>
        <v/>
      </c>
      <c r="BZ57" s="19">
        <f>BY61</f>
        <v/>
      </c>
      <c r="CA57" s="19">
        <f>BZ61</f>
        <v/>
      </c>
      <c r="CB57" s="19">
        <f>CA61</f>
        <v/>
      </c>
      <c r="CC57" s="19">
        <f>CB61</f>
        <v/>
      </c>
      <c r="CD57" s="19">
        <f>CC61</f>
        <v/>
      </c>
      <c r="CE57" s="19">
        <f>CD61</f>
        <v/>
      </c>
      <c r="CF57" s="19">
        <f>CE61</f>
        <v/>
      </c>
      <c r="CG57" s="19">
        <f>CF61</f>
        <v/>
      </c>
      <c r="CH57" s="19">
        <f>CG61</f>
        <v/>
      </c>
      <c r="CI57" s="19">
        <f>CH61</f>
        <v/>
      </c>
      <c r="CJ57" s="19">
        <f>CI61</f>
        <v/>
      </c>
      <c r="CK57" s="19">
        <f>CJ61</f>
        <v/>
      </c>
      <c r="CL57" s="19">
        <f>CK61</f>
        <v/>
      </c>
      <c r="CM57" s="19">
        <f>CL61</f>
        <v/>
      </c>
      <c r="CN57" s="19">
        <f>CM61</f>
        <v/>
      </c>
      <c r="CO57" s="19">
        <f>CN61</f>
        <v/>
      </c>
      <c r="CP57" s="19">
        <f>CO61</f>
        <v/>
      </c>
      <c r="CQ57" s="19">
        <f>CP61</f>
        <v/>
      </c>
      <c r="CR57" s="19">
        <f>CQ61</f>
        <v/>
      </c>
      <c r="CS57" s="19">
        <f>CR61</f>
        <v/>
      </c>
      <c r="CT57" s="19">
        <f>CS61</f>
        <v/>
      </c>
      <c r="CU57" s="19">
        <f>CT61</f>
        <v/>
      </c>
      <c r="CV57" s="19">
        <f>CU61</f>
        <v/>
      </c>
      <c r="CW57" s="19">
        <f>CV61</f>
        <v/>
      </c>
      <c r="CX57" s="19">
        <f>CW61</f>
        <v/>
      </c>
      <c r="CY57" s="19">
        <f>CX61</f>
        <v/>
      </c>
      <c r="CZ57" s="19">
        <f>CY61</f>
        <v/>
      </c>
      <c r="DA57" s="19">
        <f>CZ61</f>
        <v/>
      </c>
      <c r="DB57" s="19">
        <f>DA61</f>
        <v/>
      </c>
    </row>
    <row r="58">
      <c r="D58" t="inlineStr">
        <is>
          <t>Bank arrears: closing before restructuring</t>
        </is>
      </c>
      <c r="E58" t="inlineStr">
        <is>
          <t>ARD m</t>
        </is>
      </c>
      <c r="J58" s="19">
        <f>(J56+J44-Waterfall!J16*Waterfall!J18)*(1-Time!J20)</f>
        <v/>
      </c>
      <c r="K58" s="19">
        <f>(K56+K44-Waterfall!K16*Waterfall!K18)*(1-Time!K20)</f>
        <v/>
      </c>
      <c r="L58" s="19">
        <f>(L56+L44-Waterfall!L16*Waterfall!L18)*(1-Time!L20)</f>
        <v/>
      </c>
      <c r="M58" s="19">
        <f>(M56+M44-Waterfall!M16*Waterfall!M18)*(1-Time!M20)</f>
        <v/>
      </c>
      <c r="N58" s="19">
        <f>(N56+N44-Waterfall!N16*Waterfall!N18)*(1-Time!N20)</f>
        <v/>
      </c>
      <c r="O58" s="19">
        <f>(O56+O44-Waterfall!O16*Waterfall!O18)*(1-Time!O20)</f>
        <v/>
      </c>
      <c r="P58" s="19">
        <f>(P56+P44-Waterfall!P16*Waterfall!P18)*(1-Time!P20)</f>
        <v/>
      </c>
      <c r="Q58" s="19">
        <f>(Q56+Q44-Waterfall!Q16*Waterfall!Q18)*(1-Time!Q20)</f>
        <v/>
      </c>
      <c r="R58" s="19">
        <f>(R56+R44-Waterfall!R16*Waterfall!R18)*(1-Time!R20)</f>
        <v/>
      </c>
      <c r="S58" s="19">
        <f>(S56+S44-Waterfall!S16*Waterfall!S18)*(1-Time!S20)</f>
        <v/>
      </c>
      <c r="T58" s="19">
        <f>(T56+T44-Waterfall!T16*Waterfall!T18)*(1-Time!T20)</f>
        <v/>
      </c>
      <c r="U58" s="19">
        <f>(U56+U44-Waterfall!U16*Waterfall!U18)*(1-Time!U20)</f>
        <v/>
      </c>
      <c r="V58" s="19">
        <f>(V56+V44-Waterfall!V16*Waterfall!V18)*(1-Time!V20)</f>
        <v/>
      </c>
      <c r="W58" s="19">
        <f>(W56+W44-Waterfall!W16*Waterfall!W18)*(1-Time!W20)</f>
        <v/>
      </c>
      <c r="X58" s="19">
        <f>(X56+X44-Waterfall!X16*Waterfall!X18)*(1-Time!X20)</f>
        <v/>
      </c>
      <c r="Y58" s="19">
        <f>(Y56+Y44-Waterfall!Y16*Waterfall!Y18)*(1-Time!Y20)</f>
        <v/>
      </c>
      <c r="Z58" s="19">
        <f>(Z56+Z44-Waterfall!Z16*Waterfall!Z18)*(1-Time!Z20)</f>
        <v/>
      </c>
      <c r="AA58" s="19">
        <f>(AA56+AA44-Waterfall!AA16*Waterfall!AA18)*(1-Time!AA20)</f>
        <v/>
      </c>
      <c r="AB58" s="19">
        <f>(AB56+AB44-Waterfall!AB16*Waterfall!AB18)*(1-Time!AB20)</f>
        <v/>
      </c>
      <c r="AC58" s="19">
        <f>(AC56+AC44-Waterfall!AC16*Waterfall!AC18)*(1-Time!AC20)</f>
        <v/>
      </c>
      <c r="AD58" s="19">
        <f>(AD56+AD44-Waterfall!AD16*Waterfall!AD18)*(1-Time!AD20)</f>
        <v/>
      </c>
      <c r="AE58" s="19">
        <f>(AE56+AE44-Waterfall!AE16*Waterfall!AE18)*(1-Time!AE20)</f>
        <v/>
      </c>
      <c r="AF58" s="19">
        <f>(AF56+AF44-Waterfall!AF16*Waterfall!AF18)*(1-Time!AF20)</f>
        <v/>
      </c>
      <c r="AG58" s="19">
        <f>(AG56+AG44-Waterfall!AG16*Waterfall!AG18)*(1-Time!AG20)</f>
        <v/>
      </c>
      <c r="AH58" s="19">
        <f>(AH56+AH44-Waterfall!AH16*Waterfall!AH18)*(1-Time!AH20)</f>
        <v/>
      </c>
      <c r="AI58" s="19">
        <f>(AI56+AI44-Waterfall!AI16*Waterfall!AI18)*(1-Time!AI20)</f>
        <v/>
      </c>
      <c r="AJ58" s="19">
        <f>(AJ56+AJ44-Waterfall!AJ16*Waterfall!AJ18)*(1-Time!AJ20)</f>
        <v/>
      </c>
      <c r="AK58" s="19">
        <f>(AK56+AK44-Waterfall!AK16*Waterfall!AK18)*(1-Time!AK20)</f>
        <v/>
      </c>
      <c r="AL58" s="19">
        <f>(AL56+AL44-Waterfall!AL16*Waterfall!AL18)*(1-Time!AL20)</f>
        <v/>
      </c>
      <c r="AM58" s="19">
        <f>(AM56+AM44-Waterfall!AM16*Waterfall!AM18)*(1-Time!AM20)</f>
        <v/>
      </c>
      <c r="AN58" s="19">
        <f>(AN56+AN44-Waterfall!AN16*Waterfall!AN18)*(1-Time!AN20)</f>
        <v/>
      </c>
      <c r="AO58" s="19">
        <f>(AO56+AO44-Waterfall!AO16*Waterfall!AO18)*(1-Time!AO20)</f>
        <v/>
      </c>
      <c r="AP58" s="19">
        <f>(AP56+AP44-Waterfall!AP16*Waterfall!AP18)*(1-Time!AP20)</f>
        <v/>
      </c>
      <c r="AQ58" s="19">
        <f>(AQ56+AQ44-Waterfall!AQ16*Waterfall!AQ18)*(1-Time!AQ20)</f>
        <v/>
      </c>
      <c r="AR58" s="19">
        <f>(AR56+AR44-Waterfall!AR16*Waterfall!AR18)*(1-Time!AR20)</f>
        <v/>
      </c>
      <c r="AS58" s="19">
        <f>(AS56+AS44-Waterfall!AS16*Waterfall!AS18)*(1-Time!AS20)</f>
        <v/>
      </c>
      <c r="AT58" s="19">
        <f>(AT56+AT44-Waterfall!AT16*Waterfall!AT18)*(1-Time!AT20)</f>
        <v/>
      </c>
      <c r="AU58" s="19">
        <f>(AU56+AU44-Waterfall!AU16*Waterfall!AU18)*(1-Time!AU20)</f>
        <v/>
      </c>
      <c r="AV58" s="19">
        <f>(AV56+AV44-Waterfall!AV16*Waterfall!AV18)*(1-Time!AV20)</f>
        <v/>
      </c>
      <c r="AW58" s="19">
        <f>(AW56+AW44-Waterfall!AW16*Waterfall!AW18)*(1-Time!AW20)</f>
        <v/>
      </c>
      <c r="AX58" s="19">
        <f>(AX56+AX44-Waterfall!AX16*Waterfall!AX18)*(1-Time!AX20)</f>
        <v/>
      </c>
      <c r="AY58" s="19">
        <f>(AY56+AY44-Waterfall!AY16*Waterfall!AY18)*(1-Time!AY20)</f>
        <v/>
      </c>
      <c r="AZ58" s="19">
        <f>(AZ56+AZ44-Waterfall!AZ16*Waterfall!AZ18)*(1-Time!AZ20)</f>
        <v/>
      </c>
      <c r="BA58" s="19">
        <f>(BA56+BA44-Waterfall!BA16*Waterfall!BA18)*(1-Time!BA20)</f>
        <v/>
      </c>
      <c r="BB58" s="19">
        <f>(BB56+BB44-Waterfall!BB16*Waterfall!BB18)*(1-Time!BB20)</f>
        <v/>
      </c>
      <c r="BC58" s="19">
        <f>(BC56+BC44-Waterfall!BC16*Waterfall!BC18)*(1-Time!BC20)</f>
        <v/>
      </c>
      <c r="BD58" s="19">
        <f>(BD56+BD44-Waterfall!BD16*Waterfall!BD18)*(1-Time!BD20)</f>
        <v/>
      </c>
      <c r="BE58" s="19">
        <f>(BE56+BE44-Waterfall!BE16*Waterfall!BE18)*(1-Time!BE20)</f>
        <v/>
      </c>
      <c r="BF58" s="19">
        <f>(BF56+BF44-Waterfall!BF16*Waterfall!BF18)*(1-Time!BF20)</f>
        <v/>
      </c>
      <c r="BG58" s="19">
        <f>(BG56+BG44-Waterfall!BG16*Waterfall!BG18)*(1-Time!BG20)</f>
        <v/>
      </c>
      <c r="BH58" s="19">
        <f>(BH56+BH44-Waterfall!BH16*Waterfall!BH18)*(1-Time!BH20)</f>
        <v/>
      </c>
      <c r="BI58" s="19">
        <f>(BI56+BI44-Waterfall!BI16*Waterfall!BI18)*(1-Time!BI20)</f>
        <v/>
      </c>
      <c r="BJ58" s="19">
        <f>(BJ56+BJ44-Waterfall!BJ16*Waterfall!BJ18)*(1-Time!BJ20)</f>
        <v/>
      </c>
      <c r="BK58" s="19">
        <f>(BK56+BK44-Waterfall!BK16*Waterfall!BK18)*(1-Time!BK20)</f>
        <v/>
      </c>
      <c r="BL58" s="19">
        <f>(BL56+BL44-Waterfall!BL16*Waterfall!BL18)*(1-Time!BL20)</f>
        <v/>
      </c>
      <c r="BM58" s="19">
        <f>(BM56+BM44-Waterfall!BM16*Waterfall!BM18)*(1-Time!BM20)</f>
        <v/>
      </c>
      <c r="BN58" s="19">
        <f>(BN56+BN44-Waterfall!BN16*Waterfall!BN18)*(1-Time!BN20)</f>
        <v/>
      </c>
      <c r="BO58" s="19">
        <f>(BO56+BO44-Waterfall!BO16*Waterfall!BO18)*(1-Time!BO20)</f>
        <v/>
      </c>
      <c r="BP58" s="19">
        <f>(BP56+BP44-Waterfall!BP16*Waterfall!BP18)*(1-Time!BP20)</f>
        <v/>
      </c>
      <c r="BQ58" s="19">
        <f>(BQ56+BQ44-Waterfall!BQ16*Waterfall!BQ18)*(1-Time!BQ20)</f>
        <v/>
      </c>
      <c r="BR58" s="19">
        <f>(BR56+BR44-Waterfall!BR16*Waterfall!BR18)*(1-Time!BR20)</f>
        <v/>
      </c>
      <c r="BS58" s="19">
        <f>(BS56+BS44-Waterfall!BS16*Waterfall!BS18)*(1-Time!BS20)</f>
        <v/>
      </c>
      <c r="BT58" s="19">
        <f>(BT56+BT44-Waterfall!BT16*Waterfall!BT18)*(1-Time!BT20)</f>
        <v/>
      </c>
      <c r="BU58" s="19">
        <f>(BU56+BU44-Waterfall!BU16*Waterfall!BU18)*(1-Time!BU20)</f>
        <v/>
      </c>
      <c r="BV58" s="19">
        <f>(BV56+BV44-Waterfall!BV16*Waterfall!BV18)*(1-Time!BV20)</f>
        <v/>
      </c>
      <c r="BW58" s="19">
        <f>(BW56+BW44-Waterfall!BW16*Waterfall!BW18)*(1-Time!BW20)</f>
        <v/>
      </c>
      <c r="BX58" s="19">
        <f>(BX56+BX44-Waterfall!BX16*Waterfall!BX18)*(1-Time!BX20)</f>
        <v/>
      </c>
      <c r="BY58" s="19">
        <f>(BY56+BY44-Waterfall!BY16*Waterfall!BY18)*(1-Time!BY20)</f>
        <v/>
      </c>
      <c r="BZ58" s="19">
        <f>(BZ56+BZ44-Waterfall!BZ16*Waterfall!BZ18)*(1-Time!BZ20)</f>
        <v/>
      </c>
      <c r="CA58" s="19">
        <f>(CA56+CA44-Waterfall!CA16*Waterfall!CA18)*(1-Time!CA20)</f>
        <v/>
      </c>
      <c r="CB58" s="19">
        <f>(CB56+CB44-Waterfall!CB16*Waterfall!CB18)*(1-Time!CB20)</f>
        <v/>
      </c>
      <c r="CC58" s="19">
        <f>(CC56+CC44-Waterfall!CC16*Waterfall!CC18)*(1-Time!CC20)</f>
        <v/>
      </c>
      <c r="CD58" s="19">
        <f>(CD56+CD44-Waterfall!CD16*Waterfall!CD18)*(1-Time!CD20)</f>
        <v/>
      </c>
      <c r="CE58" s="19">
        <f>(CE56+CE44-Waterfall!CE16*Waterfall!CE18)*(1-Time!CE20)</f>
        <v/>
      </c>
      <c r="CF58" s="19">
        <f>(CF56+CF44-Waterfall!CF16*Waterfall!CF18)*(1-Time!CF20)</f>
        <v/>
      </c>
      <c r="CG58" s="19">
        <f>(CG56+CG44-Waterfall!CG16*Waterfall!CG18)*(1-Time!CG20)</f>
        <v/>
      </c>
      <c r="CH58" s="19">
        <f>(CH56+CH44-Waterfall!CH16*Waterfall!CH18)*(1-Time!CH20)</f>
        <v/>
      </c>
      <c r="CI58" s="19">
        <f>(CI56+CI44-Waterfall!CI16*Waterfall!CI18)*(1-Time!CI20)</f>
        <v/>
      </c>
      <c r="CJ58" s="19">
        <f>(CJ56+CJ44-Waterfall!CJ16*Waterfall!CJ18)*(1-Time!CJ20)</f>
        <v/>
      </c>
      <c r="CK58" s="19">
        <f>(CK56+CK44-Waterfall!CK16*Waterfall!CK18)*(1-Time!CK20)</f>
        <v/>
      </c>
      <c r="CL58" s="19">
        <f>(CL56+CL44-Waterfall!CL16*Waterfall!CL18)*(1-Time!CL20)</f>
        <v/>
      </c>
      <c r="CM58" s="19">
        <f>(CM56+CM44-Waterfall!CM16*Waterfall!CM18)*(1-Time!CM20)</f>
        <v/>
      </c>
      <c r="CN58" s="19">
        <f>(CN56+CN44-Waterfall!CN16*Waterfall!CN18)*(1-Time!CN20)</f>
        <v/>
      </c>
      <c r="CO58" s="19">
        <f>(CO56+CO44-Waterfall!CO16*Waterfall!CO18)*(1-Time!CO20)</f>
        <v/>
      </c>
      <c r="CP58" s="19">
        <f>(CP56+CP44-Waterfall!CP16*Waterfall!CP18)*(1-Time!CP20)</f>
        <v/>
      </c>
      <c r="CQ58" s="19">
        <f>(CQ56+CQ44-Waterfall!CQ16*Waterfall!CQ18)*(1-Time!CQ20)</f>
        <v/>
      </c>
      <c r="CR58" s="19">
        <f>(CR56+CR44-Waterfall!CR16*Waterfall!CR18)*(1-Time!CR20)</f>
        <v/>
      </c>
      <c r="CS58" s="19">
        <f>(CS56+CS44-Waterfall!CS16*Waterfall!CS18)*(1-Time!CS20)</f>
        <v/>
      </c>
      <c r="CT58" s="19">
        <f>(CT56+CT44-Waterfall!CT16*Waterfall!CT18)*(1-Time!CT20)</f>
        <v/>
      </c>
      <c r="CU58" s="19">
        <f>(CU56+CU44-Waterfall!CU16*Waterfall!CU18)*(1-Time!CU20)</f>
        <v/>
      </c>
      <c r="CV58" s="19">
        <f>(CV56+CV44-Waterfall!CV16*Waterfall!CV18)*(1-Time!CV20)</f>
        <v/>
      </c>
      <c r="CW58" s="19">
        <f>(CW56+CW44-Waterfall!CW16*Waterfall!CW18)*(1-Time!CW20)</f>
        <v/>
      </c>
      <c r="CX58" s="19">
        <f>(CX56+CX44-Waterfall!CX16*Waterfall!CX18)*(1-Time!CX20)</f>
        <v/>
      </c>
      <c r="CY58" s="19">
        <f>(CY56+CY44-Waterfall!CY16*Waterfall!CY18)*(1-Time!CY20)</f>
        <v/>
      </c>
      <c r="CZ58" s="19">
        <f>(CZ56+CZ44-Waterfall!CZ16*Waterfall!CZ18)*(1-Time!CZ20)</f>
        <v/>
      </c>
      <c r="DA58" s="19">
        <f>(DA56+DA44-Waterfall!DA16*Waterfall!DA18)*(1-Time!DA20)</f>
        <v/>
      </c>
      <c r="DB58" s="19">
        <f>(DB56+DB44-Waterfall!DB16*Waterfall!DB18)*(1-Time!DB20)</f>
        <v/>
      </c>
    </row>
    <row r="59">
      <c r="D59" t="inlineStr">
        <is>
          <t>Bond arrears: closing before restructuring</t>
        </is>
      </c>
      <c r="E59" t="inlineStr">
        <is>
          <t>ARD m</t>
        </is>
      </c>
      <c r="J59" s="19">
        <f>(J57+J51-Waterfall!J16*Waterfall!J19)*(1-Time!J20)</f>
        <v/>
      </c>
      <c r="K59" s="19">
        <f>(K57+K51-Waterfall!K16*Waterfall!K19)*(1-Time!K20)</f>
        <v/>
      </c>
      <c r="L59" s="19">
        <f>(L57+L51-Waterfall!L16*Waterfall!L19)*(1-Time!L20)</f>
        <v/>
      </c>
      <c r="M59" s="19">
        <f>(M57+M51-Waterfall!M16*Waterfall!M19)*(1-Time!M20)</f>
        <v/>
      </c>
      <c r="N59" s="19">
        <f>(N57+N51-Waterfall!N16*Waterfall!N19)*(1-Time!N20)</f>
        <v/>
      </c>
      <c r="O59" s="19">
        <f>(O57+O51-Waterfall!O16*Waterfall!O19)*(1-Time!O20)</f>
        <v/>
      </c>
      <c r="P59" s="19">
        <f>(P57+P51-Waterfall!P16*Waterfall!P19)*(1-Time!P20)</f>
        <v/>
      </c>
      <c r="Q59" s="19">
        <f>(Q57+Q51-Waterfall!Q16*Waterfall!Q19)*(1-Time!Q20)</f>
        <v/>
      </c>
      <c r="R59" s="19">
        <f>(R57+R51-Waterfall!R16*Waterfall!R19)*(1-Time!R20)</f>
        <v/>
      </c>
      <c r="S59" s="19">
        <f>(S57+S51-Waterfall!S16*Waterfall!S19)*(1-Time!S20)</f>
        <v/>
      </c>
      <c r="T59" s="19">
        <f>(T57+T51-Waterfall!T16*Waterfall!T19)*(1-Time!T20)</f>
        <v/>
      </c>
      <c r="U59" s="19">
        <f>(U57+U51-Waterfall!U16*Waterfall!U19)*(1-Time!U20)</f>
        <v/>
      </c>
      <c r="V59" s="19">
        <f>(V57+V51-Waterfall!V16*Waterfall!V19)*(1-Time!V20)</f>
        <v/>
      </c>
      <c r="W59" s="19">
        <f>(W57+W51-Waterfall!W16*Waterfall!W19)*(1-Time!W20)</f>
        <v/>
      </c>
      <c r="X59" s="19">
        <f>(X57+X51-Waterfall!X16*Waterfall!X19)*(1-Time!X20)</f>
        <v/>
      </c>
      <c r="Y59" s="19">
        <f>(Y57+Y51-Waterfall!Y16*Waterfall!Y19)*(1-Time!Y20)</f>
        <v/>
      </c>
      <c r="Z59" s="19">
        <f>(Z57+Z51-Waterfall!Z16*Waterfall!Z19)*(1-Time!Z20)</f>
        <v/>
      </c>
      <c r="AA59" s="19">
        <f>(AA57+AA51-Waterfall!AA16*Waterfall!AA19)*(1-Time!AA20)</f>
        <v/>
      </c>
      <c r="AB59" s="19">
        <f>(AB57+AB51-Waterfall!AB16*Waterfall!AB19)*(1-Time!AB20)</f>
        <v/>
      </c>
      <c r="AC59" s="19">
        <f>(AC57+AC51-Waterfall!AC16*Waterfall!AC19)*(1-Time!AC20)</f>
        <v/>
      </c>
      <c r="AD59" s="19">
        <f>(AD57+AD51-Waterfall!AD16*Waterfall!AD19)*(1-Time!AD20)</f>
        <v/>
      </c>
      <c r="AE59" s="19">
        <f>(AE57+AE51-Waterfall!AE16*Waterfall!AE19)*(1-Time!AE20)</f>
        <v/>
      </c>
      <c r="AF59" s="19">
        <f>(AF57+AF51-Waterfall!AF16*Waterfall!AF19)*(1-Time!AF20)</f>
        <v/>
      </c>
      <c r="AG59" s="19">
        <f>(AG57+AG51-Waterfall!AG16*Waterfall!AG19)*(1-Time!AG20)</f>
        <v/>
      </c>
      <c r="AH59" s="19">
        <f>(AH57+AH51-Waterfall!AH16*Waterfall!AH19)*(1-Time!AH20)</f>
        <v/>
      </c>
      <c r="AI59" s="19">
        <f>(AI57+AI51-Waterfall!AI16*Waterfall!AI19)*(1-Time!AI20)</f>
        <v/>
      </c>
      <c r="AJ59" s="19">
        <f>(AJ57+AJ51-Waterfall!AJ16*Waterfall!AJ19)*(1-Time!AJ20)</f>
        <v/>
      </c>
      <c r="AK59" s="19">
        <f>(AK57+AK51-Waterfall!AK16*Waterfall!AK19)*(1-Time!AK20)</f>
        <v/>
      </c>
      <c r="AL59" s="19">
        <f>(AL57+AL51-Waterfall!AL16*Waterfall!AL19)*(1-Time!AL20)</f>
        <v/>
      </c>
      <c r="AM59" s="19">
        <f>(AM57+AM51-Waterfall!AM16*Waterfall!AM19)*(1-Time!AM20)</f>
        <v/>
      </c>
      <c r="AN59" s="19">
        <f>(AN57+AN51-Waterfall!AN16*Waterfall!AN19)*(1-Time!AN20)</f>
        <v/>
      </c>
      <c r="AO59" s="19">
        <f>(AO57+AO51-Waterfall!AO16*Waterfall!AO19)*(1-Time!AO20)</f>
        <v/>
      </c>
      <c r="AP59" s="19">
        <f>(AP57+AP51-Waterfall!AP16*Waterfall!AP19)*(1-Time!AP20)</f>
        <v/>
      </c>
      <c r="AQ59" s="19">
        <f>(AQ57+AQ51-Waterfall!AQ16*Waterfall!AQ19)*(1-Time!AQ20)</f>
        <v/>
      </c>
      <c r="AR59" s="19">
        <f>(AR57+AR51-Waterfall!AR16*Waterfall!AR19)*(1-Time!AR20)</f>
        <v/>
      </c>
      <c r="AS59" s="19">
        <f>(AS57+AS51-Waterfall!AS16*Waterfall!AS19)*(1-Time!AS20)</f>
        <v/>
      </c>
      <c r="AT59" s="19">
        <f>(AT57+AT51-Waterfall!AT16*Waterfall!AT19)*(1-Time!AT20)</f>
        <v/>
      </c>
      <c r="AU59" s="19">
        <f>(AU57+AU51-Waterfall!AU16*Waterfall!AU19)*(1-Time!AU20)</f>
        <v/>
      </c>
      <c r="AV59" s="19">
        <f>(AV57+AV51-Waterfall!AV16*Waterfall!AV19)*(1-Time!AV20)</f>
        <v/>
      </c>
      <c r="AW59" s="19">
        <f>(AW57+AW51-Waterfall!AW16*Waterfall!AW19)*(1-Time!AW20)</f>
        <v/>
      </c>
      <c r="AX59" s="19">
        <f>(AX57+AX51-Waterfall!AX16*Waterfall!AX19)*(1-Time!AX20)</f>
        <v/>
      </c>
      <c r="AY59" s="19">
        <f>(AY57+AY51-Waterfall!AY16*Waterfall!AY19)*(1-Time!AY20)</f>
        <v/>
      </c>
      <c r="AZ59" s="19">
        <f>(AZ57+AZ51-Waterfall!AZ16*Waterfall!AZ19)*(1-Time!AZ20)</f>
        <v/>
      </c>
      <c r="BA59" s="19">
        <f>(BA57+BA51-Waterfall!BA16*Waterfall!BA19)*(1-Time!BA20)</f>
        <v/>
      </c>
      <c r="BB59" s="19">
        <f>(BB57+BB51-Waterfall!BB16*Waterfall!BB19)*(1-Time!BB20)</f>
        <v/>
      </c>
      <c r="BC59" s="19">
        <f>(BC57+BC51-Waterfall!BC16*Waterfall!BC19)*(1-Time!BC20)</f>
        <v/>
      </c>
      <c r="BD59" s="19">
        <f>(BD57+BD51-Waterfall!BD16*Waterfall!BD19)*(1-Time!BD20)</f>
        <v/>
      </c>
      <c r="BE59" s="19">
        <f>(BE57+BE51-Waterfall!BE16*Waterfall!BE19)*(1-Time!BE20)</f>
        <v/>
      </c>
      <c r="BF59" s="19">
        <f>(BF57+BF51-Waterfall!BF16*Waterfall!BF19)*(1-Time!BF20)</f>
        <v/>
      </c>
      <c r="BG59" s="19">
        <f>(BG57+BG51-Waterfall!BG16*Waterfall!BG19)*(1-Time!BG20)</f>
        <v/>
      </c>
      <c r="BH59" s="19">
        <f>(BH57+BH51-Waterfall!BH16*Waterfall!BH19)*(1-Time!BH20)</f>
        <v/>
      </c>
      <c r="BI59" s="19">
        <f>(BI57+BI51-Waterfall!BI16*Waterfall!BI19)*(1-Time!BI20)</f>
        <v/>
      </c>
      <c r="BJ59" s="19">
        <f>(BJ57+BJ51-Waterfall!BJ16*Waterfall!BJ19)*(1-Time!BJ20)</f>
        <v/>
      </c>
      <c r="BK59" s="19">
        <f>(BK57+BK51-Waterfall!BK16*Waterfall!BK19)*(1-Time!BK20)</f>
        <v/>
      </c>
      <c r="BL59" s="19">
        <f>(BL57+BL51-Waterfall!BL16*Waterfall!BL19)*(1-Time!BL20)</f>
        <v/>
      </c>
      <c r="BM59" s="19">
        <f>(BM57+BM51-Waterfall!BM16*Waterfall!BM19)*(1-Time!BM20)</f>
        <v/>
      </c>
      <c r="BN59" s="19">
        <f>(BN57+BN51-Waterfall!BN16*Waterfall!BN19)*(1-Time!BN20)</f>
        <v/>
      </c>
      <c r="BO59" s="19">
        <f>(BO57+BO51-Waterfall!BO16*Waterfall!BO19)*(1-Time!BO20)</f>
        <v/>
      </c>
      <c r="BP59" s="19">
        <f>(BP57+BP51-Waterfall!BP16*Waterfall!BP19)*(1-Time!BP20)</f>
        <v/>
      </c>
      <c r="BQ59" s="19">
        <f>(BQ57+BQ51-Waterfall!BQ16*Waterfall!BQ19)*(1-Time!BQ20)</f>
        <v/>
      </c>
      <c r="BR59" s="19">
        <f>(BR57+BR51-Waterfall!BR16*Waterfall!BR19)*(1-Time!BR20)</f>
        <v/>
      </c>
      <c r="BS59" s="19">
        <f>(BS57+BS51-Waterfall!BS16*Waterfall!BS19)*(1-Time!BS20)</f>
        <v/>
      </c>
      <c r="BT59" s="19">
        <f>(BT57+BT51-Waterfall!BT16*Waterfall!BT19)*(1-Time!BT20)</f>
        <v/>
      </c>
      <c r="BU59" s="19">
        <f>(BU57+BU51-Waterfall!BU16*Waterfall!BU19)*(1-Time!BU20)</f>
        <v/>
      </c>
      <c r="BV59" s="19">
        <f>(BV57+BV51-Waterfall!BV16*Waterfall!BV19)*(1-Time!BV20)</f>
        <v/>
      </c>
      <c r="BW59" s="19">
        <f>(BW57+BW51-Waterfall!BW16*Waterfall!BW19)*(1-Time!BW20)</f>
        <v/>
      </c>
      <c r="BX59" s="19">
        <f>(BX57+BX51-Waterfall!BX16*Waterfall!BX19)*(1-Time!BX20)</f>
        <v/>
      </c>
      <c r="BY59" s="19">
        <f>(BY57+BY51-Waterfall!BY16*Waterfall!BY19)*(1-Time!BY20)</f>
        <v/>
      </c>
      <c r="BZ59" s="19">
        <f>(BZ57+BZ51-Waterfall!BZ16*Waterfall!BZ19)*(1-Time!BZ20)</f>
        <v/>
      </c>
      <c r="CA59" s="19">
        <f>(CA57+CA51-Waterfall!CA16*Waterfall!CA19)*(1-Time!CA20)</f>
        <v/>
      </c>
      <c r="CB59" s="19">
        <f>(CB57+CB51-Waterfall!CB16*Waterfall!CB19)*(1-Time!CB20)</f>
        <v/>
      </c>
      <c r="CC59" s="19">
        <f>(CC57+CC51-Waterfall!CC16*Waterfall!CC19)*(1-Time!CC20)</f>
        <v/>
      </c>
      <c r="CD59" s="19">
        <f>(CD57+CD51-Waterfall!CD16*Waterfall!CD19)*(1-Time!CD20)</f>
        <v/>
      </c>
      <c r="CE59" s="19">
        <f>(CE57+CE51-Waterfall!CE16*Waterfall!CE19)*(1-Time!CE20)</f>
        <v/>
      </c>
      <c r="CF59" s="19">
        <f>(CF57+CF51-Waterfall!CF16*Waterfall!CF19)*(1-Time!CF20)</f>
        <v/>
      </c>
      <c r="CG59" s="19">
        <f>(CG57+CG51-Waterfall!CG16*Waterfall!CG19)*(1-Time!CG20)</f>
        <v/>
      </c>
      <c r="CH59" s="19">
        <f>(CH57+CH51-Waterfall!CH16*Waterfall!CH19)*(1-Time!CH20)</f>
        <v/>
      </c>
      <c r="CI59" s="19">
        <f>(CI57+CI51-Waterfall!CI16*Waterfall!CI19)*(1-Time!CI20)</f>
        <v/>
      </c>
      <c r="CJ59" s="19">
        <f>(CJ57+CJ51-Waterfall!CJ16*Waterfall!CJ19)*(1-Time!CJ20)</f>
        <v/>
      </c>
      <c r="CK59" s="19">
        <f>(CK57+CK51-Waterfall!CK16*Waterfall!CK19)*(1-Time!CK20)</f>
        <v/>
      </c>
      <c r="CL59" s="19">
        <f>(CL57+CL51-Waterfall!CL16*Waterfall!CL19)*(1-Time!CL20)</f>
        <v/>
      </c>
      <c r="CM59" s="19">
        <f>(CM57+CM51-Waterfall!CM16*Waterfall!CM19)*(1-Time!CM20)</f>
        <v/>
      </c>
      <c r="CN59" s="19">
        <f>(CN57+CN51-Waterfall!CN16*Waterfall!CN19)*(1-Time!CN20)</f>
        <v/>
      </c>
      <c r="CO59" s="19">
        <f>(CO57+CO51-Waterfall!CO16*Waterfall!CO19)*(1-Time!CO20)</f>
        <v/>
      </c>
      <c r="CP59" s="19">
        <f>(CP57+CP51-Waterfall!CP16*Waterfall!CP19)*(1-Time!CP20)</f>
        <v/>
      </c>
      <c r="CQ59" s="19">
        <f>(CQ57+CQ51-Waterfall!CQ16*Waterfall!CQ19)*(1-Time!CQ20)</f>
        <v/>
      </c>
      <c r="CR59" s="19">
        <f>(CR57+CR51-Waterfall!CR16*Waterfall!CR19)*(1-Time!CR20)</f>
        <v/>
      </c>
      <c r="CS59" s="19">
        <f>(CS57+CS51-Waterfall!CS16*Waterfall!CS19)*(1-Time!CS20)</f>
        <v/>
      </c>
      <c r="CT59" s="19">
        <f>(CT57+CT51-Waterfall!CT16*Waterfall!CT19)*(1-Time!CT20)</f>
        <v/>
      </c>
      <c r="CU59" s="19">
        <f>(CU57+CU51-Waterfall!CU16*Waterfall!CU19)*(1-Time!CU20)</f>
        <v/>
      </c>
      <c r="CV59" s="19">
        <f>(CV57+CV51-Waterfall!CV16*Waterfall!CV19)*(1-Time!CV20)</f>
        <v/>
      </c>
      <c r="CW59" s="19">
        <f>(CW57+CW51-Waterfall!CW16*Waterfall!CW19)*(1-Time!CW20)</f>
        <v/>
      </c>
      <c r="CX59" s="19">
        <f>(CX57+CX51-Waterfall!CX16*Waterfall!CX19)*(1-Time!CX20)</f>
        <v/>
      </c>
      <c r="CY59" s="19">
        <f>(CY57+CY51-Waterfall!CY16*Waterfall!CY19)*(1-Time!CY20)</f>
        <v/>
      </c>
      <c r="CZ59" s="19">
        <f>(CZ57+CZ51-Waterfall!CZ16*Waterfall!CZ19)*(1-Time!CZ20)</f>
        <v/>
      </c>
      <c r="DA59" s="19">
        <f>(DA57+DA51-Waterfall!DA16*Waterfall!DA19)*(1-Time!DA20)</f>
        <v/>
      </c>
      <c r="DB59" s="19">
        <f>(DB57+DB51-Waterfall!DB16*Waterfall!DB19)*(1-Time!DB20)</f>
        <v/>
      </c>
    </row>
    <row r="60">
      <c r="D60" t="inlineStr">
        <is>
          <t>Bank arrears: closing</t>
        </is>
      </c>
      <c r="E60" t="inlineStr">
        <is>
          <t>ARD m</t>
        </is>
      </c>
      <c r="J60" s="19">
        <f>IF(Time!J35=1,0,J58)</f>
        <v/>
      </c>
      <c r="K60" s="19">
        <f>IF(Time!K35=1,0,K58)</f>
        <v/>
      </c>
      <c r="L60" s="19">
        <f>IF(Time!L35=1,0,L58)</f>
        <v/>
      </c>
      <c r="M60" s="19">
        <f>IF(Time!M35=1,0,M58)</f>
        <v/>
      </c>
      <c r="N60" s="19">
        <f>IF(Time!N35=1,0,N58)</f>
        <v/>
      </c>
      <c r="O60" s="19">
        <f>IF(Time!O35=1,0,O58)</f>
        <v/>
      </c>
      <c r="P60" s="19">
        <f>IF(Time!P35=1,0,P58)</f>
        <v/>
      </c>
      <c r="Q60" s="19">
        <f>IF(Time!Q35=1,0,Q58)</f>
        <v/>
      </c>
      <c r="R60" s="19">
        <f>IF(Time!R35=1,0,R58)</f>
        <v/>
      </c>
      <c r="S60" s="19">
        <f>IF(Time!S35=1,0,S58)</f>
        <v/>
      </c>
      <c r="T60" s="19">
        <f>IF(Time!T35=1,0,T58)</f>
        <v/>
      </c>
      <c r="U60" s="19">
        <f>IF(Time!U35=1,0,U58)</f>
        <v/>
      </c>
      <c r="V60" s="19">
        <f>IF(Time!V35=1,0,V58)</f>
        <v/>
      </c>
      <c r="W60" s="19">
        <f>IF(Time!W35=1,0,W58)</f>
        <v/>
      </c>
      <c r="X60" s="19">
        <f>IF(Time!X35=1,0,X58)</f>
        <v/>
      </c>
      <c r="Y60" s="19">
        <f>IF(Time!Y35=1,0,Y58)</f>
        <v/>
      </c>
      <c r="Z60" s="19">
        <f>IF(Time!Z35=1,0,Z58)</f>
        <v/>
      </c>
      <c r="AA60" s="19">
        <f>IF(Time!AA35=1,0,AA58)</f>
        <v/>
      </c>
      <c r="AB60" s="19">
        <f>IF(Time!AB35=1,0,AB58)</f>
        <v/>
      </c>
      <c r="AC60" s="19">
        <f>IF(Time!AC35=1,0,AC58)</f>
        <v/>
      </c>
      <c r="AD60" s="19">
        <f>IF(Time!AD35=1,0,AD58)</f>
        <v/>
      </c>
      <c r="AE60" s="19">
        <f>IF(Time!AE35=1,0,AE58)</f>
        <v/>
      </c>
      <c r="AF60" s="19">
        <f>IF(Time!AF35=1,0,AF58)</f>
        <v/>
      </c>
      <c r="AG60" s="19">
        <f>IF(Time!AG35=1,0,AG58)</f>
        <v/>
      </c>
      <c r="AH60" s="19">
        <f>IF(Time!AH35=1,0,AH58)</f>
        <v/>
      </c>
      <c r="AI60" s="19">
        <f>IF(Time!AI35=1,0,AI58)</f>
        <v/>
      </c>
      <c r="AJ60" s="19">
        <f>IF(Time!AJ35=1,0,AJ58)</f>
        <v/>
      </c>
      <c r="AK60" s="19">
        <f>IF(Time!AK35=1,0,AK58)</f>
        <v/>
      </c>
      <c r="AL60" s="19">
        <f>IF(Time!AL35=1,0,AL58)</f>
        <v/>
      </c>
      <c r="AM60" s="19">
        <f>IF(Time!AM35=1,0,AM58)</f>
        <v/>
      </c>
      <c r="AN60" s="19">
        <f>IF(Time!AN35=1,0,AN58)</f>
        <v/>
      </c>
      <c r="AO60" s="19">
        <f>IF(Time!AO35=1,0,AO58)</f>
        <v/>
      </c>
      <c r="AP60" s="19">
        <f>IF(Time!AP35=1,0,AP58)</f>
        <v/>
      </c>
      <c r="AQ60" s="19">
        <f>IF(Time!AQ35=1,0,AQ58)</f>
        <v/>
      </c>
      <c r="AR60" s="19">
        <f>IF(Time!AR35=1,0,AR58)</f>
        <v/>
      </c>
      <c r="AS60" s="19">
        <f>IF(Time!AS35=1,0,AS58)</f>
        <v/>
      </c>
      <c r="AT60" s="19">
        <f>IF(Time!AT35=1,0,AT58)</f>
        <v/>
      </c>
      <c r="AU60" s="19">
        <f>IF(Time!AU35=1,0,AU58)</f>
        <v/>
      </c>
      <c r="AV60" s="19">
        <f>IF(Time!AV35=1,0,AV58)</f>
        <v/>
      </c>
      <c r="AW60" s="19">
        <f>IF(Time!AW35=1,0,AW58)</f>
        <v/>
      </c>
      <c r="AX60" s="19">
        <f>IF(Time!AX35=1,0,AX58)</f>
        <v/>
      </c>
      <c r="AY60" s="19">
        <f>IF(Time!AY35=1,0,AY58)</f>
        <v/>
      </c>
      <c r="AZ60" s="19">
        <f>IF(Time!AZ35=1,0,AZ58)</f>
        <v/>
      </c>
      <c r="BA60" s="19">
        <f>IF(Time!BA35=1,0,BA58)</f>
        <v/>
      </c>
      <c r="BB60" s="19">
        <f>IF(Time!BB35=1,0,BB58)</f>
        <v/>
      </c>
      <c r="BC60" s="19">
        <f>IF(Time!BC35=1,0,BC58)</f>
        <v/>
      </c>
      <c r="BD60" s="19">
        <f>IF(Time!BD35=1,0,BD58)</f>
        <v/>
      </c>
      <c r="BE60" s="19">
        <f>IF(Time!BE35=1,0,BE58)</f>
        <v/>
      </c>
      <c r="BF60" s="19">
        <f>IF(Time!BF35=1,0,BF58)</f>
        <v/>
      </c>
      <c r="BG60" s="19">
        <f>IF(Time!BG35=1,0,BG58)</f>
        <v/>
      </c>
      <c r="BH60" s="19">
        <f>IF(Time!BH35=1,0,BH58)</f>
        <v/>
      </c>
      <c r="BI60" s="19">
        <f>IF(Time!BI35=1,0,BI58)</f>
        <v/>
      </c>
      <c r="BJ60" s="19">
        <f>IF(Time!BJ35=1,0,BJ58)</f>
        <v/>
      </c>
      <c r="BK60" s="19">
        <f>IF(Time!BK35=1,0,BK58)</f>
        <v/>
      </c>
      <c r="BL60" s="19">
        <f>IF(Time!BL35=1,0,BL58)</f>
        <v/>
      </c>
      <c r="BM60" s="19">
        <f>IF(Time!BM35=1,0,BM58)</f>
        <v/>
      </c>
      <c r="BN60" s="19">
        <f>IF(Time!BN35=1,0,BN58)</f>
        <v/>
      </c>
      <c r="BO60" s="19">
        <f>IF(Time!BO35=1,0,BO58)</f>
        <v/>
      </c>
      <c r="BP60" s="19">
        <f>IF(Time!BP35=1,0,BP58)</f>
        <v/>
      </c>
      <c r="BQ60" s="19">
        <f>IF(Time!BQ35=1,0,BQ58)</f>
        <v/>
      </c>
      <c r="BR60" s="19">
        <f>IF(Time!BR35=1,0,BR58)</f>
        <v/>
      </c>
      <c r="BS60" s="19">
        <f>IF(Time!BS35=1,0,BS58)</f>
        <v/>
      </c>
      <c r="BT60" s="19">
        <f>IF(Time!BT35=1,0,BT58)</f>
        <v/>
      </c>
      <c r="BU60" s="19">
        <f>IF(Time!BU35=1,0,BU58)</f>
        <v/>
      </c>
      <c r="BV60" s="19">
        <f>IF(Time!BV35=1,0,BV58)</f>
        <v/>
      </c>
      <c r="BW60" s="19">
        <f>IF(Time!BW35=1,0,BW58)</f>
        <v/>
      </c>
      <c r="BX60" s="19">
        <f>IF(Time!BX35=1,0,BX58)</f>
        <v/>
      </c>
      <c r="BY60" s="19">
        <f>IF(Time!BY35=1,0,BY58)</f>
        <v/>
      </c>
      <c r="BZ60" s="19">
        <f>IF(Time!BZ35=1,0,BZ58)</f>
        <v/>
      </c>
      <c r="CA60" s="19">
        <f>IF(Time!CA35=1,0,CA58)</f>
        <v/>
      </c>
      <c r="CB60" s="19">
        <f>IF(Time!CB35=1,0,CB58)</f>
        <v/>
      </c>
      <c r="CC60" s="19">
        <f>IF(Time!CC35=1,0,CC58)</f>
        <v/>
      </c>
      <c r="CD60" s="19">
        <f>IF(Time!CD35=1,0,CD58)</f>
        <v/>
      </c>
      <c r="CE60" s="19">
        <f>IF(Time!CE35=1,0,CE58)</f>
        <v/>
      </c>
      <c r="CF60" s="19">
        <f>IF(Time!CF35=1,0,CF58)</f>
        <v/>
      </c>
      <c r="CG60" s="19">
        <f>IF(Time!CG35=1,0,CG58)</f>
        <v/>
      </c>
      <c r="CH60" s="19">
        <f>IF(Time!CH35=1,0,CH58)</f>
        <v/>
      </c>
      <c r="CI60" s="19">
        <f>IF(Time!CI35=1,0,CI58)</f>
        <v/>
      </c>
      <c r="CJ60" s="19">
        <f>IF(Time!CJ35=1,0,CJ58)</f>
        <v/>
      </c>
      <c r="CK60" s="19">
        <f>IF(Time!CK35=1,0,CK58)</f>
        <v/>
      </c>
      <c r="CL60" s="19">
        <f>IF(Time!CL35=1,0,CL58)</f>
        <v/>
      </c>
      <c r="CM60" s="19">
        <f>IF(Time!CM35=1,0,CM58)</f>
        <v/>
      </c>
      <c r="CN60" s="19">
        <f>IF(Time!CN35=1,0,CN58)</f>
        <v/>
      </c>
      <c r="CO60" s="19">
        <f>IF(Time!CO35=1,0,CO58)</f>
        <v/>
      </c>
      <c r="CP60" s="19">
        <f>IF(Time!CP35=1,0,CP58)</f>
        <v/>
      </c>
      <c r="CQ60" s="19">
        <f>IF(Time!CQ35=1,0,CQ58)</f>
        <v/>
      </c>
      <c r="CR60" s="19">
        <f>IF(Time!CR35=1,0,CR58)</f>
        <v/>
      </c>
      <c r="CS60" s="19">
        <f>IF(Time!CS35=1,0,CS58)</f>
        <v/>
      </c>
      <c r="CT60" s="19">
        <f>IF(Time!CT35=1,0,CT58)</f>
        <v/>
      </c>
      <c r="CU60" s="19">
        <f>IF(Time!CU35=1,0,CU58)</f>
        <v/>
      </c>
      <c r="CV60" s="19">
        <f>IF(Time!CV35=1,0,CV58)</f>
        <v/>
      </c>
      <c r="CW60" s="19">
        <f>IF(Time!CW35=1,0,CW58)</f>
        <v/>
      </c>
      <c r="CX60" s="19">
        <f>IF(Time!CX35=1,0,CX58)</f>
        <v/>
      </c>
      <c r="CY60" s="19">
        <f>IF(Time!CY35=1,0,CY58)</f>
        <v/>
      </c>
      <c r="CZ60" s="19">
        <f>IF(Time!CZ35=1,0,CZ58)</f>
        <v/>
      </c>
      <c r="DA60" s="19">
        <f>IF(Time!DA35=1,0,DA58)</f>
        <v/>
      </c>
      <c r="DB60" s="19">
        <f>IF(Time!DB35=1,0,DB58)</f>
        <v/>
      </c>
    </row>
    <row r="61">
      <c r="D61" t="inlineStr">
        <is>
          <t>Bond arrears: closing</t>
        </is>
      </c>
      <c r="E61" t="inlineStr">
        <is>
          <t>ARD m</t>
        </is>
      </c>
      <c r="J61" s="19">
        <f>IF(Time!J35=1,0,J59)</f>
        <v/>
      </c>
      <c r="K61" s="19">
        <f>IF(Time!K35=1,0,K59)</f>
        <v/>
      </c>
      <c r="L61" s="19">
        <f>IF(Time!L35=1,0,L59)</f>
        <v/>
      </c>
      <c r="M61" s="19">
        <f>IF(Time!M35=1,0,M59)</f>
        <v/>
      </c>
      <c r="N61" s="19">
        <f>IF(Time!N35=1,0,N59)</f>
        <v/>
      </c>
      <c r="O61" s="19">
        <f>IF(Time!O35=1,0,O59)</f>
        <v/>
      </c>
      <c r="P61" s="19">
        <f>IF(Time!P35=1,0,P59)</f>
        <v/>
      </c>
      <c r="Q61" s="19">
        <f>IF(Time!Q35=1,0,Q59)</f>
        <v/>
      </c>
      <c r="R61" s="19">
        <f>IF(Time!R35=1,0,R59)</f>
        <v/>
      </c>
      <c r="S61" s="19">
        <f>IF(Time!S35=1,0,S59)</f>
        <v/>
      </c>
      <c r="T61" s="19">
        <f>IF(Time!T35=1,0,T59)</f>
        <v/>
      </c>
      <c r="U61" s="19">
        <f>IF(Time!U35=1,0,U59)</f>
        <v/>
      </c>
      <c r="V61" s="19">
        <f>IF(Time!V35=1,0,V59)</f>
        <v/>
      </c>
      <c r="W61" s="19">
        <f>IF(Time!W35=1,0,W59)</f>
        <v/>
      </c>
      <c r="X61" s="19">
        <f>IF(Time!X35=1,0,X59)</f>
        <v/>
      </c>
      <c r="Y61" s="19">
        <f>IF(Time!Y35=1,0,Y59)</f>
        <v/>
      </c>
      <c r="Z61" s="19">
        <f>IF(Time!Z35=1,0,Z59)</f>
        <v/>
      </c>
      <c r="AA61" s="19">
        <f>IF(Time!AA35=1,0,AA59)</f>
        <v/>
      </c>
      <c r="AB61" s="19">
        <f>IF(Time!AB35=1,0,AB59)</f>
        <v/>
      </c>
      <c r="AC61" s="19">
        <f>IF(Time!AC35=1,0,AC59)</f>
        <v/>
      </c>
      <c r="AD61" s="19">
        <f>IF(Time!AD35=1,0,AD59)</f>
        <v/>
      </c>
      <c r="AE61" s="19">
        <f>IF(Time!AE35=1,0,AE59)</f>
        <v/>
      </c>
      <c r="AF61" s="19">
        <f>IF(Time!AF35=1,0,AF59)</f>
        <v/>
      </c>
      <c r="AG61" s="19">
        <f>IF(Time!AG35=1,0,AG59)</f>
        <v/>
      </c>
      <c r="AH61" s="19">
        <f>IF(Time!AH35=1,0,AH59)</f>
        <v/>
      </c>
      <c r="AI61" s="19">
        <f>IF(Time!AI35=1,0,AI59)</f>
        <v/>
      </c>
      <c r="AJ61" s="19">
        <f>IF(Time!AJ35=1,0,AJ59)</f>
        <v/>
      </c>
      <c r="AK61" s="19">
        <f>IF(Time!AK35=1,0,AK59)</f>
        <v/>
      </c>
      <c r="AL61" s="19">
        <f>IF(Time!AL35=1,0,AL59)</f>
        <v/>
      </c>
      <c r="AM61" s="19">
        <f>IF(Time!AM35=1,0,AM59)</f>
        <v/>
      </c>
      <c r="AN61" s="19">
        <f>IF(Time!AN35=1,0,AN59)</f>
        <v/>
      </c>
      <c r="AO61" s="19">
        <f>IF(Time!AO35=1,0,AO59)</f>
        <v/>
      </c>
      <c r="AP61" s="19">
        <f>IF(Time!AP35=1,0,AP59)</f>
        <v/>
      </c>
      <c r="AQ61" s="19">
        <f>IF(Time!AQ35=1,0,AQ59)</f>
        <v/>
      </c>
      <c r="AR61" s="19">
        <f>IF(Time!AR35=1,0,AR59)</f>
        <v/>
      </c>
      <c r="AS61" s="19">
        <f>IF(Time!AS35=1,0,AS59)</f>
        <v/>
      </c>
      <c r="AT61" s="19">
        <f>IF(Time!AT35=1,0,AT59)</f>
        <v/>
      </c>
      <c r="AU61" s="19">
        <f>IF(Time!AU35=1,0,AU59)</f>
        <v/>
      </c>
      <c r="AV61" s="19">
        <f>IF(Time!AV35=1,0,AV59)</f>
        <v/>
      </c>
      <c r="AW61" s="19">
        <f>IF(Time!AW35=1,0,AW59)</f>
        <v/>
      </c>
      <c r="AX61" s="19">
        <f>IF(Time!AX35=1,0,AX59)</f>
        <v/>
      </c>
      <c r="AY61" s="19">
        <f>IF(Time!AY35=1,0,AY59)</f>
        <v/>
      </c>
      <c r="AZ61" s="19">
        <f>IF(Time!AZ35=1,0,AZ59)</f>
        <v/>
      </c>
      <c r="BA61" s="19">
        <f>IF(Time!BA35=1,0,BA59)</f>
        <v/>
      </c>
      <c r="BB61" s="19">
        <f>IF(Time!BB35=1,0,BB59)</f>
        <v/>
      </c>
      <c r="BC61" s="19">
        <f>IF(Time!BC35=1,0,BC59)</f>
        <v/>
      </c>
      <c r="BD61" s="19">
        <f>IF(Time!BD35=1,0,BD59)</f>
        <v/>
      </c>
      <c r="BE61" s="19">
        <f>IF(Time!BE35=1,0,BE59)</f>
        <v/>
      </c>
      <c r="BF61" s="19">
        <f>IF(Time!BF35=1,0,BF59)</f>
        <v/>
      </c>
      <c r="BG61" s="19">
        <f>IF(Time!BG35=1,0,BG59)</f>
        <v/>
      </c>
      <c r="BH61" s="19">
        <f>IF(Time!BH35=1,0,BH59)</f>
        <v/>
      </c>
      <c r="BI61" s="19">
        <f>IF(Time!BI35=1,0,BI59)</f>
        <v/>
      </c>
      <c r="BJ61" s="19">
        <f>IF(Time!BJ35=1,0,BJ59)</f>
        <v/>
      </c>
      <c r="BK61" s="19">
        <f>IF(Time!BK35=1,0,BK59)</f>
        <v/>
      </c>
      <c r="BL61" s="19">
        <f>IF(Time!BL35=1,0,BL59)</f>
        <v/>
      </c>
      <c r="BM61" s="19">
        <f>IF(Time!BM35=1,0,BM59)</f>
        <v/>
      </c>
      <c r="BN61" s="19">
        <f>IF(Time!BN35=1,0,BN59)</f>
        <v/>
      </c>
      <c r="BO61" s="19">
        <f>IF(Time!BO35=1,0,BO59)</f>
        <v/>
      </c>
      <c r="BP61" s="19">
        <f>IF(Time!BP35=1,0,BP59)</f>
        <v/>
      </c>
      <c r="BQ61" s="19">
        <f>IF(Time!BQ35=1,0,BQ59)</f>
        <v/>
      </c>
      <c r="BR61" s="19">
        <f>IF(Time!BR35=1,0,BR59)</f>
        <v/>
      </c>
      <c r="BS61" s="19">
        <f>IF(Time!BS35=1,0,BS59)</f>
        <v/>
      </c>
      <c r="BT61" s="19">
        <f>IF(Time!BT35=1,0,BT59)</f>
        <v/>
      </c>
      <c r="BU61" s="19">
        <f>IF(Time!BU35=1,0,BU59)</f>
        <v/>
      </c>
      <c r="BV61" s="19">
        <f>IF(Time!BV35=1,0,BV59)</f>
        <v/>
      </c>
      <c r="BW61" s="19">
        <f>IF(Time!BW35=1,0,BW59)</f>
        <v/>
      </c>
      <c r="BX61" s="19">
        <f>IF(Time!BX35=1,0,BX59)</f>
        <v/>
      </c>
      <c r="BY61" s="19">
        <f>IF(Time!BY35=1,0,BY59)</f>
        <v/>
      </c>
      <c r="BZ61" s="19">
        <f>IF(Time!BZ35=1,0,BZ59)</f>
        <v/>
      </c>
      <c r="CA61" s="19">
        <f>IF(Time!CA35=1,0,CA59)</f>
        <v/>
      </c>
      <c r="CB61" s="19">
        <f>IF(Time!CB35=1,0,CB59)</f>
        <v/>
      </c>
      <c r="CC61" s="19">
        <f>IF(Time!CC35=1,0,CC59)</f>
        <v/>
      </c>
      <c r="CD61" s="19">
        <f>IF(Time!CD35=1,0,CD59)</f>
        <v/>
      </c>
      <c r="CE61" s="19">
        <f>IF(Time!CE35=1,0,CE59)</f>
        <v/>
      </c>
      <c r="CF61" s="19">
        <f>IF(Time!CF35=1,0,CF59)</f>
        <v/>
      </c>
      <c r="CG61" s="19">
        <f>IF(Time!CG35=1,0,CG59)</f>
        <v/>
      </c>
      <c r="CH61" s="19">
        <f>IF(Time!CH35=1,0,CH59)</f>
        <v/>
      </c>
      <c r="CI61" s="19">
        <f>IF(Time!CI35=1,0,CI59)</f>
        <v/>
      </c>
      <c r="CJ61" s="19">
        <f>IF(Time!CJ35=1,0,CJ59)</f>
        <v/>
      </c>
      <c r="CK61" s="19">
        <f>IF(Time!CK35=1,0,CK59)</f>
        <v/>
      </c>
      <c r="CL61" s="19">
        <f>IF(Time!CL35=1,0,CL59)</f>
        <v/>
      </c>
      <c r="CM61" s="19">
        <f>IF(Time!CM35=1,0,CM59)</f>
        <v/>
      </c>
      <c r="CN61" s="19">
        <f>IF(Time!CN35=1,0,CN59)</f>
        <v/>
      </c>
      <c r="CO61" s="19">
        <f>IF(Time!CO35=1,0,CO59)</f>
        <v/>
      </c>
      <c r="CP61" s="19">
        <f>IF(Time!CP35=1,0,CP59)</f>
        <v/>
      </c>
      <c r="CQ61" s="19">
        <f>IF(Time!CQ35=1,0,CQ59)</f>
        <v/>
      </c>
      <c r="CR61" s="19">
        <f>IF(Time!CR35=1,0,CR59)</f>
        <v/>
      </c>
      <c r="CS61" s="19">
        <f>IF(Time!CS35=1,0,CS59)</f>
        <v/>
      </c>
      <c r="CT61" s="19">
        <f>IF(Time!CT35=1,0,CT59)</f>
        <v/>
      </c>
      <c r="CU61" s="19">
        <f>IF(Time!CU35=1,0,CU59)</f>
        <v/>
      </c>
      <c r="CV61" s="19">
        <f>IF(Time!CV35=1,0,CV59)</f>
        <v/>
      </c>
      <c r="CW61" s="19">
        <f>IF(Time!CW35=1,0,CW59)</f>
        <v/>
      </c>
      <c r="CX61" s="19">
        <f>IF(Time!CX35=1,0,CX59)</f>
        <v/>
      </c>
      <c r="CY61" s="19">
        <f>IF(Time!CY35=1,0,CY59)</f>
        <v/>
      </c>
      <c r="CZ61" s="19">
        <f>IF(Time!CZ35=1,0,CZ59)</f>
        <v/>
      </c>
      <c r="DA61" s="19">
        <f>IF(Time!DA35=1,0,DA59)</f>
        <v/>
      </c>
      <c r="DB61" s="19">
        <f>IF(Time!DB35=1,0,DB59)</f>
        <v/>
      </c>
    </row>
    <row r="62">
      <c r="D62" s="3" t="inlineStr">
        <is>
          <t>Debt service due (all senior)</t>
        </is>
      </c>
    </row>
    <row r="63">
      <c r="D63" t="inlineStr">
        <is>
          <t>Restructured notes interest due (30/360)</t>
        </is>
      </c>
      <c r="E63" t="inlineStr">
        <is>
          <t>ARD m</t>
        </is>
      </c>
      <c r="G63" s="19">
        <f>SUM(J63:DB63)</f>
        <v/>
      </c>
      <c r="J63" s="19">
        <f>J93*J10</f>
        <v/>
      </c>
      <c r="K63" s="19">
        <f>K93*K10</f>
        <v/>
      </c>
      <c r="L63" s="19">
        <f>L93*L10</f>
        <v/>
      </c>
      <c r="M63" s="19">
        <f>M93*M10</f>
        <v/>
      </c>
      <c r="N63" s="19">
        <f>N93*N10</f>
        <v/>
      </c>
      <c r="O63" s="19">
        <f>O93*O10</f>
        <v/>
      </c>
      <c r="P63" s="19">
        <f>P93*P10</f>
        <v/>
      </c>
      <c r="Q63" s="19">
        <f>Q93*Q10</f>
        <v/>
      </c>
      <c r="R63" s="19">
        <f>R93*R10</f>
        <v/>
      </c>
      <c r="S63" s="19">
        <f>S93*S10</f>
        <v/>
      </c>
      <c r="T63" s="19">
        <f>T93*T10</f>
        <v/>
      </c>
      <c r="U63" s="19">
        <f>U93*U10</f>
        <v/>
      </c>
      <c r="V63" s="19">
        <f>V93*V10</f>
        <v/>
      </c>
      <c r="W63" s="19">
        <f>W93*W10</f>
        <v/>
      </c>
      <c r="X63" s="19">
        <f>X93*X10</f>
        <v/>
      </c>
      <c r="Y63" s="19">
        <f>Y93*Y10</f>
        <v/>
      </c>
      <c r="Z63" s="19">
        <f>Z93*Z10</f>
        <v/>
      </c>
      <c r="AA63" s="19">
        <f>AA93*AA10</f>
        <v/>
      </c>
      <c r="AB63" s="19">
        <f>AB93*AB10</f>
        <v/>
      </c>
      <c r="AC63" s="19">
        <f>AC93*AC10</f>
        <v/>
      </c>
      <c r="AD63" s="19">
        <f>AD93*AD10</f>
        <v/>
      </c>
      <c r="AE63" s="19">
        <f>AE93*AE10</f>
        <v/>
      </c>
      <c r="AF63" s="19">
        <f>AF93*AF10</f>
        <v/>
      </c>
      <c r="AG63" s="19">
        <f>AG93*AG10</f>
        <v/>
      </c>
      <c r="AH63" s="19">
        <f>AH93*AH10</f>
        <v/>
      </c>
      <c r="AI63" s="19">
        <f>AI93*AI10</f>
        <v/>
      </c>
      <c r="AJ63" s="19">
        <f>AJ93*AJ10</f>
        <v/>
      </c>
      <c r="AK63" s="19">
        <f>AK93*AK10</f>
        <v/>
      </c>
      <c r="AL63" s="19">
        <f>AL93*AL10</f>
        <v/>
      </c>
      <c r="AM63" s="19">
        <f>AM93*AM10</f>
        <v/>
      </c>
      <c r="AN63" s="19">
        <f>AN93*AN10</f>
        <v/>
      </c>
      <c r="AO63" s="19">
        <f>AO93*AO10</f>
        <v/>
      </c>
      <c r="AP63" s="19">
        <f>AP93*AP10</f>
        <v/>
      </c>
      <c r="AQ63" s="19">
        <f>AQ93*AQ10</f>
        <v/>
      </c>
      <c r="AR63" s="19">
        <f>AR93*AR10</f>
        <v/>
      </c>
      <c r="AS63" s="19">
        <f>AS93*AS10</f>
        <v/>
      </c>
      <c r="AT63" s="19">
        <f>AT93*AT10</f>
        <v/>
      </c>
      <c r="AU63" s="19">
        <f>AU93*AU10</f>
        <v/>
      </c>
      <c r="AV63" s="19">
        <f>AV93*AV10</f>
        <v/>
      </c>
      <c r="AW63" s="19">
        <f>AW93*AW10</f>
        <v/>
      </c>
      <c r="AX63" s="19">
        <f>AX93*AX10</f>
        <v/>
      </c>
      <c r="AY63" s="19">
        <f>AY93*AY10</f>
        <v/>
      </c>
      <c r="AZ63" s="19">
        <f>AZ93*AZ10</f>
        <v/>
      </c>
      <c r="BA63" s="19">
        <f>BA93*BA10</f>
        <v/>
      </c>
      <c r="BB63" s="19">
        <f>BB93*BB10</f>
        <v/>
      </c>
      <c r="BC63" s="19">
        <f>BC93*BC10</f>
        <v/>
      </c>
      <c r="BD63" s="19">
        <f>BD93*BD10</f>
        <v/>
      </c>
      <c r="BE63" s="19">
        <f>BE93*BE10</f>
        <v/>
      </c>
      <c r="BF63" s="19">
        <f>BF93*BF10</f>
        <v/>
      </c>
      <c r="BG63" s="19">
        <f>BG93*BG10</f>
        <v/>
      </c>
      <c r="BH63" s="19">
        <f>BH93*BH10</f>
        <v/>
      </c>
      <c r="BI63" s="19">
        <f>BI93*BI10</f>
        <v/>
      </c>
      <c r="BJ63" s="19">
        <f>BJ93*BJ10</f>
        <v/>
      </c>
      <c r="BK63" s="19">
        <f>BK93*BK10</f>
        <v/>
      </c>
      <c r="BL63" s="19">
        <f>BL93*BL10</f>
        <v/>
      </c>
      <c r="BM63" s="19">
        <f>BM93*BM10</f>
        <v/>
      </c>
      <c r="BN63" s="19">
        <f>BN93*BN10</f>
        <v/>
      </c>
      <c r="BO63" s="19">
        <f>BO93*BO10</f>
        <v/>
      </c>
      <c r="BP63" s="19">
        <f>BP93*BP10</f>
        <v/>
      </c>
      <c r="BQ63" s="19">
        <f>BQ93*BQ10</f>
        <v/>
      </c>
      <c r="BR63" s="19">
        <f>BR93*BR10</f>
        <v/>
      </c>
      <c r="BS63" s="19">
        <f>BS93*BS10</f>
        <v/>
      </c>
      <c r="BT63" s="19">
        <f>BT93*BT10</f>
        <v/>
      </c>
      <c r="BU63" s="19">
        <f>BU93*BU10</f>
        <v/>
      </c>
      <c r="BV63" s="19">
        <f>BV93*BV10</f>
        <v/>
      </c>
      <c r="BW63" s="19">
        <f>BW93*BW10</f>
        <v/>
      </c>
      <c r="BX63" s="19">
        <f>BX93*BX10</f>
        <v/>
      </c>
      <c r="BY63" s="19">
        <f>BY93*BY10</f>
        <v/>
      </c>
      <c r="BZ63" s="19">
        <f>BZ93*BZ10</f>
        <v/>
      </c>
      <c r="CA63" s="19">
        <f>CA93*CA10</f>
        <v/>
      </c>
      <c r="CB63" s="19">
        <f>CB93*CB10</f>
        <v/>
      </c>
      <c r="CC63" s="19">
        <f>CC93*CC10</f>
        <v/>
      </c>
      <c r="CD63" s="19">
        <f>CD93*CD10</f>
        <v/>
      </c>
      <c r="CE63" s="19">
        <f>CE93*CE10</f>
        <v/>
      </c>
      <c r="CF63" s="19">
        <f>CF93*CF10</f>
        <v/>
      </c>
      <c r="CG63" s="19">
        <f>CG93*CG10</f>
        <v/>
      </c>
      <c r="CH63" s="19">
        <f>CH93*CH10</f>
        <v/>
      </c>
      <c r="CI63" s="19">
        <f>CI93*CI10</f>
        <v/>
      </c>
      <c r="CJ63" s="19">
        <f>CJ93*CJ10</f>
        <v/>
      </c>
      <c r="CK63" s="19">
        <f>CK93*CK10</f>
        <v/>
      </c>
      <c r="CL63" s="19">
        <f>CL93*CL10</f>
        <v/>
      </c>
      <c r="CM63" s="19">
        <f>CM93*CM10</f>
        <v/>
      </c>
      <c r="CN63" s="19">
        <f>CN93*CN10</f>
        <v/>
      </c>
      <c r="CO63" s="19">
        <f>CO93*CO10</f>
        <v/>
      </c>
      <c r="CP63" s="19">
        <f>CP93*CP10</f>
        <v/>
      </c>
      <c r="CQ63" s="19">
        <f>CQ93*CQ10</f>
        <v/>
      </c>
      <c r="CR63" s="19">
        <f>CR93*CR10</f>
        <v/>
      </c>
      <c r="CS63" s="19">
        <f>CS93*CS10</f>
        <v/>
      </c>
      <c r="CT63" s="19">
        <f>CT93*CT10</f>
        <v/>
      </c>
      <c r="CU63" s="19">
        <f>CU93*CU10</f>
        <v/>
      </c>
      <c r="CV63" s="19">
        <f>CV93*CV10</f>
        <v/>
      </c>
      <c r="CW63" s="19">
        <f>CW93*CW10</f>
        <v/>
      </c>
      <c r="CX63" s="19">
        <f>CX93*CX10</f>
        <v/>
      </c>
      <c r="CY63" s="19">
        <f>CY93*CY10</f>
        <v/>
      </c>
      <c r="CZ63" s="19">
        <f>CZ93*CZ10</f>
        <v/>
      </c>
      <c r="DA63" s="19">
        <f>DA93*DA10</f>
        <v/>
      </c>
      <c r="DB63" s="19">
        <f>DB93*DB10</f>
        <v/>
      </c>
    </row>
    <row r="64">
      <c r="D64" t="inlineStr">
        <is>
          <t>Senior interest due</t>
        </is>
      </c>
      <c r="E64" t="inlineStr">
        <is>
          <t>ARD m</t>
        </is>
      </c>
      <c r="G64" s="19">
        <f>SUM(J64:DB64)</f>
        <v/>
      </c>
      <c r="J64" s="19">
        <f>J44+J51+J63</f>
        <v/>
      </c>
      <c r="K64" s="19">
        <f>K44+K51+K63</f>
        <v/>
      </c>
      <c r="L64" s="19">
        <f>L44+L51+L63</f>
        <v/>
      </c>
      <c r="M64" s="19">
        <f>M44+M51+M63</f>
        <v/>
      </c>
      <c r="N64" s="19">
        <f>N44+N51+N63</f>
        <v/>
      </c>
      <c r="O64" s="19">
        <f>O44+O51+O63</f>
        <v/>
      </c>
      <c r="P64" s="19">
        <f>P44+P51+P63</f>
        <v/>
      </c>
      <c r="Q64" s="19">
        <f>Q44+Q51+Q63</f>
        <v/>
      </c>
      <c r="R64" s="19">
        <f>R44+R51+R63</f>
        <v/>
      </c>
      <c r="S64" s="19">
        <f>S44+S51+S63</f>
        <v/>
      </c>
      <c r="T64" s="19">
        <f>T44+T51+T63</f>
        <v/>
      </c>
      <c r="U64" s="19">
        <f>U44+U51+U63</f>
        <v/>
      </c>
      <c r="V64" s="19">
        <f>V44+V51+V63</f>
        <v/>
      </c>
      <c r="W64" s="19">
        <f>W44+W51+W63</f>
        <v/>
      </c>
      <c r="X64" s="19">
        <f>X44+X51+X63</f>
        <v/>
      </c>
      <c r="Y64" s="19">
        <f>Y44+Y51+Y63</f>
        <v/>
      </c>
      <c r="Z64" s="19">
        <f>Z44+Z51+Z63</f>
        <v/>
      </c>
      <c r="AA64" s="19">
        <f>AA44+AA51+AA63</f>
        <v/>
      </c>
      <c r="AB64" s="19">
        <f>AB44+AB51+AB63</f>
        <v/>
      </c>
      <c r="AC64" s="19">
        <f>AC44+AC51+AC63</f>
        <v/>
      </c>
      <c r="AD64" s="19">
        <f>AD44+AD51+AD63</f>
        <v/>
      </c>
      <c r="AE64" s="19">
        <f>AE44+AE51+AE63</f>
        <v/>
      </c>
      <c r="AF64" s="19">
        <f>AF44+AF51+AF63</f>
        <v/>
      </c>
      <c r="AG64" s="19">
        <f>AG44+AG51+AG63</f>
        <v/>
      </c>
      <c r="AH64" s="19">
        <f>AH44+AH51+AH63</f>
        <v/>
      </c>
      <c r="AI64" s="19">
        <f>AI44+AI51+AI63</f>
        <v/>
      </c>
      <c r="AJ64" s="19">
        <f>AJ44+AJ51+AJ63</f>
        <v/>
      </c>
      <c r="AK64" s="19">
        <f>AK44+AK51+AK63</f>
        <v/>
      </c>
      <c r="AL64" s="19">
        <f>AL44+AL51+AL63</f>
        <v/>
      </c>
      <c r="AM64" s="19">
        <f>AM44+AM51+AM63</f>
        <v/>
      </c>
      <c r="AN64" s="19">
        <f>AN44+AN51+AN63</f>
        <v/>
      </c>
      <c r="AO64" s="19">
        <f>AO44+AO51+AO63</f>
        <v/>
      </c>
      <c r="AP64" s="19">
        <f>AP44+AP51+AP63</f>
        <v/>
      </c>
      <c r="AQ64" s="19">
        <f>AQ44+AQ51+AQ63</f>
        <v/>
      </c>
      <c r="AR64" s="19">
        <f>AR44+AR51+AR63</f>
        <v/>
      </c>
      <c r="AS64" s="19">
        <f>AS44+AS51+AS63</f>
        <v/>
      </c>
      <c r="AT64" s="19">
        <f>AT44+AT51+AT63</f>
        <v/>
      </c>
      <c r="AU64" s="19">
        <f>AU44+AU51+AU63</f>
        <v/>
      </c>
      <c r="AV64" s="19">
        <f>AV44+AV51+AV63</f>
        <v/>
      </c>
      <c r="AW64" s="19">
        <f>AW44+AW51+AW63</f>
        <v/>
      </c>
      <c r="AX64" s="19">
        <f>AX44+AX51+AX63</f>
        <v/>
      </c>
      <c r="AY64" s="19">
        <f>AY44+AY51+AY63</f>
        <v/>
      </c>
      <c r="AZ64" s="19">
        <f>AZ44+AZ51+AZ63</f>
        <v/>
      </c>
      <c r="BA64" s="19">
        <f>BA44+BA51+BA63</f>
        <v/>
      </c>
      <c r="BB64" s="19">
        <f>BB44+BB51+BB63</f>
        <v/>
      </c>
      <c r="BC64" s="19">
        <f>BC44+BC51+BC63</f>
        <v/>
      </c>
      <c r="BD64" s="19">
        <f>BD44+BD51+BD63</f>
        <v/>
      </c>
      <c r="BE64" s="19">
        <f>BE44+BE51+BE63</f>
        <v/>
      </c>
      <c r="BF64" s="19">
        <f>BF44+BF51+BF63</f>
        <v/>
      </c>
      <c r="BG64" s="19">
        <f>BG44+BG51+BG63</f>
        <v/>
      </c>
      <c r="BH64" s="19">
        <f>BH44+BH51+BH63</f>
        <v/>
      </c>
      <c r="BI64" s="19">
        <f>BI44+BI51+BI63</f>
        <v/>
      </c>
      <c r="BJ64" s="19">
        <f>BJ44+BJ51+BJ63</f>
        <v/>
      </c>
      <c r="BK64" s="19">
        <f>BK44+BK51+BK63</f>
        <v/>
      </c>
      <c r="BL64" s="19">
        <f>BL44+BL51+BL63</f>
        <v/>
      </c>
      <c r="BM64" s="19">
        <f>BM44+BM51+BM63</f>
        <v/>
      </c>
      <c r="BN64" s="19">
        <f>BN44+BN51+BN63</f>
        <v/>
      </c>
      <c r="BO64" s="19">
        <f>BO44+BO51+BO63</f>
        <v/>
      </c>
      <c r="BP64" s="19">
        <f>BP44+BP51+BP63</f>
        <v/>
      </c>
      <c r="BQ64" s="19">
        <f>BQ44+BQ51+BQ63</f>
        <v/>
      </c>
      <c r="BR64" s="19">
        <f>BR44+BR51+BR63</f>
        <v/>
      </c>
      <c r="BS64" s="19">
        <f>BS44+BS51+BS63</f>
        <v/>
      </c>
      <c r="BT64" s="19">
        <f>BT44+BT51+BT63</f>
        <v/>
      </c>
      <c r="BU64" s="19">
        <f>BU44+BU51+BU63</f>
        <v/>
      </c>
      <c r="BV64" s="19">
        <f>BV44+BV51+BV63</f>
        <v/>
      </c>
      <c r="BW64" s="19">
        <f>BW44+BW51+BW63</f>
        <v/>
      </c>
      <c r="BX64" s="19">
        <f>BX44+BX51+BX63</f>
        <v/>
      </c>
      <c r="BY64" s="19">
        <f>BY44+BY51+BY63</f>
        <v/>
      </c>
      <c r="BZ64" s="19">
        <f>BZ44+BZ51+BZ63</f>
        <v/>
      </c>
      <c r="CA64" s="19">
        <f>CA44+CA51+CA63</f>
        <v/>
      </c>
      <c r="CB64" s="19">
        <f>CB44+CB51+CB63</f>
        <v/>
      </c>
      <c r="CC64" s="19">
        <f>CC44+CC51+CC63</f>
        <v/>
      </c>
      <c r="CD64" s="19">
        <f>CD44+CD51+CD63</f>
        <v/>
      </c>
      <c r="CE64" s="19">
        <f>CE44+CE51+CE63</f>
        <v/>
      </c>
      <c r="CF64" s="19">
        <f>CF44+CF51+CF63</f>
        <v/>
      </c>
      <c r="CG64" s="19">
        <f>CG44+CG51+CG63</f>
        <v/>
      </c>
      <c r="CH64" s="19">
        <f>CH44+CH51+CH63</f>
        <v/>
      </c>
      <c r="CI64" s="19">
        <f>CI44+CI51+CI63</f>
        <v/>
      </c>
      <c r="CJ64" s="19">
        <f>CJ44+CJ51+CJ63</f>
        <v/>
      </c>
      <c r="CK64" s="19">
        <f>CK44+CK51+CK63</f>
        <v/>
      </c>
      <c r="CL64" s="19">
        <f>CL44+CL51+CL63</f>
        <v/>
      </c>
      <c r="CM64" s="19">
        <f>CM44+CM51+CM63</f>
        <v/>
      </c>
      <c r="CN64" s="19">
        <f>CN44+CN51+CN63</f>
        <v/>
      </c>
      <c r="CO64" s="19">
        <f>CO44+CO51+CO63</f>
        <v/>
      </c>
      <c r="CP64" s="19">
        <f>CP44+CP51+CP63</f>
        <v/>
      </c>
      <c r="CQ64" s="19">
        <f>CQ44+CQ51+CQ63</f>
        <v/>
      </c>
      <c r="CR64" s="19">
        <f>CR44+CR51+CR63</f>
        <v/>
      </c>
      <c r="CS64" s="19">
        <f>CS44+CS51+CS63</f>
        <v/>
      </c>
      <c r="CT64" s="19">
        <f>CT44+CT51+CT63</f>
        <v/>
      </c>
      <c r="CU64" s="19">
        <f>CU44+CU51+CU63</f>
        <v/>
      </c>
      <c r="CV64" s="19">
        <f>CV44+CV51+CV63</f>
        <v/>
      </c>
      <c r="CW64" s="19">
        <f>CW44+CW51+CW63</f>
        <v/>
      </c>
      <c r="CX64" s="19">
        <f>CX44+CX51+CX63</f>
        <v/>
      </c>
      <c r="CY64" s="19">
        <f>CY44+CY51+CY63</f>
        <v/>
      </c>
      <c r="CZ64" s="19">
        <f>CZ44+CZ51+CZ63</f>
        <v/>
      </c>
      <c r="DA64" s="19">
        <f>DA44+DA51+DA63</f>
        <v/>
      </c>
      <c r="DB64" s="19">
        <f>DB44+DB51+DB63</f>
        <v/>
      </c>
    </row>
    <row r="65">
      <c r="D65" t="inlineStr">
        <is>
          <t>Refinancing / A&amp;E fee and post-completion bridge interest</t>
        </is>
      </c>
      <c r="E65" t="inlineStr">
        <is>
          <t>ARD m</t>
        </is>
      </c>
      <c r="G65" s="19">
        <f>SUM(J65:DB65)</f>
        <v/>
      </c>
      <c r="J65" s="19">
        <f>IF(Inputs!$F$214=1,Inputs!$F$108,Inputs!$F$107)*J42*Time!J42+Funding!J20</f>
        <v/>
      </c>
      <c r="K65" s="19">
        <f>IF(Inputs!$F$214=1,Inputs!$F$108,Inputs!$F$107)*K42*Time!K42+Funding!K20</f>
        <v/>
      </c>
      <c r="L65" s="19">
        <f>IF(Inputs!$F$214=1,Inputs!$F$108,Inputs!$F$107)*L42*Time!L42+Funding!L20</f>
        <v/>
      </c>
      <c r="M65" s="19">
        <f>IF(Inputs!$F$214=1,Inputs!$F$108,Inputs!$F$107)*M42*Time!M42+Funding!M20</f>
        <v/>
      </c>
      <c r="N65" s="19">
        <f>IF(Inputs!$F$214=1,Inputs!$F$108,Inputs!$F$107)*N42*Time!N42+Funding!N20</f>
        <v/>
      </c>
      <c r="O65" s="19">
        <f>IF(Inputs!$F$214=1,Inputs!$F$108,Inputs!$F$107)*O42*Time!O42+Funding!O20</f>
        <v/>
      </c>
      <c r="P65" s="19">
        <f>IF(Inputs!$F$214=1,Inputs!$F$108,Inputs!$F$107)*P42*Time!P42+Funding!P20</f>
        <v/>
      </c>
      <c r="Q65" s="19">
        <f>IF(Inputs!$F$214=1,Inputs!$F$108,Inputs!$F$107)*Q42*Time!Q42+Funding!Q20</f>
        <v/>
      </c>
      <c r="R65" s="19">
        <f>IF(Inputs!$F$214=1,Inputs!$F$108,Inputs!$F$107)*R42*Time!R42+Funding!R20</f>
        <v/>
      </c>
      <c r="S65" s="19">
        <f>IF(Inputs!$F$214=1,Inputs!$F$108,Inputs!$F$107)*S42*Time!S42+Funding!S20</f>
        <v/>
      </c>
      <c r="T65" s="19">
        <f>IF(Inputs!$F$214=1,Inputs!$F$108,Inputs!$F$107)*T42*Time!T42+Funding!T20</f>
        <v/>
      </c>
      <c r="U65" s="19">
        <f>IF(Inputs!$F$214=1,Inputs!$F$108,Inputs!$F$107)*U42*Time!U42+Funding!U20</f>
        <v/>
      </c>
      <c r="V65" s="19">
        <f>IF(Inputs!$F$214=1,Inputs!$F$108,Inputs!$F$107)*V42*Time!V42+Funding!V20</f>
        <v/>
      </c>
      <c r="W65" s="19">
        <f>IF(Inputs!$F$214=1,Inputs!$F$108,Inputs!$F$107)*W42*Time!W42+Funding!W20</f>
        <v/>
      </c>
      <c r="X65" s="19">
        <f>IF(Inputs!$F$214=1,Inputs!$F$108,Inputs!$F$107)*X42*Time!X42+Funding!X20</f>
        <v/>
      </c>
      <c r="Y65" s="19">
        <f>IF(Inputs!$F$214=1,Inputs!$F$108,Inputs!$F$107)*Y42*Time!Y42+Funding!Y20</f>
        <v/>
      </c>
      <c r="Z65" s="19">
        <f>IF(Inputs!$F$214=1,Inputs!$F$108,Inputs!$F$107)*Z42*Time!Z42+Funding!Z20</f>
        <v/>
      </c>
      <c r="AA65" s="19">
        <f>IF(Inputs!$F$214=1,Inputs!$F$108,Inputs!$F$107)*AA42*Time!AA42+Funding!AA20</f>
        <v/>
      </c>
      <c r="AB65" s="19">
        <f>IF(Inputs!$F$214=1,Inputs!$F$108,Inputs!$F$107)*AB42*Time!AB42+Funding!AB20</f>
        <v/>
      </c>
      <c r="AC65" s="19">
        <f>IF(Inputs!$F$214=1,Inputs!$F$108,Inputs!$F$107)*AC42*Time!AC42+Funding!AC20</f>
        <v/>
      </c>
      <c r="AD65" s="19">
        <f>IF(Inputs!$F$214=1,Inputs!$F$108,Inputs!$F$107)*AD42*Time!AD42+Funding!AD20</f>
        <v/>
      </c>
      <c r="AE65" s="19">
        <f>IF(Inputs!$F$214=1,Inputs!$F$108,Inputs!$F$107)*AE42*Time!AE42+Funding!AE20</f>
        <v/>
      </c>
      <c r="AF65" s="19">
        <f>IF(Inputs!$F$214=1,Inputs!$F$108,Inputs!$F$107)*AF42*Time!AF42+Funding!AF20</f>
        <v/>
      </c>
      <c r="AG65" s="19">
        <f>IF(Inputs!$F$214=1,Inputs!$F$108,Inputs!$F$107)*AG42*Time!AG42+Funding!AG20</f>
        <v/>
      </c>
      <c r="AH65" s="19">
        <f>IF(Inputs!$F$214=1,Inputs!$F$108,Inputs!$F$107)*AH42*Time!AH42+Funding!AH20</f>
        <v/>
      </c>
      <c r="AI65" s="19">
        <f>IF(Inputs!$F$214=1,Inputs!$F$108,Inputs!$F$107)*AI42*Time!AI42+Funding!AI20</f>
        <v/>
      </c>
      <c r="AJ65" s="19">
        <f>IF(Inputs!$F$214=1,Inputs!$F$108,Inputs!$F$107)*AJ42*Time!AJ42+Funding!AJ20</f>
        <v/>
      </c>
      <c r="AK65" s="19">
        <f>IF(Inputs!$F$214=1,Inputs!$F$108,Inputs!$F$107)*AK42*Time!AK42+Funding!AK20</f>
        <v/>
      </c>
      <c r="AL65" s="19">
        <f>IF(Inputs!$F$214=1,Inputs!$F$108,Inputs!$F$107)*AL42*Time!AL42+Funding!AL20</f>
        <v/>
      </c>
      <c r="AM65" s="19">
        <f>IF(Inputs!$F$214=1,Inputs!$F$108,Inputs!$F$107)*AM42*Time!AM42+Funding!AM20</f>
        <v/>
      </c>
      <c r="AN65" s="19">
        <f>IF(Inputs!$F$214=1,Inputs!$F$108,Inputs!$F$107)*AN42*Time!AN42+Funding!AN20</f>
        <v/>
      </c>
      <c r="AO65" s="19">
        <f>IF(Inputs!$F$214=1,Inputs!$F$108,Inputs!$F$107)*AO42*Time!AO42+Funding!AO20</f>
        <v/>
      </c>
      <c r="AP65" s="19">
        <f>IF(Inputs!$F$214=1,Inputs!$F$108,Inputs!$F$107)*AP42*Time!AP42+Funding!AP20</f>
        <v/>
      </c>
      <c r="AQ65" s="19">
        <f>IF(Inputs!$F$214=1,Inputs!$F$108,Inputs!$F$107)*AQ42*Time!AQ42+Funding!AQ20</f>
        <v/>
      </c>
      <c r="AR65" s="19">
        <f>IF(Inputs!$F$214=1,Inputs!$F$108,Inputs!$F$107)*AR42*Time!AR42+Funding!AR20</f>
        <v/>
      </c>
      <c r="AS65" s="19">
        <f>IF(Inputs!$F$214=1,Inputs!$F$108,Inputs!$F$107)*AS42*Time!AS42+Funding!AS20</f>
        <v/>
      </c>
      <c r="AT65" s="19">
        <f>IF(Inputs!$F$214=1,Inputs!$F$108,Inputs!$F$107)*AT42*Time!AT42+Funding!AT20</f>
        <v/>
      </c>
      <c r="AU65" s="19">
        <f>IF(Inputs!$F$214=1,Inputs!$F$108,Inputs!$F$107)*AU42*Time!AU42+Funding!AU20</f>
        <v/>
      </c>
      <c r="AV65" s="19">
        <f>IF(Inputs!$F$214=1,Inputs!$F$108,Inputs!$F$107)*AV42*Time!AV42+Funding!AV20</f>
        <v/>
      </c>
      <c r="AW65" s="19">
        <f>IF(Inputs!$F$214=1,Inputs!$F$108,Inputs!$F$107)*AW42*Time!AW42+Funding!AW20</f>
        <v/>
      </c>
      <c r="AX65" s="19">
        <f>IF(Inputs!$F$214=1,Inputs!$F$108,Inputs!$F$107)*AX42*Time!AX42+Funding!AX20</f>
        <v/>
      </c>
      <c r="AY65" s="19">
        <f>IF(Inputs!$F$214=1,Inputs!$F$108,Inputs!$F$107)*AY42*Time!AY42+Funding!AY20</f>
        <v/>
      </c>
      <c r="AZ65" s="19">
        <f>IF(Inputs!$F$214=1,Inputs!$F$108,Inputs!$F$107)*AZ42*Time!AZ42+Funding!AZ20</f>
        <v/>
      </c>
      <c r="BA65" s="19">
        <f>IF(Inputs!$F$214=1,Inputs!$F$108,Inputs!$F$107)*BA42*Time!BA42+Funding!BA20</f>
        <v/>
      </c>
      <c r="BB65" s="19">
        <f>IF(Inputs!$F$214=1,Inputs!$F$108,Inputs!$F$107)*BB42*Time!BB42+Funding!BB20</f>
        <v/>
      </c>
      <c r="BC65" s="19">
        <f>IF(Inputs!$F$214=1,Inputs!$F$108,Inputs!$F$107)*BC42*Time!BC42+Funding!BC20</f>
        <v/>
      </c>
      <c r="BD65" s="19">
        <f>IF(Inputs!$F$214=1,Inputs!$F$108,Inputs!$F$107)*BD42*Time!BD42+Funding!BD20</f>
        <v/>
      </c>
      <c r="BE65" s="19">
        <f>IF(Inputs!$F$214=1,Inputs!$F$108,Inputs!$F$107)*BE42*Time!BE42+Funding!BE20</f>
        <v/>
      </c>
      <c r="BF65" s="19">
        <f>IF(Inputs!$F$214=1,Inputs!$F$108,Inputs!$F$107)*BF42*Time!BF42+Funding!BF20</f>
        <v/>
      </c>
      <c r="BG65" s="19">
        <f>IF(Inputs!$F$214=1,Inputs!$F$108,Inputs!$F$107)*BG42*Time!BG42+Funding!BG20</f>
        <v/>
      </c>
      <c r="BH65" s="19">
        <f>IF(Inputs!$F$214=1,Inputs!$F$108,Inputs!$F$107)*BH42*Time!BH42+Funding!BH20</f>
        <v/>
      </c>
      <c r="BI65" s="19">
        <f>IF(Inputs!$F$214=1,Inputs!$F$108,Inputs!$F$107)*BI42*Time!BI42+Funding!BI20</f>
        <v/>
      </c>
      <c r="BJ65" s="19">
        <f>IF(Inputs!$F$214=1,Inputs!$F$108,Inputs!$F$107)*BJ42*Time!BJ42+Funding!BJ20</f>
        <v/>
      </c>
      <c r="BK65" s="19">
        <f>IF(Inputs!$F$214=1,Inputs!$F$108,Inputs!$F$107)*BK42*Time!BK42+Funding!BK20</f>
        <v/>
      </c>
      <c r="BL65" s="19">
        <f>IF(Inputs!$F$214=1,Inputs!$F$108,Inputs!$F$107)*BL42*Time!BL42+Funding!BL20</f>
        <v/>
      </c>
      <c r="BM65" s="19">
        <f>IF(Inputs!$F$214=1,Inputs!$F$108,Inputs!$F$107)*BM42*Time!BM42+Funding!BM20</f>
        <v/>
      </c>
      <c r="BN65" s="19">
        <f>IF(Inputs!$F$214=1,Inputs!$F$108,Inputs!$F$107)*BN42*Time!BN42+Funding!BN20</f>
        <v/>
      </c>
      <c r="BO65" s="19">
        <f>IF(Inputs!$F$214=1,Inputs!$F$108,Inputs!$F$107)*BO42*Time!BO42+Funding!BO20</f>
        <v/>
      </c>
      <c r="BP65" s="19">
        <f>IF(Inputs!$F$214=1,Inputs!$F$108,Inputs!$F$107)*BP42*Time!BP42+Funding!BP20</f>
        <v/>
      </c>
      <c r="BQ65" s="19">
        <f>IF(Inputs!$F$214=1,Inputs!$F$108,Inputs!$F$107)*BQ42*Time!BQ42+Funding!BQ20</f>
        <v/>
      </c>
      <c r="BR65" s="19">
        <f>IF(Inputs!$F$214=1,Inputs!$F$108,Inputs!$F$107)*BR42*Time!BR42+Funding!BR20</f>
        <v/>
      </c>
      <c r="BS65" s="19">
        <f>IF(Inputs!$F$214=1,Inputs!$F$108,Inputs!$F$107)*BS42*Time!BS42+Funding!BS20</f>
        <v/>
      </c>
      <c r="BT65" s="19">
        <f>IF(Inputs!$F$214=1,Inputs!$F$108,Inputs!$F$107)*BT42*Time!BT42+Funding!BT20</f>
        <v/>
      </c>
      <c r="BU65" s="19">
        <f>IF(Inputs!$F$214=1,Inputs!$F$108,Inputs!$F$107)*BU42*Time!BU42+Funding!BU20</f>
        <v/>
      </c>
      <c r="BV65" s="19">
        <f>IF(Inputs!$F$214=1,Inputs!$F$108,Inputs!$F$107)*BV42*Time!BV42+Funding!BV20</f>
        <v/>
      </c>
      <c r="BW65" s="19">
        <f>IF(Inputs!$F$214=1,Inputs!$F$108,Inputs!$F$107)*BW42*Time!BW42+Funding!BW20</f>
        <v/>
      </c>
      <c r="BX65" s="19">
        <f>IF(Inputs!$F$214=1,Inputs!$F$108,Inputs!$F$107)*BX42*Time!BX42+Funding!BX20</f>
        <v/>
      </c>
      <c r="BY65" s="19">
        <f>IF(Inputs!$F$214=1,Inputs!$F$108,Inputs!$F$107)*BY42*Time!BY42+Funding!BY20</f>
        <v/>
      </c>
      <c r="BZ65" s="19">
        <f>IF(Inputs!$F$214=1,Inputs!$F$108,Inputs!$F$107)*BZ42*Time!BZ42+Funding!BZ20</f>
        <v/>
      </c>
      <c r="CA65" s="19">
        <f>IF(Inputs!$F$214=1,Inputs!$F$108,Inputs!$F$107)*CA42*Time!CA42+Funding!CA20</f>
        <v/>
      </c>
      <c r="CB65" s="19">
        <f>IF(Inputs!$F$214=1,Inputs!$F$108,Inputs!$F$107)*CB42*Time!CB42+Funding!CB20</f>
        <v/>
      </c>
      <c r="CC65" s="19">
        <f>IF(Inputs!$F$214=1,Inputs!$F$108,Inputs!$F$107)*CC42*Time!CC42+Funding!CC20</f>
        <v/>
      </c>
      <c r="CD65" s="19">
        <f>IF(Inputs!$F$214=1,Inputs!$F$108,Inputs!$F$107)*CD42*Time!CD42+Funding!CD20</f>
        <v/>
      </c>
      <c r="CE65" s="19">
        <f>IF(Inputs!$F$214=1,Inputs!$F$108,Inputs!$F$107)*CE42*Time!CE42+Funding!CE20</f>
        <v/>
      </c>
      <c r="CF65" s="19">
        <f>IF(Inputs!$F$214=1,Inputs!$F$108,Inputs!$F$107)*CF42*Time!CF42+Funding!CF20</f>
        <v/>
      </c>
      <c r="CG65" s="19">
        <f>IF(Inputs!$F$214=1,Inputs!$F$108,Inputs!$F$107)*CG42*Time!CG42+Funding!CG20</f>
        <v/>
      </c>
      <c r="CH65" s="19">
        <f>IF(Inputs!$F$214=1,Inputs!$F$108,Inputs!$F$107)*CH42*Time!CH42+Funding!CH20</f>
        <v/>
      </c>
      <c r="CI65" s="19">
        <f>IF(Inputs!$F$214=1,Inputs!$F$108,Inputs!$F$107)*CI42*Time!CI42+Funding!CI20</f>
        <v/>
      </c>
      <c r="CJ65" s="19">
        <f>IF(Inputs!$F$214=1,Inputs!$F$108,Inputs!$F$107)*CJ42*Time!CJ42+Funding!CJ20</f>
        <v/>
      </c>
      <c r="CK65" s="19">
        <f>IF(Inputs!$F$214=1,Inputs!$F$108,Inputs!$F$107)*CK42*Time!CK42+Funding!CK20</f>
        <v/>
      </c>
      <c r="CL65" s="19">
        <f>IF(Inputs!$F$214=1,Inputs!$F$108,Inputs!$F$107)*CL42*Time!CL42+Funding!CL20</f>
        <v/>
      </c>
      <c r="CM65" s="19">
        <f>IF(Inputs!$F$214=1,Inputs!$F$108,Inputs!$F$107)*CM42*Time!CM42+Funding!CM20</f>
        <v/>
      </c>
      <c r="CN65" s="19">
        <f>IF(Inputs!$F$214=1,Inputs!$F$108,Inputs!$F$107)*CN42*Time!CN42+Funding!CN20</f>
        <v/>
      </c>
      <c r="CO65" s="19">
        <f>IF(Inputs!$F$214=1,Inputs!$F$108,Inputs!$F$107)*CO42*Time!CO42+Funding!CO20</f>
        <v/>
      </c>
      <c r="CP65" s="19">
        <f>IF(Inputs!$F$214=1,Inputs!$F$108,Inputs!$F$107)*CP42*Time!CP42+Funding!CP20</f>
        <v/>
      </c>
      <c r="CQ65" s="19">
        <f>IF(Inputs!$F$214=1,Inputs!$F$108,Inputs!$F$107)*CQ42*Time!CQ42+Funding!CQ20</f>
        <v/>
      </c>
      <c r="CR65" s="19">
        <f>IF(Inputs!$F$214=1,Inputs!$F$108,Inputs!$F$107)*CR42*Time!CR42+Funding!CR20</f>
        <v/>
      </c>
      <c r="CS65" s="19">
        <f>IF(Inputs!$F$214=1,Inputs!$F$108,Inputs!$F$107)*CS42*Time!CS42+Funding!CS20</f>
        <v/>
      </c>
      <c r="CT65" s="19">
        <f>IF(Inputs!$F$214=1,Inputs!$F$108,Inputs!$F$107)*CT42*Time!CT42+Funding!CT20</f>
        <v/>
      </c>
      <c r="CU65" s="19">
        <f>IF(Inputs!$F$214=1,Inputs!$F$108,Inputs!$F$107)*CU42*Time!CU42+Funding!CU20</f>
        <v/>
      </c>
      <c r="CV65" s="19">
        <f>IF(Inputs!$F$214=1,Inputs!$F$108,Inputs!$F$107)*CV42*Time!CV42+Funding!CV20</f>
        <v/>
      </c>
      <c r="CW65" s="19">
        <f>IF(Inputs!$F$214=1,Inputs!$F$108,Inputs!$F$107)*CW42*Time!CW42+Funding!CW20</f>
        <v/>
      </c>
      <c r="CX65" s="19">
        <f>IF(Inputs!$F$214=1,Inputs!$F$108,Inputs!$F$107)*CX42*Time!CX42+Funding!CX20</f>
        <v/>
      </c>
      <c r="CY65" s="19">
        <f>IF(Inputs!$F$214=1,Inputs!$F$108,Inputs!$F$107)*CY42*Time!CY42+Funding!CY20</f>
        <v/>
      </c>
      <c r="CZ65" s="19">
        <f>IF(Inputs!$F$214=1,Inputs!$F$108,Inputs!$F$107)*CZ42*Time!CZ42+Funding!CZ20</f>
        <v/>
      </c>
      <c r="DA65" s="19">
        <f>IF(Inputs!$F$214=1,Inputs!$F$108,Inputs!$F$107)*DA42*Time!DA42+Funding!DA20</f>
        <v/>
      </c>
      <c r="DB65" s="19">
        <f>IF(Inputs!$F$214=1,Inputs!$F$108,Inputs!$F$107)*DB42*Time!DB42+Funding!DB20</f>
        <v/>
      </c>
    </row>
    <row r="66">
      <c r="D66" t="inlineStr">
        <is>
          <t>Notes principal due</t>
        </is>
      </c>
      <c r="E66" t="inlineStr">
        <is>
          <t>ARD m</t>
        </is>
      </c>
      <c r="G66" s="19">
        <f>SUM(J66:DB66)</f>
        <v/>
      </c>
      <c r="J66" s="19">
        <f>IF(Time!J23=1,MIN(J91,J93),0)</f>
        <v/>
      </c>
      <c r="K66" s="19">
        <f>IF(Time!K23=1,MIN(K91,K93),0)</f>
        <v/>
      </c>
      <c r="L66" s="19">
        <f>IF(Time!L23=1,MIN(L91,L93),0)</f>
        <v/>
      </c>
      <c r="M66" s="19">
        <f>IF(Time!M23=1,MIN(M91,M93),0)</f>
        <v/>
      </c>
      <c r="N66" s="19">
        <f>IF(Time!N23=1,MIN(N91,N93),0)</f>
        <v/>
      </c>
      <c r="O66" s="19">
        <f>IF(Time!O23=1,MIN(O91,O93),0)</f>
        <v/>
      </c>
      <c r="P66" s="19">
        <f>IF(Time!P23=1,MIN(P91,P93),0)</f>
        <v/>
      </c>
      <c r="Q66" s="19">
        <f>IF(Time!Q23=1,MIN(Q91,Q93),0)</f>
        <v/>
      </c>
      <c r="R66" s="19">
        <f>IF(Time!R23=1,MIN(R91,R93),0)</f>
        <v/>
      </c>
      <c r="S66" s="19">
        <f>IF(Time!S23=1,MIN(S91,S93),0)</f>
        <v/>
      </c>
      <c r="T66" s="19">
        <f>IF(Time!T23=1,MIN(T91,T93),0)</f>
        <v/>
      </c>
      <c r="U66" s="19">
        <f>IF(Time!U23=1,MIN(U91,U93),0)</f>
        <v/>
      </c>
      <c r="V66" s="19">
        <f>IF(Time!V23=1,MIN(V91,V93),0)</f>
        <v/>
      </c>
      <c r="W66" s="19">
        <f>IF(Time!W23=1,MIN(W91,W93),0)</f>
        <v/>
      </c>
      <c r="X66" s="19">
        <f>IF(Time!X23=1,MIN(X91,X93),0)</f>
        <v/>
      </c>
      <c r="Y66" s="19">
        <f>IF(Time!Y23=1,MIN(Y91,Y93),0)</f>
        <v/>
      </c>
      <c r="Z66" s="19">
        <f>IF(Time!Z23=1,MIN(Z91,Z93),0)</f>
        <v/>
      </c>
      <c r="AA66" s="19">
        <f>IF(Time!AA23=1,MIN(AA91,AA93),0)</f>
        <v/>
      </c>
      <c r="AB66" s="19">
        <f>IF(Time!AB23=1,MIN(AB91,AB93),0)</f>
        <v/>
      </c>
      <c r="AC66" s="19">
        <f>IF(Time!AC23=1,MIN(AC91,AC93),0)</f>
        <v/>
      </c>
      <c r="AD66" s="19">
        <f>IF(Time!AD23=1,MIN(AD91,AD93),0)</f>
        <v/>
      </c>
      <c r="AE66" s="19">
        <f>IF(Time!AE23=1,MIN(AE91,AE93),0)</f>
        <v/>
      </c>
      <c r="AF66" s="19">
        <f>IF(Time!AF23=1,MIN(AF91,AF93),0)</f>
        <v/>
      </c>
      <c r="AG66" s="19">
        <f>IF(Time!AG23=1,MIN(AG91,AG93),0)</f>
        <v/>
      </c>
      <c r="AH66" s="19">
        <f>IF(Time!AH23=1,MIN(AH91,AH93),0)</f>
        <v/>
      </c>
      <c r="AI66" s="19">
        <f>IF(Time!AI23=1,MIN(AI91,AI93),0)</f>
        <v/>
      </c>
      <c r="AJ66" s="19">
        <f>IF(Time!AJ23=1,MIN(AJ91,AJ93),0)</f>
        <v/>
      </c>
      <c r="AK66" s="19">
        <f>IF(Time!AK23=1,MIN(AK91,AK93),0)</f>
        <v/>
      </c>
      <c r="AL66" s="19">
        <f>IF(Time!AL23=1,MIN(AL91,AL93),0)</f>
        <v/>
      </c>
      <c r="AM66" s="19">
        <f>IF(Time!AM23=1,MIN(AM91,AM93),0)</f>
        <v/>
      </c>
      <c r="AN66" s="19">
        <f>IF(Time!AN23=1,MIN(AN91,AN93),0)</f>
        <v/>
      </c>
      <c r="AO66" s="19">
        <f>IF(Time!AO23=1,MIN(AO91,AO93),0)</f>
        <v/>
      </c>
      <c r="AP66" s="19">
        <f>IF(Time!AP23=1,MIN(AP91,AP93),0)</f>
        <v/>
      </c>
      <c r="AQ66" s="19">
        <f>IF(Time!AQ23=1,MIN(AQ91,AQ93),0)</f>
        <v/>
      </c>
      <c r="AR66" s="19">
        <f>IF(Time!AR23=1,MIN(AR91,AR93),0)</f>
        <v/>
      </c>
      <c r="AS66" s="19">
        <f>IF(Time!AS23=1,MIN(AS91,AS93),0)</f>
        <v/>
      </c>
      <c r="AT66" s="19">
        <f>IF(Time!AT23=1,MIN(AT91,AT93),0)</f>
        <v/>
      </c>
      <c r="AU66" s="19">
        <f>IF(Time!AU23=1,MIN(AU91,AU93),0)</f>
        <v/>
      </c>
      <c r="AV66" s="19">
        <f>IF(Time!AV23=1,MIN(AV91,AV93),0)</f>
        <v/>
      </c>
      <c r="AW66" s="19">
        <f>IF(Time!AW23=1,MIN(AW91,AW93),0)</f>
        <v/>
      </c>
      <c r="AX66" s="19">
        <f>IF(Time!AX23=1,MIN(AX91,AX93),0)</f>
        <v/>
      </c>
      <c r="AY66" s="19">
        <f>IF(Time!AY23=1,MIN(AY91,AY93),0)</f>
        <v/>
      </c>
      <c r="AZ66" s="19">
        <f>IF(Time!AZ23=1,MIN(AZ91,AZ93),0)</f>
        <v/>
      </c>
      <c r="BA66" s="19">
        <f>IF(Time!BA23=1,MIN(BA91,BA93),0)</f>
        <v/>
      </c>
      <c r="BB66" s="19">
        <f>IF(Time!BB23=1,MIN(BB91,BB93),0)</f>
        <v/>
      </c>
      <c r="BC66" s="19">
        <f>IF(Time!BC23=1,MIN(BC91,BC93),0)</f>
        <v/>
      </c>
      <c r="BD66" s="19">
        <f>IF(Time!BD23=1,MIN(BD91,BD93),0)</f>
        <v/>
      </c>
      <c r="BE66" s="19">
        <f>IF(Time!BE23=1,MIN(BE91,BE93),0)</f>
        <v/>
      </c>
      <c r="BF66" s="19">
        <f>IF(Time!BF23=1,MIN(BF91,BF93),0)</f>
        <v/>
      </c>
      <c r="BG66" s="19">
        <f>IF(Time!BG23=1,MIN(BG91,BG93),0)</f>
        <v/>
      </c>
      <c r="BH66" s="19">
        <f>IF(Time!BH23=1,MIN(BH91,BH93),0)</f>
        <v/>
      </c>
      <c r="BI66" s="19">
        <f>IF(Time!BI23=1,MIN(BI91,BI93),0)</f>
        <v/>
      </c>
      <c r="BJ66" s="19">
        <f>IF(Time!BJ23=1,MIN(BJ91,BJ93),0)</f>
        <v/>
      </c>
      <c r="BK66" s="19">
        <f>IF(Time!BK23=1,MIN(BK91,BK93),0)</f>
        <v/>
      </c>
      <c r="BL66" s="19">
        <f>IF(Time!BL23=1,MIN(BL91,BL93),0)</f>
        <v/>
      </c>
      <c r="BM66" s="19">
        <f>IF(Time!BM23=1,MIN(BM91,BM93),0)</f>
        <v/>
      </c>
      <c r="BN66" s="19">
        <f>IF(Time!BN23=1,MIN(BN91,BN93),0)</f>
        <v/>
      </c>
      <c r="BO66" s="19">
        <f>IF(Time!BO23=1,MIN(BO91,BO93),0)</f>
        <v/>
      </c>
      <c r="BP66" s="19">
        <f>IF(Time!BP23=1,MIN(BP91,BP93),0)</f>
        <v/>
      </c>
      <c r="BQ66" s="19">
        <f>IF(Time!BQ23=1,MIN(BQ91,BQ93),0)</f>
        <v/>
      </c>
      <c r="BR66" s="19">
        <f>IF(Time!BR23=1,MIN(BR91,BR93),0)</f>
        <v/>
      </c>
      <c r="BS66" s="19">
        <f>IF(Time!BS23=1,MIN(BS91,BS93),0)</f>
        <v/>
      </c>
      <c r="BT66" s="19">
        <f>IF(Time!BT23=1,MIN(BT91,BT93),0)</f>
        <v/>
      </c>
      <c r="BU66" s="19">
        <f>IF(Time!BU23=1,MIN(BU91,BU93),0)</f>
        <v/>
      </c>
      <c r="BV66" s="19">
        <f>IF(Time!BV23=1,MIN(BV91,BV93),0)</f>
        <v/>
      </c>
      <c r="BW66" s="19">
        <f>IF(Time!BW23=1,MIN(BW91,BW93),0)</f>
        <v/>
      </c>
      <c r="BX66" s="19">
        <f>IF(Time!BX23=1,MIN(BX91,BX93),0)</f>
        <v/>
      </c>
      <c r="BY66" s="19">
        <f>IF(Time!BY23=1,MIN(BY91,BY93),0)</f>
        <v/>
      </c>
      <c r="BZ66" s="19">
        <f>IF(Time!BZ23=1,MIN(BZ91,BZ93),0)</f>
        <v/>
      </c>
      <c r="CA66" s="19">
        <f>IF(Time!CA23=1,MIN(CA91,CA93),0)</f>
        <v/>
      </c>
      <c r="CB66" s="19">
        <f>IF(Time!CB23=1,MIN(CB91,CB93),0)</f>
        <v/>
      </c>
      <c r="CC66" s="19">
        <f>IF(Time!CC23=1,MIN(CC91,CC93),0)</f>
        <v/>
      </c>
      <c r="CD66" s="19">
        <f>IF(Time!CD23=1,MIN(CD91,CD93),0)</f>
        <v/>
      </c>
      <c r="CE66" s="19">
        <f>IF(Time!CE23=1,MIN(CE91,CE93),0)</f>
        <v/>
      </c>
      <c r="CF66" s="19">
        <f>IF(Time!CF23=1,MIN(CF91,CF93),0)</f>
        <v/>
      </c>
      <c r="CG66" s="19">
        <f>IF(Time!CG23=1,MIN(CG91,CG93),0)</f>
        <v/>
      </c>
      <c r="CH66" s="19">
        <f>IF(Time!CH23=1,MIN(CH91,CH93),0)</f>
        <v/>
      </c>
      <c r="CI66" s="19">
        <f>IF(Time!CI23=1,MIN(CI91,CI93),0)</f>
        <v/>
      </c>
      <c r="CJ66" s="19">
        <f>IF(Time!CJ23=1,MIN(CJ91,CJ93),0)</f>
        <v/>
      </c>
      <c r="CK66" s="19">
        <f>IF(Time!CK23=1,MIN(CK91,CK93),0)</f>
        <v/>
      </c>
      <c r="CL66" s="19">
        <f>IF(Time!CL23=1,MIN(CL91,CL93),0)</f>
        <v/>
      </c>
      <c r="CM66" s="19">
        <f>IF(Time!CM23=1,MIN(CM91,CM93),0)</f>
        <v/>
      </c>
      <c r="CN66" s="19">
        <f>IF(Time!CN23=1,MIN(CN91,CN93),0)</f>
        <v/>
      </c>
      <c r="CO66" s="19">
        <f>IF(Time!CO23=1,MIN(CO91,CO93),0)</f>
        <v/>
      </c>
      <c r="CP66" s="19">
        <f>IF(Time!CP23=1,MIN(CP91,CP93),0)</f>
        <v/>
      </c>
      <c r="CQ66" s="19">
        <f>IF(Time!CQ23=1,MIN(CQ91,CQ93),0)</f>
        <v/>
      </c>
      <c r="CR66" s="19">
        <f>IF(Time!CR23=1,MIN(CR91,CR93),0)</f>
        <v/>
      </c>
      <c r="CS66" s="19">
        <f>IF(Time!CS23=1,MIN(CS91,CS93),0)</f>
        <v/>
      </c>
      <c r="CT66" s="19">
        <f>IF(Time!CT23=1,MIN(CT91,CT93),0)</f>
        <v/>
      </c>
      <c r="CU66" s="19">
        <f>IF(Time!CU23=1,MIN(CU91,CU93),0)</f>
        <v/>
      </c>
      <c r="CV66" s="19">
        <f>IF(Time!CV23=1,MIN(CV91,CV93),0)</f>
        <v/>
      </c>
      <c r="CW66" s="19">
        <f>IF(Time!CW23=1,MIN(CW91,CW93),0)</f>
        <v/>
      </c>
      <c r="CX66" s="19">
        <f>IF(Time!CX23=1,MIN(CX91,CX93),0)</f>
        <v/>
      </c>
      <c r="CY66" s="19">
        <f>IF(Time!CY23=1,MIN(CY91,CY93),0)</f>
        <v/>
      </c>
      <c r="CZ66" s="19">
        <f>IF(Time!CZ23=1,MIN(CZ91,CZ93),0)</f>
        <v/>
      </c>
      <c r="DA66" s="19">
        <f>IF(Time!DA23=1,MIN(DA91,DA93),0)</f>
        <v/>
      </c>
      <c r="DB66" s="19">
        <f>IF(Time!DB23=1,MIN(DB91,DB93),0)</f>
        <v/>
      </c>
    </row>
    <row r="67">
      <c r="D67" t="inlineStr">
        <is>
          <t>Senior principal due</t>
        </is>
      </c>
      <c r="E67" t="inlineStr">
        <is>
          <t>ARD m</t>
        </is>
      </c>
      <c r="G67" s="19">
        <f>SUM(J67:DB67)</f>
        <v/>
      </c>
      <c r="J67" s="19">
        <f>J45+J52+J66</f>
        <v/>
      </c>
      <c r="K67" s="19">
        <f>K45+K52+K66</f>
        <v/>
      </c>
      <c r="L67" s="19">
        <f>L45+L52+L66</f>
        <v/>
      </c>
      <c r="M67" s="19">
        <f>M45+M52+M66</f>
        <v/>
      </c>
      <c r="N67" s="19">
        <f>N45+N52+N66</f>
        <v/>
      </c>
      <c r="O67" s="19">
        <f>O45+O52+O66</f>
        <v/>
      </c>
      <c r="P67" s="19">
        <f>P45+P52+P66</f>
        <v/>
      </c>
      <c r="Q67" s="19">
        <f>Q45+Q52+Q66</f>
        <v/>
      </c>
      <c r="R67" s="19">
        <f>R45+R52+R66</f>
        <v/>
      </c>
      <c r="S67" s="19">
        <f>S45+S52+S66</f>
        <v/>
      </c>
      <c r="T67" s="19">
        <f>T45+T52+T66</f>
        <v/>
      </c>
      <c r="U67" s="19">
        <f>U45+U52+U66</f>
        <v/>
      </c>
      <c r="V67" s="19">
        <f>V45+V52+V66</f>
        <v/>
      </c>
      <c r="W67" s="19">
        <f>W45+W52+W66</f>
        <v/>
      </c>
      <c r="X67" s="19">
        <f>X45+X52+X66</f>
        <v/>
      </c>
      <c r="Y67" s="19">
        <f>Y45+Y52+Y66</f>
        <v/>
      </c>
      <c r="Z67" s="19">
        <f>Z45+Z52+Z66</f>
        <v/>
      </c>
      <c r="AA67" s="19">
        <f>AA45+AA52+AA66</f>
        <v/>
      </c>
      <c r="AB67" s="19">
        <f>AB45+AB52+AB66</f>
        <v/>
      </c>
      <c r="AC67" s="19">
        <f>AC45+AC52+AC66</f>
        <v/>
      </c>
      <c r="AD67" s="19">
        <f>AD45+AD52+AD66</f>
        <v/>
      </c>
      <c r="AE67" s="19">
        <f>AE45+AE52+AE66</f>
        <v/>
      </c>
      <c r="AF67" s="19">
        <f>AF45+AF52+AF66</f>
        <v/>
      </c>
      <c r="AG67" s="19">
        <f>AG45+AG52+AG66</f>
        <v/>
      </c>
      <c r="AH67" s="19">
        <f>AH45+AH52+AH66</f>
        <v/>
      </c>
      <c r="AI67" s="19">
        <f>AI45+AI52+AI66</f>
        <v/>
      </c>
      <c r="AJ67" s="19">
        <f>AJ45+AJ52+AJ66</f>
        <v/>
      </c>
      <c r="AK67" s="19">
        <f>AK45+AK52+AK66</f>
        <v/>
      </c>
      <c r="AL67" s="19">
        <f>AL45+AL52+AL66</f>
        <v/>
      </c>
      <c r="AM67" s="19">
        <f>AM45+AM52+AM66</f>
        <v/>
      </c>
      <c r="AN67" s="19">
        <f>AN45+AN52+AN66</f>
        <v/>
      </c>
      <c r="AO67" s="19">
        <f>AO45+AO52+AO66</f>
        <v/>
      </c>
      <c r="AP67" s="19">
        <f>AP45+AP52+AP66</f>
        <v/>
      </c>
      <c r="AQ67" s="19">
        <f>AQ45+AQ52+AQ66</f>
        <v/>
      </c>
      <c r="AR67" s="19">
        <f>AR45+AR52+AR66</f>
        <v/>
      </c>
      <c r="AS67" s="19">
        <f>AS45+AS52+AS66</f>
        <v/>
      </c>
      <c r="AT67" s="19">
        <f>AT45+AT52+AT66</f>
        <v/>
      </c>
      <c r="AU67" s="19">
        <f>AU45+AU52+AU66</f>
        <v/>
      </c>
      <c r="AV67" s="19">
        <f>AV45+AV52+AV66</f>
        <v/>
      </c>
      <c r="AW67" s="19">
        <f>AW45+AW52+AW66</f>
        <v/>
      </c>
      <c r="AX67" s="19">
        <f>AX45+AX52+AX66</f>
        <v/>
      </c>
      <c r="AY67" s="19">
        <f>AY45+AY52+AY66</f>
        <v/>
      </c>
      <c r="AZ67" s="19">
        <f>AZ45+AZ52+AZ66</f>
        <v/>
      </c>
      <c r="BA67" s="19">
        <f>BA45+BA52+BA66</f>
        <v/>
      </c>
      <c r="BB67" s="19">
        <f>BB45+BB52+BB66</f>
        <v/>
      </c>
      <c r="BC67" s="19">
        <f>BC45+BC52+BC66</f>
        <v/>
      </c>
      <c r="BD67" s="19">
        <f>BD45+BD52+BD66</f>
        <v/>
      </c>
      <c r="BE67" s="19">
        <f>BE45+BE52+BE66</f>
        <v/>
      </c>
      <c r="BF67" s="19">
        <f>BF45+BF52+BF66</f>
        <v/>
      </c>
      <c r="BG67" s="19">
        <f>BG45+BG52+BG66</f>
        <v/>
      </c>
      <c r="BH67" s="19">
        <f>BH45+BH52+BH66</f>
        <v/>
      </c>
      <c r="BI67" s="19">
        <f>BI45+BI52+BI66</f>
        <v/>
      </c>
      <c r="BJ67" s="19">
        <f>BJ45+BJ52+BJ66</f>
        <v/>
      </c>
      <c r="BK67" s="19">
        <f>BK45+BK52+BK66</f>
        <v/>
      </c>
      <c r="BL67" s="19">
        <f>BL45+BL52+BL66</f>
        <v/>
      </c>
      <c r="BM67" s="19">
        <f>BM45+BM52+BM66</f>
        <v/>
      </c>
      <c r="BN67" s="19">
        <f>BN45+BN52+BN66</f>
        <v/>
      </c>
      <c r="BO67" s="19">
        <f>BO45+BO52+BO66</f>
        <v/>
      </c>
      <c r="BP67" s="19">
        <f>BP45+BP52+BP66</f>
        <v/>
      </c>
      <c r="BQ67" s="19">
        <f>BQ45+BQ52+BQ66</f>
        <v/>
      </c>
      <c r="BR67" s="19">
        <f>BR45+BR52+BR66</f>
        <v/>
      </c>
      <c r="BS67" s="19">
        <f>BS45+BS52+BS66</f>
        <v/>
      </c>
      <c r="BT67" s="19">
        <f>BT45+BT52+BT66</f>
        <v/>
      </c>
      <c r="BU67" s="19">
        <f>BU45+BU52+BU66</f>
        <v/>
      </c>
      <c r="BV67" s="19">
        <f>BV45+BV52+BV66</f>
        <v/>
      </c>
      <c r="BW67" s="19">
        <f>BW45+BW52+BW66</f>
        <v/>
      </c>
      <c r="BX67" s="19">
        <f>BX45+BX52+BX66</f>
        <v/>
      </c>
      <c r="BY67" s="19">
        <f>BY45+BY52+BY66</f>
        <v/>
      </c>
      <c r="BZ67" s="19">
        <f>BZ45+BZ52+BZ66</f>
        <v/>
      </c>
      <c r="CA67" s="19">
        <f>CA45+CA52+CA66</f>
        <v/>
      </c>
      <c r="CB67" s="19">
        <f>CB45+CB52+CB66</f>
        <v/>
      </c>
      <c r="CC67" s="19">
        <f>CC45+CC52+CC66</f>
        <v/>
      </c>
      <c r="CD67" s="19">
        <f>CD45+CD52+CD66</f>
        <v/>
      </c>
      <c r="CE67" s="19">
        <f>CE45+CE52+CE66</f>
        <v/>
      </c>
      <c r="CF67" s="19">
        <f>CF45+CF52+CF66</f>
        <v/>
      </c>
      <c r="CG67" s="19">
        <f>CG45+CG52+CG66</f>
        <v/>
      </c>
      <c r="CH67" s="19">
        <f>CH45+CH52+CH66</f>
        <v/>
      </c>
      <c r="CI67" s="19">
        <f>CI45+CI52+CI66</f>
        <v/>
      </c>
      <c r="CJ67" s="19">
        <f>CJ45+CJ52+CJ66</f>
        <v/>
      </c>
      <c r="CK67" s="19">
        <f>CK45+CK52+CK66</f>
        <v/>
      </c>
      <c r="CL67" s="19">
        <f>CL45+CL52+CL66</f>
        <v/>
      </c>
      <c r="CM67" s="19">
        <f>CM45+CM52+CM66</f>
        <v/>
      </c>
      <c r="CN67" s="19">
        <f>CN45+CN52+CN66</f>
        <v/>
      </c>
      <c r="CO67" s="19">
        <f>CO45+CO52+CO66</f>
        <v/>
      </c>
      <c r="CP67" s="19">
        <f>CP45+CP52+CP66</f>
        <v/>
      </c>
      <c r="CQ67" s="19">
        <f>CQ45+CQ52+CQ66</f>
        <v/>
      </c>
      <c r="CR67" s="19">
        <f>CR45+CR52+CR66</f>
        <v/>
      </c>
      <c r="CS67" s="19">
        <f>CS45+CS52+CS66</f>
        <v/>
      </c>
      <c r="CT67" s="19">
        <f>CT45+CT52+CT66</f>
        <v/>
      </c>
      <c r="CU67" s="19">
        <f>CU45+CU52+CU66</f>
        <v/>
      </c>
      <c r="CV67" s="19">
        <f>CV45+CV52+CV66</f>
        <v/>
      </c>
      <c r="CW67" s="19">
        <f>CW45+CW52+CW66</f>
        <v/>
      </c>
      <c r="CX67" s="19">
        <f>CX45+CX52+CX66</f>
        <v/>
      </c>
      <c r="CY67" s="19">
        <f>CY45+CY52+CY66</f>
        <v/>
      </c>
      <c r="CZ67" s="19">
        <f>CZ45+CZ52+CZ66</f>
        <v/>
      </c>
      <c r="DA67" s="19">
        <f>DA45+DA52+DA66</f>
        <v/>
      </c>
      <c r="DB67" s="19">
        <f>DB45+DB52+DB66</f>
        <v/>
      </c>
    </row>
    <row r="68">
      <c r="D68" t="inlineStr">
        <is>
          <t>Scheduled senior cash debt service (covenant basis)</t>
        </is>
      </c>
      <c r="E68" t="inlineStr">
        <is>
          <t>ARD m</t>
        </is>
      </c>
      <c r="G68" s="19">
        <f>SUM(J68:DB68)</f>
        <v/>
      </c>
      <c r="J68" s="19">
        <f>J64+(Inputs!$F$97+Inputs!$F$98)*J40*(1-Time!J23)*(1-Time!J20)+J66-J39</f>
        <v/>
      </c>
      <c r="K68" s="19">
        <f>K64+(Inputs!$F$97+Inputs!$F$98)*K40*(1-Time!K23)*(1-Time!K20)+K66-K39</f>
        <v/>
      </c>
      <c r="L68" s="19">
        <f>L64+(Inputs!$F$97+Inputs!$F$98)*L40*(1-Time!L23)*(1-Time!L20)+L66-L39</f>
        <v/>
      </c>
      <c r="M68" s="19">
        <f>M64+(Inputs!$F$97+Inputs!$F$98)*M40*(1-Time!M23)*(1-Time!M20)+M66-M39</f>
        <v/>
      </c>
      <c r="N68" s="19">
        <f>N64+(Inputs!$F$97+Inputs!$F$98)*N40*(1-Time!N23)*(1-Time!N20)+N66-N39</f>
        <v/>
      </c>
      <c r="O68" s="19">
        <f>O64+(Inputs!$F$97+Inputs!$F$98)*O40*(1-Time!O23)*(1-Time!O20)+O66-O39</f>
        <v/>
      </c>
      <c r="P68" s="19">
        <f>P64+(Inputs!$F$97+Inputs!$F$98)*P40*(1-Time!P23)*(1-Time!P20)+P66-P39</f>
        <v/>
      </c>
      <c r="Q68" s="19">
        <f>Q64+(Inputs!$F$97+Inputs!$F$98)*Q40*(1-Time!Q23)*(1-Time!Q20)+Q66-Q39</f>
        <v/>
      </c>
      <c r="R68" s="19">
        <f>R64+(Inputs!$F$97+Inputs!$F$98)*R40*(1-Time!R23)*(1-Time!R20)+R66-R39</f>
        <v/>
      </c>
      <c r="S68" s="19">
        <f>S64+(Inputs!$F$97+Inputs!$F$98)*S40*(1-Time!S23)*(1-Time!S20)+S66-S39</f>
        <v/>
      </c>
      <c r="T68" s="19">
        <f>T64+(Inputs!$F$97+Inputs!$F$98)*T40*(1-Time!T23)*(1-Time!T20)+T66-T39</f>
        <v/>
      </c>
      <c r="U68" s="19">
        <f>U64+(Inputs!$F$97+Inputs!$F$98)*U40*(1-Time!U23)*(1-Time!U20)+U66-U39</f>
        <v/>
      </c>
      <c r="V68" s="19">
        <f>V64+(Inputs!$F$97+Inputs!$F$98)*V40*(1-Time!V23)*(1-Time!V20)+V66-V39</f>
        <v/>
      </c>
      <c r="W68" s="19">
        <f>W64+(Inputs!$F$97+Inputs!$F$98)*W40*(1-Time!W23)*(1-Time!W20)+W66-W39</f>
        <v/>
      </c>
      <c r="X68" s="19">
        <f>X64+(Inputs!$F$97+Inputs!$F$98)*X40*(1-Time!X23)*(1-Time!X20)+X66-X39</f>
        <v/>
      </c>
      <c r="Y68" s="19">
        <f>Y64+(Inputs!$F$97+Inputs!$F$98)*Y40*(1-Time!Y23)*(1-Time!Y20)+Y66-Y39</f>
        <v/>
      </c>
      <c r="Z68" s="19">
        <f>Z64+(Inputs!$F$97+Inputs!$F$98)*Z40*(1-Time!Z23)*(1-Time!Z20)+Z66-Z39</f>
        <v/>
      </c>
      <c r="AA68" s="19">
        <f>AA64+(Inputs!$F$97+Inputs!$F$98)*AA40*(1-Time!AA23)*(1-Time!AA20)+AA66-AA39</f>
        <v/>
      </c>
      <c r="AB68" s="19">
        <f>AB64+(Inputs!$F$97+Inputs!$F$98)*AB40*(1-Time!AB23)*(1-Time!AB20)+AB66-AB39</f>
        <v/>
      </c>
      <c r="AC68" s="19">
        <f>AC64+(Inputs!$F$97+Inputs!$F$98)*AC40*(1-Time!AC23)*(1-Time!AC20)+AC66-AC39</f>
        <v/>
      </c>
      <c r="AD68" s="19">
        <f>AD64+(Inputs!$F$97+Inputs!$F$98)*AD40*(1-Time!AD23)*(1-Time!AD20)+AD66-AD39</f>
        <v/>
      </c>
      <c r="AE68" s="19">
        <f>AE64+(Inputs!$F$97+Inputs!$F$98)*AE40*(1-Time!AE23)*(1-Time!AE20)+AE66-AE39</f>
        <v/>
      </c>
      <c r="AF68" s="19">
        <f>AF64+(Inputs!$F$97+Inputs!$F$98)*AF40*(1-Time!AF23)*(1-Time!AF20)+AF66-AF39</f>
        <v/>
      </c>
      <c r="AG68" s="19">
        <f>AG64+(Inputs!$F$97+Inputs!$F$98)*AG40*(1-Time!AG23)*(1-Time!AG20)+AG66-AG39</f>
        <v/>
      </c>
      <c r="AH68" s="19">
        <f>AH64+(Inputs!$F$97+Inputs!$F$98)*AH40*(1-Time!AH23)*(1-Time!AH20)+AH66-AH39</f>
        <v/>
      </c>
      <c r="AI68" s="19">
        <f>AI64+(Inputs!$F$97+Inputs!$F$98)*AI40*(1-Time!AI23)*(1-Time!AI20)+AI66-AI39</f>
        <v/>
      </c>
      <c r="AJ68" s="19">
        <f>AJ64+(Inputs!$F$97+Inputs!$F$98)*AJ40*(1-Time!AJ23)*(1-Time!AJ20)+AJ66-AJ39</f>
        <v/>
      </c>
      <c r="AK68" s="19">
        <f>AK64+(Inputs!$F$97+Inputs!$F$98)*AK40*(1-Time!AK23)*(1-Time!AK20)+AK66-AK39</f>
        <v/>
      </c>
      <c r="AL68" s="19">
        <f>AL64+(Inputs!$F$97+Inputs!$F$98)*AL40*(1-Time!AL23)*(1-Time!AL20)+AL66-AL39</f>
        <v/>
      </c>
      <c r="AM68" s="19">
        <f>AM64+(Inputs!$F$97+Inputs!$F$98)*AM40*(1-Time!AM23)*(1-Time!AM20)+AM66-AM39</f>
        <v/>
      </c>
      <c r="AN68" s="19">
        <f>AN64+(Inputs!$F$97+Inputs!$F$98)*AN40*(1-Time!AN23)*(1-Time!AN20)+AN66-AN39</f>
        <v/>
      </c>
      <c r="AO68" s="19">
        <f>AO64+(Inputs!$F$97+Inputs!$F$98)*AO40*(1-Time!AO23)*(1-Time!AO20)+AO66-AO39</f>
        <v/>
      </c>
      <c r="AP68" s="19">
        <f>AP64+(Inputs!$F$97+Inputs!$F$98)*AP40*(1-Time!AP23)*(1-Time!AP20)+AP66-AP39</f>
        <v/>
      </c>
      <c r="AQ68" s="19">
        <f>AQ64+(Inputs!$F$97+Inputs!$F$98)*AQ40*(1-Time!AQ23)*(1-Time!AQ20)+AQ66-AQ39</f>
        <v/>
      </c>
      <c r="AR68" s="19">
        <f>AR64+(Inputs!$F$97+Inputs!$F$98)*AR40*(1-Time!AR23)*(1-Time!AR20)+AR66-AR39</f>
        <v/>
      </c>
      <c r="AS68" s="19">
        <f>AS64+(Inputs!$F$97+Inputs!$F$98)*AS40*(1-Time!AS23)*(1-Time!AS20)+AS66-AS39</f>
        <v/>
      </c>
      <c r="AT68" s="19">
        <f>AT64+(Inputs!$F$97+Inputs!$F$98)*AT40*(1-Time!AT23)*(1-Time!AT20)+AT66-AT39</f>
        <v/>
      </c>
      <c r="AU68" s="19">
        <f>AU64+(Inputs!$F$97+Inputs!$F$98)*AU40*(1-Time!AU23)*(1-Time!AU20)+AU66-AU39</f>
        <v/>
      </c>
      <c r="AV68" s="19">
        <f>AV64+(Inputs!$F$97+Inputs!$F$98)*AV40*(1-Time!AV23)*(1-Time!AV20)+AV66-AV39</f>
        <v/>
      </c>
      <c r="AW68" s="19">
        <f>AW64+(Inputs!$F$97+Inputs!$F$98)*AW40*(1-Time!AW23)*(1-Time!AW20)+AW66-AW39</f>
        <v/>
      </c>
      <c r="AX68" s="19">
        <f>AX64+(Inputs!$F$97+Inputs!$F$98)*AX40*(1-Time!AX23)*(1-Time!AX20)+AX66-AX39</f>
        <v/>
      </c>
      <c r="AY68" s="19">
        <f>AY64+(Inputs!$F$97+Inputs!$F$98)*AY40*(1-Time!AY23)*(1-Time!AY20)+AY66-AY39</f>
        <v/>
      </c>
      <c r="AZ68" s="19">
        <f>AZ64+(Inputs!$F$97+Inputs!$F$98)*AZ40*(1-Time!AZ23)*(1-Time!AZ20)+AZ66-AZ39</f>
        <v/>
      </c>
      <c r="BA68" s="19">
        <f>BA64+(Inputs!$F$97+Inputs!$F$98)*BA40*(1-Time!BA23)*(1-Time!BA20)+BA66-BA39</f>
        <v/>
      </c>
      <c r="BB68" s="19">
        <f>BB64+(Inputs!$F$97+Inputs!$F$98)*BB40*(1-Time!BB23)*(1-Time!BB20)+BB66-BB39</f>
        <v/>
      </c>
      <c r="BC68" s="19">
        <f>BC64+(Inputs!$F$97+Inputs!$F$98)*BC40*(1-Time!BC23)*(1-Time!BC20)+BC66-BC39</f>
        <v/>
      </c>
      <c r="BD68" s="19">
        <f>BD64+(Inputs!$F$97+Inputs!$F$98)*BD40*(1-Time!BD23)*(1-Time!BD20)+BD66-BD39</f>
        <v/>
      </c>
      <c r="BE68" s="19">
        <f>BE64+(Inputs!$F$97+Inputs!$F$98)*BE40*(1-Time!BE23)*(1-Time!BE20)+BE66-BE39</f>
        <v/>
      </c>
      <c r="BF68" s="19">
        <f>BF64+(Inputs!$F$97+Inputs!$F$98)*BF40*(1-Time!BF23)*(1-Time!BF20)+BF66-BF39</f>
        <v/>
      </c>
      <c r="BG68" s="19">
        <f>BG64+(Inputs!$F$97+Inputs!$F$98)*BG40*(1-Time!BG23)*(1-Time!BG20)+BG66-BG39</f>
        <v/>
      </c>
      <c r="BH68" s="19">
        <f>BH64+(Inputs!$F$97+Inputs!$F$98)*BH40*(1-Time!BH23)*(1-Time!BH20)+BH66-BH39</f>
        <v/>
      </c>
      <c r="BI68" s="19">
        <f>BI64+(Inputs!$F$97+Inputs!$F$98)*BI40*(1-Time!BI23)*(1-Time!BI20)+BI66-BI39</f>
        <v/>
      </c>
      <c r="BJ68" s="19">
        <f>BJ64+(Inputs!$F$97+Inputs!$F$98)*BJ40*(1-Time!BJ23)*(1-Time!BJ20)+BJ66-BJ39</f>
        <v/>
      </c>
      <c r="BK68" s="19">
        <f>BK64+(Inputs!$F$97+Inputs!$F$98)*BK40*(1-Time!BK23)*(1-Time!BK20)+BK66-BK39</f>
        <v/>
      </c>
      <c r="BL68" s="19">
        <f>BL64+(Inputs!$F$97+Inputs!$F$98)*BL40*(1-Time!BL23)*(1-Time!BL20)+BL66-BL39</f>
        <v/>
      </c>
      <c r="BM68" s="19">
        <f>BM64+(Inputs!$F$97+Inputs!$F$98)*BM40*(1-Time!BM23)*(1-Time!BM20)+BM66-BM39</f>
        <v/>
      </c>
      <c r="BN68" s="19">
        <f>BN64+(Inputs!$F$97+Inputs!$F$98)*BN40*(1-Time!BN23)*(1-Time!BN20)+BN66-BN39</f>
        <v/>
      </c>
      <c r="BO68" s="19">
        <f>BO64+(Inputs!$F$97+Inputs!$F$98)*BO40*(1-Time!BO23)*(1-Time!BO20)+BO66-BO39</f>
        <v/>
      </c>
      <c r="BP68" s="19">
        <f>BP64+(Inputs!$F$97+Inputs!$F$98)*BP40*(1-Time!BP23)*(1-Time!BP20)+BP66-BP39</f>
        <v/>
      </c>
      <c r="BQ68" s="19">
        <f>BQ64+(Inputs!$F$97+Inputs!$F$98)*BQ40*(1-Time!BQ23)*(1-Time!BQ20)+BQ66-BQ39</f>
        <v/>
      </c>
      <c r="BR68" s="19">
        <f>BR64+(Inputs!$F$97+Inputs!$F$98)*BR40*(1-Time!BR23)*(1-Time!BR20)+BR66-BR39</f>
        <v/>
      </c>
      <c r="BS68" s="19">
        <f>BS64+(Inputs!$F$97+Inputs!$F$98)*BS40*(1-Time!BS23)*(1-Time!BS20)+BS66-BS39</f>
        <v/>
      </c>
      <c r="BT68" s="19">
        <f>BT64+(Inputs!$F$97+Inputs!$F$98)*BT40*(1-Time!BT23)*(1-Time!BT20)+BT66-BT39</f>
        <v/>
      </c>
      <c r="BU68" s="19">
        <f>BU64+(Inputs!$F$97+Inputs!$F$98)*BU40*(1-Time!BU23)*(1-Time!BU20)+BU66-BU39</f>
        <v/>
      </c>
      <c r="BV68" s="19">
        <f>BV64+(Inputs!$F$97+Inputs!$F$98)*BV40*(1-Time!BV23)*(1-Time!BV20)+BV66-BV39</f>
        <v/>
      </c>
      <c r="BW68" s="19">
        <f>BW64+(Inputs!$F$97+Inputs!$F$98)*BW40*(1-Time!BW23)*(1-Time!BW20)+BW66-BW39</f>
        <v/>
      </c>
      <c r="BX68" s="19">
        <f>BX64+(Inputs!$F$97+Inputs!$F$98)*BX40*(1-Time!BX23)*(1-Time!BX20)+BX66-BX39</f>
        <v/>
      </c>
      <c r="BY68" s="19">
        <f>BY64+(Inputs!$F$97+Inputs!$F$98)*BY40*(1-Time!BY23)*(1-Time!BY20)+BY66-BY39</f>
        <v/>
      </c>
      <c r="BZ68" s="19">
        <f>BZ64+(Inputs!$F$97+Inputs!$F$98)*BZ40*(1-Time!BZ23)*(1-Time!BZ20)+BZ66-BZ39</f>
        <v/>
      </c>
      <c r="CA68" s="19">
        <f>CA64+(Inputs!$F$97+Inputs!$F$98)*CA40*(1-Time!CA23)*(1-Time!CA20)+CA66-CA39</f>
        <v/>
      </c>
      <c r="CB68" s="19">
        <f>CB64+(Inputs!$F$97+Inputs!$F$98)*CB40*(1-Time!CB23)*(1-Time!CB20)+CB66-CB39</f>
        <v/>
      </c>
      <c r="CC68" s="19">
        <f>CC64+(Inputs!$F$97+Inputs!$F$98)*CC40*(1-Time!CC23)*(1-Time!CC20)+CC66-CC39</f>
        <v/>
      </c>
      <c r="CD68" s="19">
        <f>CD64+(Inputs!$F$97+Inputs!$F$98)*CD40*(1-Time!CD23)*(1-Time!CD20)+CD66-CD39</f>
        <v/>
      </c>
      <c r="CE68" s="19">
        <f>CE64+(Inputs!$F$97+Inputs!$F$98)*CE40*(1-Time!CE23)*(1-Time!CE20)+CE66-CE39</f>
        <v/>
      </c>
      <c r="CF68" s="19">
        <f>CF64+(Inputs!$F$97+Inputs!$F$98)*CF40*(1-Time!CF23)*(1-Time!CF20)+CF66-CF39</f>
        <v/>
      </c>
      <c r="CG68" s="19">
        <f>CG64+(Inputs!$F$97+Inputs!$F$98)*CG40*(1-Time!CG23)*(1-Time!CG20)+CG66-CG39</f>
        <v/>
      </c>
      <c r="CH68" s="19">
        <f>CH64+(Inputs!$F$97+Inputs!$F$98)*CH40*(1-Time!CH23)*(1-Time!CH20)+CH66-CH39</f>
        <v/>
      </c>
      <c r="CI68" s="19">
        <f>CI64+(Inputs!$F$97+Inputs!$F$98)*CI40*(1-Time!CI23)*(1-Time!CI20)+CI66-CI39</f>
        <v/>
      </c>
      <c r="CJ68" s="19">
        <f>CJ64+(Inputs!$F$97+Inputs!$F$98)*CJ40*(1-Time!CJ23)*(1-Time!CJ20)+CJ66-CJ39</f>
        <v/>
      </c>
      <c r="CK68" s="19">
        <f>CK64+(Inputs!$F$97+Inputs!$F$98)*CK40*(1-Time!CK23)*(1-Time!CK20)+CK66-CK39</f>
        <v/>
      </c>
      <c r="CL68" s="19">
        <f>CL64+(Inputs!$F$97+Inputs!$F$98)*CL40*(1-Time!CL23)*(1-Time!CL20)+CL66-CL39</f>
        <v/>
      </c>
      <c r="CM68" s="19">
        <f>CM64+(Inputs!$F$97+Inputs!$F$98)*CM40*(1-Time!CM23)*(1-Time!CM20)+CM66-CM39</f>
        <v/>
      </c>
      <c r="CN68" s="19">
        <f>CN64+(Inputs!$F$97+Inputs!$F$98)*CN40*(1-Time!CN23)*(1-Time!CN20)+CN66-CN39</f>
        <v/>
      </c>
      <c r="CO68" s="19">
        <f>CO64+(Inputs!$F$97+Inputs!$F$98)*CO40*(1-Time!CO23)*(1-Time!CO20)+CO66-CO39</f>
        <v/>
      </c>
      <c r="CP68" s="19">
        <f>CP64+(Inputs!$F$97+Inputs!$F$98)*CP40*(1-Time!CP23)*(1-Time!CP20)+CP66-CP39</f>
        <v/>
      </c>
      <c r="CQ68" s="19">
        <f>CQ64+(Inputs!$F$97+Inputs!$F$98)*CQ40*(1-Time!CQ23)*(1-Time!CQ20)+CQ66-CQ39</f>
        <v/>
      </c>
      <c r="CR68" s="19">
        <f>CR64+(Inputs!$F$97+Inputs!$F$98)*CR40*(1-Time!CR23)*(1-Time!CR20)+CR66-CR39</f>
        <v/>
      </c>
      <c r="CS68" s="19">
        <f>CS64+(Inputs!$F$97+Inputs!$F$98)*CS40*(1-Time!CS23)*(1-Time!CS20)+CS66-CS39</f>
        <v/>
      </c>
      <c r="CT68" s="19">
        <f>CT64+(Inputs!$F$97+Inputs!$F$98)*CT40*(1-Time!CT23)*(1-Time!CT20)+CT66-CT39</f>
        <v/>
      </c>
      <c r="CU68" s="19">
        <f>CU64+(Inputs!$F$97+Inputs!$F$98)*CU40*(1-Time!CU23)*(1-Time!CU20)+CU66-CU39</f>
        <v/>
      </c>
      <c r="CV68" s="19">
        <f>CV64+(Inputs!$F$97+Inputs!$F$98)*CV40*(1-Time!CV23)*(1-Time!CV20)+CV66-CV39</f>
        <v/>
      </c>
      <c r="CW68" s="19">
        <f>CW64+(Inputs!$F$97+Inputs!$F$98)*CW40*(1-Time!CW23)*(1-Time!CW20)+CW66-CW39</f>
        <v/>
      </c>
      <c r="CX68" s="19">
        <f>CX64+(Inputs!$F$97+Inputs!$F$98)*CX40*(1-Time!CX23)*(1-Time!CX20)+CX66-CX39</f>
        <v/>
      </c>
      <c r="CY68" s="19">
        <f>CY64+(Inputs!$F$97+Inputs!$F$98)*CY40*(1-Time!CY23)*(1-Time!CY20)+CY66-CY39</f>
        <v/>
      </c>
      <c r="CZ68" s="19">
        <f>CZ64+(Inputs!$F$97+Inputs!$F$98)*CZ40*(1-Time!CZ23)*(1-Time!CZ20)+CZ66-CZ39</f>
        <v/>
      </c>
      <c r="DA68" s="19">
        <f>DA64+(Inputs!$F$97+Inputs!$F$98)*DA40*(1-Time!DA23)*(1-Time!DA20)+DA66-DA39</f>
        <v/>
      </c>
      <c r="DB68" s="19">
        <f>DB64+(Inputs!$F$97+Inputs!$F$98)*DB40*(1-Time!DB23)*(1-Time!DB20)+DB66-DB39</f>
        <v/>
      </c>
    </row>
    <row r="69">
      <c r="D69" s="3" t="inlineStr">
        <is>
          <t>Restructuring at 2023-12-31</t>
        </is>
      </c>
    </row>
    <row r="70">
      <c r="D70" t="inlineStr">
        <is>
          <t>Original scheduled senior balance (swap notional basis)</t>
        </is>
      </c>
      <c r="E70" t="inlineStr">
        <is>
          <t>ARD m</t>
        </is>
      </c>
      <c r="J70" s="19">
        <f>IF(Time!J21=1,$F$26,I70-I40)</f>
        <v/>
      </c>
      <c r="K70" s="19">
        <f>IF(Time!K21=1,$F$26,J70-J40)</f>
        <v/>
      </c>
      <c r="L70" s="19">
        <f>IF(Time!L21=1,$F$26,K70-K40)</f>
        <v/>
      </c>
      <c r="M70" s="19">
        <f>IF(Time!M21=1,$F$26,L70-L40)</f>
        <v/>
      </c>
      <c r="N70" s="19">
        <f>IF(Time!N21=1,$F$26,M70-M40)</f>
        <v/>
      </c>
      <c r="O70" s="19">
        <f>IF(Time!O21=1,$F$26,N70-N40)</f>
        <v/>
      </c>
      <c r="P70" s="19">
        <f>IF(Time!P21=1,$F$26,O70-O40)</f>
        <v/>
      </c>
      <c r="Q70" s="19">
        <f>IF(Time!Q21=1,$F$26,P70-P40)</f>
        <v/>
      </c>
      <c r="R70" s="19">
        <f>IF(Time!R21=1,$F$26,Q70-Q40)</f>
        <v/>
      </c>
      <c r="S70" s="19">
        <f>IF(Time!S21=1,$F$26,R70-R40)</f>
        <v/>
      </c>
      <c r="T70" s="19">
        <f>IF(Time!T21=1,$F$26,S70-S40)</f>
        <v/>
      </c>
      <c r="U70" s="19">
        <f>IF(Time!U21=1,$F$26,T70-T40)</f>
        <v/>
      </c>
      <c r="V70" s="19">
        <f>IF(Time!V21=1,$F$26,U70-U40)</f>
        <v/>
      </c>
      <c r="W70" s="19">
        <f>IF(Time!W21=1,$F$26,V70-V40)</f>
        <v/>
      </c>
      <c r="X70" s="19">
        <f>IF(Time!X21=1,$F$26,W70-W40)</f>
        <v/>
      </c>
      <c r="Y70" s="19">
        <f>IF(Time!Y21=1,$F$26,X70-X40)</f>
        <v/>
      </c>
      <c r="Z70" s="19">
        <f>IF(Time!Z21=1,$F$26,Y70-Y40)</f>
        <v/>
      </c>
      <c r="AA70" s="19">
        <f>IF(Time!AA21=1,$F$26,Z70-Z40)</f>
        <v/>
      </c>
      <c r="AB70" s="19">
        <f>IF(Time!AB21=1,$F$26,AA70-AA40)</f>
        <v/>
      </c>
      <c r="AC70" s="19">
        <f>IF(Time!AC21=1,$F$26,AB70-AB40)</f>
        <v/>
      </c>
      <c r="AD70" s="19">
        <f>IF(Time!AD21=1,$F$26,AC70-AC40)</f>
        <v/>
      </c>
      <c r="AE70" s="19">
        <f>IF(Time!AE21=1,$F$26,AD70-AD40)</f>
        <v/>
      </c>
      <c r="AF70" s="19">
        <f>IF(Time!AF21=1,$F$26,AE70-AE40)</f>
        <v/>
      </c>
      <c r="AG70" s="19">
        <f>IF(Time!AG21=1,$F$26,AF70-AF40)</f>
        <v/>
      </c>
      <c r="AH70" s="19">
        <f>IF(Time!AH21=1,$F$26,AG70-AG40)</f>
        <v/>
      </c>
      <c r="AI70" s="19">
        <f>IF(Time!AI21=1,$F$26,AH70-AH40)</f>
        <v/>
      </c>
      <c r="AJ70" s="19">
        <f>IF(Time!AJ21=1,$F$26,AI70-AI40)</f>
        <v/>
      </c>
      <c r="AK70" s="19">
        <f>IF(Time!AK21=1,$F$26,AJ70-AJ40)</f>
        <v/>
      </c>
      <c r="AL70" s="19">
        <f>IF(Time!AL21=1,$F$26,AK70-AK40)</f>
        <v/>
      </c>
      <c r="AM70" s="19">
        <f>IF(Time!AM21=1,$F$26,AL70-AL40)</f>
        <v/>
      </c>
      <c r="AN70" s="19">
        <f>IF(Time!AN21=1,$F$26,AM70-AM40)</f>
        <v/>
      </c>
      <c r="AO70" s="19">
        <f>IF(Time!AO21=1,$F$26,AN70-AN40)</f>
        <v/>
      </c>
      <c r="AP70" s="19">
        <f>IF(Time!AP21=1,$F$26,AO70-AO40)</f>
        <v/>
      </c>
      <c r="AQ70" s="19">
        <f>IF(Time!AQ21=1,$F$26,AP70-AP40)</f>
        <v/>
      </c>
      <c r="AR70" s="19">
        <f>IF(Time!AR21=1,$F$26,AQ70-AQ40)</f>
        <v/>
      </c>
      <c r="AS70" s="19">
        <f>IF(Time!AS21=1,$F$26,AR70-AR40)</f>
        <v/>
      </c>
      <c r="AT70" s="19">
        <f>IF(Time!AT21=1,$F$26,AS70-AS40)</f>
        <v/>
      </c>
      <c r="AU70" s="19">
        <f>IF(Time!AU21=1,$F$26,AT70-AT40)</f>
        <v/>
      </c>
      <c r="AV70" s="19">
        <f>IF(Time!AV21=1,$F$26,AU70-AU40)</f>
        <v/>
      </c>
      <c r="AW70" s="19">
        <f>IF(Time!AW21=1,$F$26,AV70-AV40)</f>
        <v/>
      </c>
      <c r="AX70" s="19">
        <f>IF(Time!AX21=1,$F$26,AW70-AW40)</f>
        <v/>
      </c>
      <c r="AY70" s="19">
        <f>IF(Time!AY21=1,$F$26,AX70-AX40)</f>
        <v/>
      </c>
      <c r="AZ70" s="19">
        <f>IF(Time!AZ21=1,$F$26,AY70-AY40)</f>
        <v/>
      </c>
      <c r="BA70" s="19">
        <f>IF(Time!BA21=1,$F$26,AZ70-AZ40)</f>
        <v/>
      </c>
      <c r="BB70" s="19">
        <f>IF(Time!BB21=1,$F$26,BA70-BA40)</f>
        <v/>
      </c>
      <c r="BC70" s="19">
        <f>IF(Time!BC21=1,$F$26,BB70-BB40)</f>
        <v/>
      </c>
      <c r="BD70" s="19">
        <f>IF(Time!BD21=1,$F$26,BC70-BC40)</f>
        <v/>
      </c>
      <c r="BE70" s="19">
        <f>IF(Time!BE21=1,$F$26,BD70-BD40)</f>
        <v/>
      </c>
      <c r="BF70" s="19">
        <f>IF(Time!BF21=1,$F$26,BE70-BE40)</f>
        <v/>
      </c>
      <c r="BG70" s="19">
        <f>IF(Time!BG21=1,$F$26,BF70-BF40)</f>
        <v/>
      </c>
      <c r="BH70" s="19">
        <f>IF(Time!BH21=1,$F$26,BG70-BG40)</f>
        <v/>
      </c>
      <c r="BI70" s="19">
        <f>IF(Time!BI21=1,$F$26,BH70-BH40)</f>
        <v/>
      </c>
      <c r="BJ70" s="19">
        <f>IF(Time!BJ21=1,$F$26,BI70-BI40)</f>
        <v/>
      </c>
      <c r="BK70" s="19">
        <f>IF(Time!BK21=1,$F$26,BJ70-BJ40)</f>
        <v/>
      </c>
      <c r="BL70" s="19">
        <f>IF(Time!BL21=1,$F$26,BK70-BK40)</f>
        <v/>
      </c>
      <c r="BM70" s="19">
        <f>IF(Time!BM21=1,$F$26,BL70-BL40)</f>
        <v/>
      </c>
      <c r="BN70" s="19">
        <f>IF(Time!BN21=1,$F$26,BM70-BM40)</f>
        <v/>
      </c>
      <c r="BO70" s="19">
        <f>IF(Time!BO21=1,$F$26,BN70-BN40)</f>
        <v/>
      </c>
      <c r="BP70" s="19">
        <f>IF(Time!BP21=1,$F$26,BO70-BO40)</f>
        <v/>
      </c>
      <c r="BQ70" s="19">
        <f>IF(Time!BQ21=1,$F$26,BP70-BP40)</f>
        <v/>
      </c>
      <c r="BR70" s="19">
        <f>IF(Time!BR21=1,$F$26,BQ70-BQ40)</f>
        <v/>
      </c>
      <c r="BS70" s="19">
        <f>IF(Time!BS21=1,$F$26,BR70-BR40)</f>
        <v/>
      </c>
      <c r="BT70" s="19">
        <f>IF(Time!BT21=1,$F$26,BS70-BS40)</f>
        <v/>
      </c>
      <c r="BU70" s="19">
        <f>IF(Time!BU21=1,$F$26,BT70-BT40)</f>
        <v/>
      </c>
      <c r="BV70" s="19">
        <f>IF(Time!BV21=1,$F$26,BU70-BU40)</f>
        <v/>
      </c>
      <c r="BW70" s="19">
        <f>IF(Time!BW21=1,$F$26,BV70-BV40)</f>
        <v/>
      </c>
      <c r="BX70" s="19">
        <f>IF(Time!BX21=1,$F$26,BW70-BW40)</f>
        <v/>
      </c>
      <c r="BY70" s="19">
        <f>IF(Time!BY21=1,$F$26,BX70-BX40)</f>
        <v/>
      </c>
      <c r="BZ70" s="19">
        <f>IF(Time!BZ21=1,$F$26,BY70-BY40)</f>
        <v/>
      </c>
      <c r="CA70" s="19">
        <f>IF(Time!CA21=1,$F$26,BZ70-BZ40)</f>
        <v/>
      </c>
      <c r="CB70" s="19">
        <f>IF(Time!CB21=1,$F$26,CA70-CA40)</f>
        <v/>
      </c>
      <c r="CC70" s="19">
        <f>IF(Time!CC21=1,$F$26,CB70-CB40)</f>
        <v/>
      </c>
      <c r="CD70" s="19">
        <f>IF(Time!CD21=1,$F$26,CC70-CC40)</f>
        <v/>
      </c>
      <c r="CE70" s="19">
        <f>IF(Time!CE21=1,$F$26,CD70-CD40)</f>
        <v/>
      </c>
      <c r="CF70" s="19">
        <f>IF(Time!CF21=1,$F$26,CE70-CE40)</f>
        <v/>
      </c>
      <c r="CG70" s="19">
        <f>IF(Time!CG21=1,$F$26,CF70-CF40)</f>
        <v/>
      </c>
      <c r="CH70" s="19">
        <f>IF(Time!CH21=1,$F$26,CG70-CG40)</f>
        <v/>
      </c>
      <c r="CI70" s="19">
        <f>IF(Time!CI21=1,$F$26,CH70-CH40)</f>
        <v/>
      </c>
      <c r="CJ70" s="19">
        <f>IF(Time!CJ21=1,$F$26,CI70-CI40)</f>
        <v/>
      </c>
      <c r="CK70" s="19">
        <f>IF(Time!CK21=1,$F$26,CJ70-CJ40)</f>
        <v/>
      </c>
      <c r="CL70" s="19">
        <f>IF(Time!CL21=1,$F$26,CK70-CK40)</f>
        <v/>
      </c>
      <c r="CM70" s="19">
        <f>IF(Time!CM21=1,$F$26,CL70-CL40)</f>
        <v/>
      </c>
      <c r="CN70" s="19">
        <f>IF(Time!CN21=1,$F$26,CM70-CM40)</f>
        <v/>
      </c>
      <c r="CO70" s="19">
        <f>IF(Time!CO21=1,$F$26,CN70-CN40)</f>
        <v/>
      </c>
      <c r="CP70" s="19">
        <f>IF(Time!CP21=1,$F$26,CO70-CO40)</f>
        <v/>
      </c>
      <c r="CQ70" s="19">
        <f>IF(Time!CQ21=1,$F$26,CP70-CP40)</f>
        <v/>
      </c>
      <c r="CR70" s="19">
        <f>IF(Time!CR21=1,$F$26,CQ70-CQ40)</f>
        <v/>
      </c>
      <c r="CS70" s="19">
        <f>IF(Time!CS21=1,$F$26,CR70-CR40)</f>
        <v/>
      </c>
      <c r="CT70" s="19">
        <f>IF(Time!CT21=1,$F$26,CS70-CS40)</f>
        <v/>
      </c>
      <c r="CU70" s="19">
        <f>IF(Time!CU21=1,$F$26,CT70-CT40)</f>
        <v/>
      </c>
      <c r="CV70" s="19">
        <f>IF(Time!CV21=1,$F$26,CU70-CU40)</f>
        <v/>
      </c>
      <c r="CW70" s="19">
        <f>IF(Time!CW21=1,$F$26,CV70-CV40)</f>
        <v/>
      </c>
      <c r="CX70" s="19">
        <f>IF(Time!CX21=1,$F$26,CW70-CW40)</f>
        <v/>
      </c>
      <c r="CY70" s="19">
        <f>IF(Time!CY21=1,$F$26,CX70-CX40)</f>
        <v/>
      </c>
      <c r="CZ70" s="19">
        <f>IF(Time!CZ21=1,$F$26,CY70-CY40)</f>
        <v/>
      </c>
      <c r="DA70" s="19">
        <f>IF(Time!DA21=1,$F$26,CZ70-CZ40)</f>
        <v/>
      </c>
      <c r="DB70" s="19">
        <f>IF(Time!DB21=1,$F$26,DA70-DA40)</f>
        <v/>
      </c>
    </row>
    <row r="71">
      <c r="D71" t="inlineStr">
        <is>
          <t>Swap discount factor at 4.36%</t>
        </is>
      </c>
      <c r="E71" t="inlineStr">
        <is>
          <t>factor</t>
        </is>
      </c>
      <c r="J71" s="27">
        <f>IF(Time!J52=1,IF(Time!I52=1,I71,1)/(1+Inputs!$F$102/100*Time!J9/Inputs!$F$46),0)</f>
        <v/>
      </c>
      <c r="K71" s="27">
        <f>IF(Time!K52=1,IF(Time!J52=1,J71,1)/(1+Inputs!$F$102/100*Time!K9/Inputs!$F$46),0)</f>
        <v/>
      </c>
      <c r="L71" s="27">
        <f>IF(Time!L52=1,IF(Time!K52=1,K71,1)/(1+Inputs!$F$102/100*Time!L9/Inputs!$F$46),0)</f>
        <v/>
      </c>
      <c r="M71" s="27">
        <f>IF(Time!M52=1,IF(Time!L52=1,L71,1)/(1+Inputs!$F$102/100*Time!M9/Inputs!$F$46),0)</f>
        <v/>
      </c>
      <c r="N71" s="27">
        <f>IF(Time!N52=1,IF(Time!M52=1,M71,1)/(1+Inputs!$F$102/100*Time!N9/Inputs!$F$46),0)</f>
        <v/>
      </c>
      <c r="O71" s="27">
        <f>IF(Time!O52=1,IF(Time!N52=1,N71,1)/(1+Inputs!$F$102/100*Time!O9/Inputs!$F$46),0)</f>
        <v/>
      </c>
      <c r="P71" s="27">
        <f>IF(Time!P52=1,IF(Time!O52=1,O71,1)/(1+Inputs!$F$102/100*Time!P9/Inputs!$F$46),0)</f>
        <v/>
      </c>
      <c r="Q71" s="27">
        <f>IF(Time!Q52=1,IF(Time!P52=1,P71,1)/(1+Inputs!$F$102/100*Time!Q9/Inputs!$F$46),0)</f>
        <v/>
      </c>
      <c r="R71" s="27">
        <f>IF(Time!R52=1,IF(Time!Q52=1,Q71,1)/(1+Inputs!$F$102/100*Time!R9/Inputs!$F$46),0)</f>
        <v/>
      </c>
      <c r="S71" s="27">
        <f>IF(Time!S52=1,IF(Time!R52=1,R71,1)/(1+Inputs!$F$102/100*Time!S9/Inputs!$F$46),0)</f>
        <v/>
      </c>
      <c r="T71" s="27">
        <f>IF(Time!T52=1,IF(Time!S52=1,S71,1)/(1+Inputs!$F$102/100*Time!T9/Inputs!$F$46),0)</f>
        <v/>
      </c>
      <c r="U71" s="27">
        <f>IF(Time!U52=1,IF(Time!T52=1,T71,1)/(1+Inputs!$F$102/100*Time!U9/Inputs!$F$46),0)</f>
        <v/>
      </c>
      <c r="V71" s="27">
        <f>IF(Time!V52=1,IF(Time!U52=1,U71,1)/(1+Inputs!$F$102/100*Time!V9/Inputs!$F$46),0)</f>
        <v/>
      </c>
      <c r="W71" s="27">
        <f>IF(Time!W52=1,IF(Time!V52=1,V71,1)/(1+Inputs!$F$102/100*Time!W9/Inputs!$F$46),0)</f>
        <v/>
      </c>
      <c r="X71" s="27">
        <f>IF(Time!X52=1,IF(Time!W52=1,W71,1)/(1+Inputs!$F$102/100*Time!X9/Inputs!$F$46),0)</f>
        <v/>
      </c>
      <c r="Y71" s="27">
        <f>IF(Time!Y52=1,IF(Time!X52=1,X71,1)/(1+Inputs!$F$102/100*Time!Y9/Inputs!$F$46),0)</f>
        <v/>
      </c>
      <c r="Z71" s="27">
        <f>IF(Time!Z52=1,IF(Time!Y52=1,Y71,1)/(1+Inputs!$F$102/100*Time!Z9/Inputs!$F$46),0)</f>
        <v/>
      </c>
      <c r="AA71" s="27">
        <f>IF(Time!AA52=1,IF(Time!Z52=1,Z71,1)/(1+Inputs!$F$102/100*Time!AA9/Inputs!$F$46),0)</f>
        <v/>
      </c>
      <c r="AB71" s="27">
        <f>IF(Time!AB52=1,IF(Time!AA52=1,AA71,1)/(1+Inputs!$F$102/100*Time!AB9/Inputs!$F$46),0)</f>
        <v/>
      </c>
      <c r="AC71" s="27">
        <f>IF(Time!AC52=1,IF(Time!AB52=1,AB71,1)/(1+Inputs!$F$102/100*Time!AC9/Inputs!$F$46),0)</f>
        <v/>
      </c>
      <c r="AD71" s="27">
        <f>IF(Time!AD52=1,IF(Time!AC52=1,AC71,1)/(1+Inputs!$F$102/100*Time!AD9/Inputs!$F$46),0)</f>
        <v/>
      </c>
      <c r="AE71" s="27">
        <f>IF(Time!AE52=1,IF(Time!AD52=1,AD71,1)/(1+Inputs!$F$102/100*Time!AE9/Inputs!$F$46),0)</f>
        <v/>
      </c>
      <c r="AF71" s="27">
        <f>IF(Time!AF52=1,IF(Time!AE52=1,AE71,1)/(1+Inputs!$F$102/100*Time!AF9/Inputs!$F$46),0)</f>
        <v/>
      </c>
      <c r="AG71" s="27">
        <f>IF(Time!AG52=1,IF(Time!AF52=1,AF71,1)/(1+Inputs!$F$102/100*Time!AG9/Inputs!$F$46),0)</f>
        <v/>
      </c>
      <c r="AH71" s="27">
        <f>IF(Time!AH52=1,IF(Time!AG52=1,AG71,1)/(1+Inputs!$F$102/100*Time!AH9/Inputs!$F$46),0)</f>
        <v/>
      </c>
      <c r="AI71" s="27">
        <f>IF(Time!AI52=1,IF(Time!AH52=1,AH71,1)/(1+Inputs!$F$102/100*Time!AI9/Inputs!$F$46),0)</f>
        <v/>
      </c>
      <c r="AJ71" s="27">
        <f>IF(Time!AJ52=1,IF(Time!AI52=1,AI71,1)/(1+Inputs!$F$102/100*Time!AJ9/Inputs!$F$46),0)</f>
        <v/>
      </c>
      <c r="AK71" s="27">
        <f>IF(Time!AK52=1,IF(Time!AJ52=1,AJ71,1)/(1+Inputs!$F$102/100*Time!AK9/Inputs!$F$46),0)</f>
        <v/>
      </c>
      <c r="AL71" s="27">
        <f>IF(Time!AL52=1,IF(Time!AK52=1,AK71,1)/(1+Inputs!$F$102/100*Time!AL9/Inputs!$F$46),0)</f>
        <v/>
      </c>
      <c r="AM71" s="27">
        <f>IF(Time!AM52=1,IF(Time!AL52=1,AL71,1)/(1+Inputs!$F$102/100*Time!AM9/Inputs!$F$46),0)</f>
        <v/>
      </c>
      <c r="AN71" s="27">
        <f>IF(Time!AN52=1,IF(Time!AM52=1,AM71,1)/(1+Inputs!$F$102/100*Time!AN9/Inputs!$F$46),0)</f>
        <v/>
      </c>
      <c r="AO71" s="27">
        <f>IF(Time!AO52=1,IF(Time!AN52=1,AN71,1)/(1+Inputs!$F$102/100*Time!AO9/Inputs!$F$46),0)</f>
        <v/>
      </c>
      <c r="AP71" s="27">
        <f>IF(Time!AP52=1,IF(Time!AO52=1,AO71,1)/(1+Inputs!$F$102/100*Time!AP9/Inputs!$F$46),0)</f>
        <v/>
      </c>
      <c r="AQ71" s="27">
        <f>IF(Time!AQ52=1,IF(Time!AP52=1,AP71,1)/(1+Inputs!$F$102/100*Time!AQ9/Inputs!$F$46),0)</f>
        <v/>
      </c>
      <c r="AR71" s="27">
        <f>IF(Time!AR52=1,IF(Time!AQ52=1,AQ71,1)/(1+Inputs!$F$102/100*Time!AR9/Inputs!$F$46),0)</f>
        <v/>
      </c>
      <c r="AS71" s="27">
        <f>IF(Time!AS52=1,IF(Time!AR52=1,AR71,1)/(1+Inputs!$F$102/100*Time!AS9/Inputs!$F$46),0)</f>
        <v/>
      </c>
      <c r="AT71" s="27">
        <f>IF(Time!AT52=1,IF(Time!AS52=1,AS71,1)/(1+Inputs!$F$102/100*Time!AT9/Inputs!$F$46),0)</f>
        <v/>
      </c>
      <c r="AU71" s="27">
        <f>IF(Time!AU52=1,IF(Time!AT52=1,AT71,1)/(1+Inputs!$F$102/100*Time!AU9/Inputs!$F$46),0)</f>
        <v/>
      </c>
      <c r="AV71" s="27">
        <f>IF(Time!AV52=1,IF(Time!AU52=1,AU71,1)/(1+Inputs!$F$102/100*Time!AV9/Inputs!$F$46),0)</f>
        <v/>
      </c>
      <c r="AW71" s="27">
        <f>IF(Time!AW52=1,IF(Time!AV52=1,AV71,1)/(1+Inputs!$F$102/100*Time!AW9/Inputs!$F$46),0)</f>
        <v/>
      </c>
      <c r="AX71" s="27">
        <f>IF(Time!AX52=1,IF(Time!AW52=1,AW71,1)/(1+Inputs!$F$102/100*Time!AX9/Inputs!$F$46),0)</f>
        <v/>
      </c>
      <c r="AY71" s="27">
        <f>IF(Time!AY52=1,IF(Time!AX52=1,AX71,1)/(1+Inputs!$F$102/100*Time!AY9/Inputs!$F$46),0)</f>
        <v/>
      </c>
      <c r="AZ71" s="27">
        <f>IF(Time!AZ52=1,IF(Time!AY52=1,AY71,1)/(1+Inputs!$F$102/100*Time!AZ9/Inputs!$F$46),0)</f>
        <v/>
      </c>
      <c r="BA71" s="27">
        <f>IF(Time!BA52=1,IF(Time!AZ52=1,AZ71,1)/(1+Inputs!$F$102/100*Time!BA9/Inputs!$F$46),0)</f>
        <v/>
      </c>
      <c r="BB71" s="27">
        <f>IF(Time!BB52=1,IF(Time!BA52=1,BA71,1)/(1+Inputs!$F$102/100*Time!BB9/Inputs!$F$46),0)</f>
        <v/>
      </c>
      <c r="BC71" s="27">
        <f>IF(Time!BC52=1,IF(Time!BB52=1,BB71,1)/(1+Inputs!$F$102/100*Time!BC9/Inputs!$F$46),0)</f>
        <v/>
      </c>
      <c r="BD71" s="27">
        <f>IF(Time!BD52=1,IF(Time!BC52=1,BC71,1)/(1+Inputs!$F$102/100*Time!BD9/Inputs!$F$46),0)</f>
        <v/>
      </c>
      <c r="BE71" s="27">
        <f>IF(Time!BE52=1,IF(Time!BD52=1,BD71,1)/(1+Inputs!$F$102/100*Time!BE9/Inputs!$F$46),0)</f>
        <v/>
      </c>
      <c r="BF71" s="27">
        <f>IF(Time!BF52=1,IF(Time!BE52=1,BE71,1)/(1+Inputs!$F$102/100*Time!BF9/Inputs!$F$46),0)</f>
        <v/>
      </c>
      <c r="BG71" s="27">
        <f>IF(Time!BG52=1,IF(Time!BF52=1,BF71,1)/(1+Inputs!$F$102/100*Time!BG9/Inputs!$F$46),0)</f>
        <v/>
      </c>
      <c r="BH71" s="27">
        <f>IF(Time!BH52=1,IF(Time!BG52=1,BG71,1)/(1+Inputs!$F$102/100*Time!BH9/Inputs!$F$46),0)</f>
        <v/>
      </c>
      <c r="BI71" s="27">
        <f>IF(Time!BI52=1,IF(Time!BH52=1,BH71,1)/(1+Inputs!$F$102/100*Time!BI9/Inputs!$F$46),0)</f>
        <v/>
      </c>
      <c r="BJ71" s="27">
        <f>IF(Time!BJ52=1,IF(Time!BI52=1,BI71,1)/(1+Inputs!$F$102/100*Time!BJ9/Inputs!$F$46),0)</f>
        <v/>
      </c>
      <c r="BK71" s="27">
        <f>IF(Time!BK52=1,IF(Time!BJ52=1,BJ71,1)/(1+Inputs!$F$102/100*Time!BK9/Inputs!$F$46),0)</f>
        <v/>
      </c>
      <c r="BL71" s="27">
        <f>IF(Time!BL52=1,IF(Time!BK52=1,BK71,1)/(1+Inputs!$F$102/100*Time!BL9/Inputs!$F$46),0)</f>
        <v/>
      </c>
      <c r="BM71" s="27">
        <f>IF(Time!BM52=1,IF(Time!BL52=1,BL71,1)/(1+Inputs!$F$102/100*Time!BM9/Inputs!$F$46),0)</f>
        <v/>
      </c>
      <c r="BN71" s="27">
        <f>IF(Time!BN52=1,IF(Time!BM52=1,BM71,1)/(1+Inputs!$F$102/100*Time!BN9/Inputs!$F$46),0)</f>
        <v/>
      </c>
      <c r="BO71" s="27">
        <f>IF(Time!BO52=1,IF(Time!BN52=1,BN71,1)/(1+Inputs!$F$102/100*Time!BO9/Inputs!$F$46),0)</f>
        <v/>
      </c>
      <c r="BP71" s="27">
        <f>IF(Time!BP52=1,IF(Time!BO52=1,BO71,1)/(1+Inputs!$F$102/100*Time!BP9/Inputs!$F$46),0)</f>
        <v/>
      </c>
      <c r="BQ71" s="27">
        <f>IF(Time!BQ52=1,IF(Time!BP52=1,BP71,1)/(1+Inputs!$F$102/100*Time!BQ9/Inputs!$F$46),0)</f>
        <v/>
      </c>
      <c r="BR71" s="27">
        <f>IF(Time!BR52=1,IF(Time!BQ52=1,BQ71,1)/(1+Inputs!$F$102/100*Time!BR9/Inputs!$F$46),0)</f>
        <v/>
      </c>
      <c r="BS71" s="27">
        <f>IF(Time!BS52=1,IF(Time!BR52=1,BR71,1)/(1+Inputs!$F$102/100*Time!BS9/Inputs!$F$46),0)</f>
        <v/>
      </c>
      <c r="BT71" s="27">
        <f>IF(Time!BT52=1,IF(Time!BS52=1,BS71,1)/(1+Inputs!$F$102/100*Time!BT9/Inputs!$F$46),0)</f>
        <v/>
      </c>
      <c r="BU71" s="27">
        <f>IF(Time!BU52=1,IF(Time!BT52=1,BT71,1)/(1+Inputs!$F$102/100*Time!BU9/Inputs!$F$46),0)</f>
        <v/>
      </c>
      <c r="BV71" s="27">
        <f>IF(Time!BV52=1,IF(Time!BU52=1,BU71,1)/(1+Inputs!$F$102/100*Time!BV9/Inputs!$F$46),0)</f>
        <v/>
      </c>
      <c r="BW71" s="27">
        <f>IF(Time!BW52=1,IF(Time!BV52=1,BV71,1)/(1+Inputs!$F$102/100*Time!BW9/Inputs!$F$46),0)</f>
        <v/>
      </c>
      <c r="BX71" s="27">
        <f>IF(Time!BX52=1,IF(Time!BW52=1,BW71,1)/(1+Inputs!$F$102/100*Time!BX9/Inputs!$F$46),0)</f>
        <v/>
      </c>
      <c r="BY71" s="27">
        <f>IF(Time!BY52=1,IF(Time!BX52=1,BX71,1)/(1+Inputs!$F$102/100*Time!BY9/Inputs!$F$46),0)</f>
        <v/>
      </c>
      <c r="BZ71" s="27">
        <f>IF(Time!BZ52=1,IF(Time!BY52=1,BY71,1)/(1+Inputs!$F$102/100*Time!BZ9/Inputs!$F$46),0)</f>
        <v/>
      </c>
      <c r="CA71" s="27">
        <f>IF(Time!CA52=1,IF(Time!BZ52=1,BZ71,1)/(1+Inputs!$F$102/100*Time!CA9/Inputs!$F$46),0)</f>
        <v/>
      </c>
      <c r="CB71" s="27">
        <f>IF(Time!CB52=1,IF(Time!CA52=1,CA71,1)/(1+Inputs!$F$102/100*Time!CB9/Inputs!$F$46),0)</f>
        <v/>
      </c>
      <c r="CC71" s="27">
        <f>IF(Time!CC52=1,IF(Time!CB52=1,CB71,1)/(1+Inputs!$F$102/100*Time!CC9/Inputs!$F$46),0)</f>
        <v/>
      </c>
      <c r="CD71" s="27">
        <f>IF(Time!CD52=1,IF(Time!CC52=1,CC71,1)/(1+Inputs!$F$102/100*Time!CD9/Inputs!$F$46),0)</f>
        <v/>
      </c>
      <c r="CE71" s="27">
        <f>IF(Time!CE52=1,IF(Time!CD52=1,CD71,1)/(1+Inputs!$F$102/100*Time!CE9/Inputs!$F$46),0)</f>
        <v/>
      </c>
      <c r="CF71" s="27">
        <f>IF(Time!CF52=1,IF(Time!CE52=1,CE71,1)/(1+Inputs!$F$102/100*Time!CF9/Inputs!$F$46),0)</f>
        <v/>
      </c>
      <c r="CG71" s="27">
        <f>IF(Time!CG52=1,IF(Time!CF52=1,CF71,1)/(1+Inputs!$F$102/100*Time!CG9/Inputs!$F$46),0)</f>
        <v/>
      </c>
      <c r="CH71" s="27">
        <f>IF(Time!CH52=1,IF(Time!CG52=1,CG71,1)/(1+Inputs!$F$102/100*Time!CH9/Inputs!$F$46),0)</f>
        <v/>
      </c>
      <c r="CI71" s="27">
        <f>IF(Time!CI52=1,IF(Time!CH52=1,CH71,1)/(1+Inputs!$F$102/100*Time!CI9/Inputs!$F$46),0)</f>
        <v/>
      </c>
      <c r="CJ71" s="27">
        <f>IF(Time!CJ52=1,IF(Time!CI52=1,CI71,1)/(1+Inputs!$F$102/100*Time!CJ9/Inputs!$F$46),0)</f>
        <v/>
      </c>
      <c r="CK71" s="27">
        <f>IF(Time!CK52=1,IF(Time!CJ52=1,CJ71,1)/(1+Inputs!$F$102/100*Time!CK9/Inputs!$F$46),0)</f>
        <v/>
      </c>
      <c r="CL71" s="27">
        <f>IF(Time!CL52=1,IF(Time!CK52=1,CK71,1)/(1+Inputs!$F$102/100*Time!CL9/Inputs!$F$46),0)</f>
        <v/>
      </c>
      <c r="CM71" s="27">
        <f>IF(Time!CM52=1,IF(Time!CL52=1,CL71,1)/(1+Inputs!$F$102/100*Time!CM9/Inputs!$F$46),0)</f>
        <v/>
      </c>
      <c r="CN71" s="27">
        <f>IF(Time!CN52=1,IF(Time!CM52=1,CM71,1)/(1+Inputs!$F$102/100*Time!CN9/Inputs!$F$46),0)</f>
        <v/>
      </c>
      <c r="CO71" s="27">
        <f>IF(Time!CO52=1,IF(Time!CN52=1,CN71,1)/(1+Inputs!$F$102/100*Time!CO9/Inputs!$F$46),0)</f>
        <v/>
      </c>
      <c r="CP71" s="27">
        <f>IF(Time!CP52=1,IF(Time!CO52=1,CO71,1)/(1+Inputs!$F$102/100*Time!CP9/Inputs!$F$46),0)</f>
        <v/>
      </c>
      <c r="CQ71" s="27">
        <f>IF(Time!CQ52=1,IF(Time!CP52=1,CP71,1)/(1+Inputs!$F$102/100*Time!CQ9/Inputs!$F$46),0)</f>
        <v/>
      </c>
      <c r="CR71" s="27">
        <f>IF(Time!CR52=1,IF(Time!CQ52=1,CQ71,1)/(1+Inputs!$F$102/100*Time!CR9/Inputs!$F$46),0)</f>
        <v/>
      </c>
      <c r="CS71" s="27">
        <f>IF(Time!CS52=1,IF(Time!CR52=1,CR71,1)/(1+Inputs!$F$102/100*Time!CS9/Inputs!$F$46),0)</f>
        <v/>
      </c>
      <c r="CT71" s="27">
        <f>IF(Time!CT52=1,IF(Time!CS52=1,CS71,1)/(1+Inputs!$F$102/100*Time!CT9/Inputs!$F$46),0)</f>
        <v/>
      </c>
      <c r="CU71" s="27">
        <f>IF(Time!CU52=1,IF(Time!CT52=1,CT71,1)/(1+Inputs!$F$102/100*Time!CU9/Inputs!$F$46),0)</f>
        <v/>
      </c>
      <c r="CV71" s="27">
        <f>IF(Time!CV52=1,IF(Time!CU52=1,CU71,1)/(1+Inputs!$F$102/100*Time!CV9/Inputs!$F$46),0)</f>
        <v/>
      </c>
      <c r="CW71" s="27">
        <f>IF(Time!CW52=1,IF(Time!CV52=1,CV71,1)/(1+Inputs!$F$102/100*Time!CW9/Inputs!$F$46),0)</f>
        <v/>
      </c>
      <c r="CX71" s="27">
        <f>IF(Time!CX52=1,IF(Time!CW52=1,CW71,1)/(1+Inputs!$F$102/100*Time!CX9/Inputs!$F$46),0)</f>
        <v/>
      </c>
      <c r="CY71" s="27">
        <f>IF(Time!CY52=1,IF(Time!CX52=1,CX71,1)/(1+Inputs!$F$102/100*Time!CY9/Inputs!$F$46),0)</f>
        <v/>
      </c>
      <c r="CZ71" s="27">
        <f>IF(Time!CZ52=1,IF(Time!CY52=1,CY71,1)/(1+Inputs!$F$102/100*Time!CZ9/Inputs!$F$46),0)</f>
        <v/>
      </c>
      <c r="DA71" s="27">
        <f>IF(Time!DA52=1,IF(Time!CZ52=1,CZ71,1)/(1+Inputs!$F$102/100*Time!DA9/Inputs!$F$46),0)</f>
        <v/>
      </c>
      <c r="DB71" s="27">
        <f>IF(Time!DB52=1,IF(Time!DA52=1,DA71,1)/(1+Inputs!$F$102/100*Time!DB9/Inputs!$F$46),0)</f>
        <v/>
      </c>
    </row>
    <row r="72">
      <c r="D72" t="inlineStr">
        <is>
          <t>PV of swap net receipts (market less fixed)</t>
        </is>
      </c>
      <c r="E72" t="inlineStr">
        <is>
          <t>ARD m</t>
        </is>
      </c>
      <c r="G72" s="19">
        <f>SUM(J72:DB72)</f>
        <v/>
      </c>
      <c r="J72" s="19">
        <f>Time!J52*(Inputs!$F$102-Inputs!$F$101)/100*Inputs!$F$97*J70*Time!J9/Inputs!$F$46*J71</f>
        <v/>
      </c>
      <c r="K72" s="19">
        <f>Time!K52*(Inputs!$F$102-Inputs!$F$101)/100*Inputs!$F$97*K70*Time!K9/Inputs!$F$46*K71</f>
        <v/>
      </c>
      <c r="L72" s="19">
        <f>Time!L52*(Inputs!$F$102-Inputs!$F$101)/100*Inputs!$F$97*L70*Time!L9/Inputs!$F$46*L71</f>
        <v/>
      </c>
      <c r="M72" s="19">
        <f>Time!M52*(Inputs!$F$102-Inputs!$F$101)/100*Inputs!$F$97*M70*Time!M9/Inputs!$F$46*M71</f>
        <v/>
      </c>
      <c r="N72" s="19">
        <f>Time!N52*(Inputs!$F$102-Inputs!$F$101)/100*Inputs!$F$97*N70*Time!N9/Inputs!$F$46*N71</f>
        <v/>
      </c>
      <c r="O72" s="19">
        <f>Time!O52*(Inputs!$F$102-Inputs!$F$101)/100*Inputs!$F$97*O70*Time!O9/Inputs!$F$46*O71</f>
        <v/>
      </c>
      <c r="P72" s="19">
        <f>Time!P52*(Inputs!$F$102-Inputs!$F$101)/100*Inputs!$F$97*P70*Time!P9/Inputs!$F$46*P71</f>
        <v/>
      </c>
      <c r="Q72" s="19">
        <f>Time!Q52*(Inputs!$F$102-Inputs!$F$101)/100*Inputs!$F$97*Q70*Time!Q9/Inputs!$F$46*Q71</f>
        <v/>
      </c>
      <c r="R72" s="19">
        <f>Time!R52*(Inputs!$F$102-Inputs!$F$101)/100*Inputs!$F$97*R70*Time!R9/Inputs!$F$46*R71</f>
        <v/>
      </c>
      <c r="S72" s="19">
        <f>Time!S52*(Inputs!$F$102-Inputs!$F$101)/100*Inputs!$F$97*S70*Time!S9/Inputs!$F$46*S71</f>
        <v/>
      </c>
      <c r="T72" s="19">
        <f>Time!T52*(Inputs!$F$102-Inputs!$F$101)/100*Inputs!$F$97*T70*Time!T9/Inputs!$F$46*T71</f>
        <v/>
      </c>
      <c r="U72" s="19">
        <f>Time!U52*(Inputs!$F$102-Inputs!$F$101)/100*Inputs!$F$97*U70*Time!U9/Inputs!$F$46*U71</f>
        <v/>
      </c>
      <c r="V72" s="19">
        <f>Time!V52*(Inputs!$F$102-Inputs!$F$101)/100*Inputs!$F$97*V70*Time!V9/Inputs!$F$46*V71</f>
        <v/>
      </c>
      <c r="W72" s="19">
        <f>Time!W52*(Inputs!$F$102-Inputs!$F$101)/100*Inputs!$F$97*W70*Time!W9/Inputs!$F$46*W71</f>
        <v/>
      </c>
      <c r="X72" s="19">
        <f>Time!X52*(Inputs!$F$102-Inputs!$F$101)/100*Inputs!$F$97*X70*Time!X9/Inputs!$F$46*X71</f>
        <v/>
      </c>
      <c r="Y72" s="19">
        <f>Time!Y52*(Inputs!$F$102-Inputs!$F$101)/100*Inputs!$F$97*Y70*Time!Y9/Inputs!$F$46*Y71</f>
        <v/>
      </c>
      <c r="Z72" s="19">
        <f>Time!Z52*(Inputs!$F$102-Inputs!$F$101)/100*Inputs!$F$97*Z70*Time!Z9/Inputs!$F$46*Z71</f>
        <v/>
      </c>
      <c r="AA72" s="19">
        <f>Time!AA52*(Inputs!$F$102-Inputs!$F$101)/100*Inputs!$F$97*AA70*Time!AA9/Inputs!$F$46*AA71</f>
        <v/>
      </c>
      <c r="AB72" s="19">
        <f>Time!AB52*(Inputs!$F$102-Inputs!$F$101)/100*Inputs!$F$97*AB70*Time!AB9/Inputs!$F$46*AB71</f>
        <v/>
      </c>
      <c r="AC72" s="19">
        <f>Time!AC52*(Inputs!$F$102-Inputs!$F$101)/100*Inputs!$F$97*AC70*Time!AC9/Inputs!$F$46*AC71</f>
        <v/>
      </c>
      <c r="AD72" s="19">
        <f>Time!AD52*(Inputs!$F$102-Inputs!$F$101)/100*Inputs!$F$97*AD70*Time!AD9/Inputs!$F$46*AD71</f>
        <v/>
      </c>
      <c r="AE72" s="19">
        <f>Time!AE52*(Inputs!$F$102-Inputs!$F$101)/100*Inputs!$F$97*AE70*Time!AE9/Inputs!$F$46*AE71</f>
        <v/>
      </c>
      <c r="AF72" s="19">
        <f>Time!AF52*(Inputs!$F$102-Inputs!$F$101)/100*Inputs!$F$97*AF70*Time!AF9/Inputs!$F$46*AF71</f>
        <v/>
      </c>
      <c r="AG72" s="19">
        <f>Time!AG52*(Inputs!$F$102-Inputs!$F$101)/100*Inputs!$F$97*AG70*Time!AG9/Inputs!$F$46*AG71</f>
        <v/>
      </c>
      <c r="AH72" s="19">
        <f>Time!AH52*(Inputs!$F$102-Inputs!$F$101)/100*Inputs!$F$97*AH70*Time!AH9/Inputs!$F$46*AH71</f>
        <v/>
      </c>
      <c r="AI72" s="19">
        <f>Time!AI52*(Inputs!$F$102-Inputs!$F$101)/100*Inputs!$F$97*AI70*Time!AI9/Inputs!$F$46*AI71</f>
        <v/>
      </c>
      <c r="AJ72" s="19">
        <f>Time!AJ52*(Inputs!$F$102-Inputs!$F$101)/100*Inputs!$F$97*AJ70*Time!AJ9/Inputs!$F$46*AJ71</f>
        <v/>
      </c>
      <c r="AK72" s="19">
        <f>Time!AK52*(Inputs!$F$102-Inputs!$F$101)/100*Inputs!$F$97*AK70*Time!AK9/Inputs!$F$46*AK71</f>
        <v/>
      </c>
      <c r="AL72" s="19">
        <f>Time!AL52*(Inputs!$F$102-Inputs!$F$101)/100*Inputs!$F$97*AL70*Time!AL9/Inputs!$F$46*AL71</f>
        <v/>
      </c>
      <c r="AM72" s="19">
        <f>Time!AM52*(Inputs!$F$102-Inputs!$F$101)/100*Inputs!$F$97*AM70*Time!AM9/Inputs!$F$46*AM71</f>
        <v/>
      </c>
      <c r="AN72" s="19">
        <f>Time!AN52*(Inputs!$F$102-Inputs!$F$101)/100*Inputs!$F$97*AN70*Time!AN9/Inputs!$F$46*AN71</f>
        <v/>
      </c>
      <c r="AO72" s="19">
        <f>Time!AO52*(Inputs!$F$102-Inputs!$F$101)/100*Inputs!$F$97*AO70*Time!AO9/Inputs!$F$46*AO71</f>
        <v/>
      </c>
      <c r="AP72" s="19">
        <f>Time!AP52*(Inputs!$F$102-Inputs!$F$101)/100*Inputs!$F$97*AP70*Time!AP9/Inputs!$F$46*AP71</f>
        <v/>
      </c>
      <c r="AQ72" s="19">
        <f>Time!AQ52*(Inputs!$F$102-Inputs!$F$101)/100*Inputs!$F$97*AQ70*Time!AQ9/Inputs!$F$46*AQ71</f>
        <v/>
      </c>
      <c r="AR72" s="19">
        <f>Time!AR52*(Inputs!$F$102-Inputs!$F$101)/100*Inputs!$F$97*AR70*Time!AR9/Inputs!$F$46*AR71</f>
        <v/>
      </c>
      <c r="AS72" s="19">
        <f>Time!AS52*(Inputs!$F$102-Inputs!$F$101)/100*Inputs!$F$97*AS70*Time!AS9/Inputs!$F$46*AS71</f>
        <v/>
      </c>
      <c r="AT72" s="19">
        <f>Time!AT52*(Inputs!$F$102-Inputs!$F$101)/100*Inputs!$F$97*AT70*Time!AT9/Inputs!$F$46*AT71</f>
        <v/>
      </c>
      <c r="AU72" s="19">
        <f>Time!AU52*(Inputs!$F$102-Inputs!$F$101)/100*Inputs!$F$97*AU70*Time!AU9/Inputs!$F$46*AU71</f>
        <v/>
      </c>
      <c r="AV72" s="19">
        <f>Time!AV52*(Inputs!$F$102-Inputs!$F$101)/100*Inputs!$F$97*AV70*Time!AV9/Inputs!$F$46*AV71</f>
        <v/>
      </c>
      <c r="AW72" s="19">
        <f>Time!AW52*(Inputs!$F$102-Inputs!$F$101)/100*Inputs!$F$97*AW70*Time!AW9/Inputs!$F$46*AW71</f>
        <v/>
      </c>
      <c r="AX72" s="19">
        <f>Time!AX52*(Inputs!$F$102-Inputs!$F$101)/100*Inputs!$F$97*AX70*Time!AX9/Inputs!$F$46*AX71</f>
        <v/>
      </c>
      <c r="AY72" s="19">
        <f>Time!AY52*(Inputs!$F$102-Inputs!$F$101)/100*Inputs!$F$97*AY70*Time!AY9/Inputs!$F$46*AY71</f>
        <v/>
      </c>
      <c r="AZ72" s="19">
        <f>Time!AZ52*(Inputs!$F$102-Inputs!$F$101)/100*Inputs!$F$97*AZ70*Time!AZ9/Inputs!$F$46*AZ71</f>
        <v/>
      </c>
      <c r="BA72" s="19">
        <f>Time!BA52*(Inputs!$F$102-Inputs!$F$101)/100*Inputs!$F$97*BA70*Time!BA9/Inputs!$F$46*BA71</f>
        <v/>
      </c>
      <c r="BB72" s="19">
        <f>Time!BB52*(Inputs!$F$102-Inputs!$F$101)/100*Inputs!$F$97*BB70*Time!BB9/Inputs!$F$46*BB71</f>
        <v/>
      </c>
      <c r="BC72" s="19">
        <f>Time!BC52*(Inputs!$F$102-Inputs!$F$101)/100*Inputs!$F$97*BC70*Time!BC9/Inputs!$F$46*BC71</f>
        <v/>
      </c>
      <c r="BD72" s="19">
        <f>Time!BD52*(Inputs!$F$102-Inputs!$F$101)/100*Inputs!$F$97*BD70*Time!BD9/Inputs!$F$46*BD71</f>
        <v/>
      </c>
      <c r="BE72" s="19">
        <f>Time!BE52*(Inputs!$F$102-Inputs!$F$101)/100*Inputs!$F$97*BE70*Time!BE9/Inputs!$F$46*BE71</f>
        <v/>
      </c>
      <c r="BF72" s="19">
        <f>Time!BF52*(Inputs!$F$102-Inputs!$F$101)/100*Inputs!$F$97*BF70*Time!BF9/Inputs!$F$46*BF71</f>
        <v/>
      </c>
      <c r="BG72" s="19">
        <f>Time!BG52*(Inputs!$F$102-Inputs!$F$101)/100*Inputs!$F$97*BG70*Time!BG9/Inputs!$F$46*BG71</f>
        <v/>
      </c>
      <c r="BH72" s="19">
        <f>Time!BH52*(Inputs!$F$102-Inputs!$F$101)/100*Inputs!$F$97*BH70*Time!BH9/Inputs!$F$46*BH71</f>
        <v/>
      </c>
      <c r="BI72" s="19">
        <f>Time!BI52*(Inputs!$F$102-Inputs!$F$101)/100*Inputs!$F$97*BI70*Time!BI9/Inputs!$F$46*BI71</f>
        <v/>
      </c>
      <c r="BJ72" s="19">
        <f>Time!BJ52*(Inputs!$F$102-Inputs!$F$101)/100*Inputs!$F$97*BJ70*Time!BJ9/Inputs!$F$46*BJ71</f>
        <v/>
      </c>
      <c r="BK72" s="19">
        <f>Time!BK52*(Inputs!$F$102-Inputs!$F$101)/100*Inputs!$F$97*BK70*Time!BK9/Inputs!$F$46*BK71</f>
        <v/>
      </c>
      <c r="BL72" s="19">
        <f>Time!BL52*(Inputs!$F$102-Inputs!$F$101)/100*Inputs!$F$97*BL70*Time!BL9/Inputs!$F$46*BL71</f>
        <v/>
      </c>
      <c r="BM72" s="19">
        <f>Time!BM52*(Inputs!$F$102-Inputs!$F$101)/100*Inputs!$F$97*BM70*Time!BM9/Inputs!$F$46*BM71</f>
        <v/>
      </c>
      <c r="BN72" s="19">
        <f>Time!BN52*(Inputs!$F$102-Inputs!$F$101)/100*Inputs!$F$97*BN70*Time!BN9/Inputs!$F$46*BN71</f>
        <v/>
      </c>
      <c r="BO72" s="19">
        <f>Time!BO52*(Inputs!$F$102-Inputs!$F$101)/100*Inputs!$F$97*BO70*Time!BO9/Inputs!$F$46*BO71</f>
        <v/>
      </c>
      <c r="BP72" s="19">
        <f>Time!BP52*(Inputs!$F$102-Inputs!$F$101)/100*Inputs!$F$97*BP70*Time!BP9/Inputs!$F$46*BP71</f>
        <v/>
      </c>
      <c r="BQ72" s="19">
        <f>Time!BQ52*(Inputs!$F$102-Inputs!$F$101)/100*Inputs!$F$97*BQ70*Time!BQ9/Inputs!$F$46*BQ71</f>
        <v/>
      </c>
      <c r="BR72" s="19">
        <f>Time!BR52*(Inputs!$F$102-Inputs!$F$101)/100*Inputs!$F$97*BR70*Time!BR9/Inputs!$F$46*BR71</f>
        <v/>
      </c>
      <c r="BS72" s="19">
        <f>Time!BS52*(Inputs!$F$102-Inputs!$F$101)/100*Inputs!$F$97*BS70*Time!BS9/Inputs!$F$46*BS71</f>
        <v/>
      </c>
      <c r="BT72" s="19">
        <f>Time!BT52*(Inputs!$F$102-Inputs!$F$101)/100*Inputs!$F$97*BT70*Time!BT9/Inputs!$F$46*BT71</f>
        <v/>
      </c>
      <c r="BU72" s="19">
        <f>Time!BU52*(Inputs!$F$102-Inputs!$F$101)/100*Inputs!$F$97*BU70*Time!BU9/Inputs!$F$46*BU71</f>
        <v/>
      </c>
      <c r="BV72" s="19">
        <f>Time!BV52*(Inputs!$F$102-Inputs!$F$101)/100*Inputs!$F$97*BV70*Time!BV9/Inputs!$F$46*BV71</f>
        <v/>
      </c>
      <c r="BW72" s="19">
        <f>Time!BW52*(Inputs!$F$102-Inputs!$F$101)/100*Inputs!$F$97*BW70*Time!BW9/Inputs!$F$46*BW71</f>
        <v/>
      </c>
      <c r="BX72" s="19">
        <f>Time!BX52*(Inputs!$F$102-Inputs!$F$101)/100*Inputs!$F$97*BX70*Time!BX9/Inputs!$F$46*BX71</f>
        <v/>
      </c>
      <c r="BY72" s="19">
        <f>Time!BY52*(Inputs!$F$102-Inputs!$F$101)/100*Inputs!$F$97*BY70*Time!BY9/Inputs!$F$46*BY71</f>
        <v/>
      </c>
      <c r="BZ72" s="19">
        <f>Time!BZ52*(Inputs!$F$102-Inputs!$F$101)/100*Inputs!$F$97*BZ70*Time!BZ9/Inputs!$F$46*BZ71</f>
        <v/>
      </c>
      <c r="CA72" s="19">
        <f>Time!CA52*(Inputs!$F$102-Inputs!$F$101)/100*Inputs!$F$97*CA70*Time!CA9/Inputs!$F$46*CA71</f>
        <v/>
      </c>
      <c r="CB72" s="19">
        <f>Time!CB52*(Inputs!$F$102-Inputs!$F$101)/100*Inputs!$F$97*CB70*Time!CB9/Inputs!$F$46*CB71</f>
        <v/>
      </c>
      <c r="CC72" s="19">
        <f>Time!CC52*(Inputs!$F$102-Inputs!$F$101)/100*Inputs!$F$97*CC70*Time!CC9/Inputs!$F$46*CC71</f>
        <v/>
      </c>
      <c r="CD72" s="19">
        <f>Time!CD52*(Inputs!$F$102-Inputs!$F$101)/100*Inputs!$F$97*CD70*Time!CD9/Inputs!$F$46*CD71</f>
        <v/>
      </c>
      <c r="CE72" s="19">
        <f>Time!CE52*(Inputs!$F$102-Inputs!$F$101)/100*Inputs!$F$97*CE70*Time!CE9/Inputs!$F$46*CE71</f>
        <v/>
      </c>
      <c r="CF72" s="19">
        <f>Time!CF52*(Inputs!$F$102-Inputs!$F$101)/100*Inputs!$F$97*CF70*Time!CF9/Inputs!$F$46*CF71</f>
        <v/>
      </c>
      <c r="CG72" s="19">
        <f>Time!CG52*(Inputs!$F$102-Inputs!$F$101)/100*Inputs!$F$97*CG70*Time!CG9/Inputs!$F$46*CG71</f>
        <v/>
      </c>
      <c r="CH72" s="19">
        <f>Time!CH52*(Inputs!$F$102-Inputs!$F$101)/100*Inputs!$F$97*CH70*Time!CH9/Inputs!$F$46*CH71</f>
        <v/>
      </c>
      <c r="CI72" s="19">
        <f>Time!CI52*(Inputs!$F$102-Inputs!$F$101)/100*Inputs!$F$97*CI70*Time!CI9/Inputs!$F$46*CI71</f>
        <v/>
      </c>
      <c r="CJ72" s="19">
        <f>Time!CJ52*(Inputs!$F$102-Inputs!$F$101)/100*Inputs!$F$97*CJ70*Time!CJ9/Inputs!$F$46*CJ71</f>
        <v/>
      </c>
      <c r="CK72" s="19">
        <f>Time!CK52*(Inputs!$F$102-Inputs!$F$101)/100*Inputs!$F$97*CK70*Time!CK9/Inputs!$F$46*CK71</f>
        <v/>
      </c>
      <c r="CL72" s="19">
        <f>Time!CL52*(Inputs!$F$102-Inputs!$F$101)/100*Inputs!$F$97*CL70*Time!CL9/Inputs!$F$46*CL71</f>
        <v/>
      </c>
      <c r="CM72" s="19">
        <f>Time!CM52*(Inputs!$F$102-Inputs!$F$101)/100*Inputs!$F$97*CM70*Time!CM9/Inputs!$F$46*CM71</f>
        <v/>
      </c>
      <c r="CN72" s="19">
        <f>Time!CN52*(Inputs!$F$102-Inputs!$F$101)/100*Inputs!$F$97*CN70*Time!CN9/Inputs!$F$46*CN71</f>
        <v/>
      </c>
      <c r="CO72" s="19">
        <f>Time!CO52*(Inputs!$F$102-Inputs!$F$101)/100*Inputs!$F$97*CO70*Time!CO9/Inputs!$F$46*CO71</f>
        <v/>
      </c>
      <c r="CP72" s="19">
        <f>Time!CP52*(Inputs!$F$102-Inputs!$F$101)/100*Inputs!$F$97*CP70*Time!CP9/Inputs!$F$46*CP71</f>
        <v/>
      </c>
      <c r="CQ72" s="19">
        <f>Time!CQ52*(Inputs!$F$102-Inputs!$F$101)/100*Inputs!$F$97*CQ70*Time!CQ9/Inputs!$F$46*CQ71</f>
        <v/>
      </c>
      <c r="CR72" s="19">
        <f>Time!CR52*(Inputs!$F$102-Inputs!$F$101)/100*Inputs!$F$97*CR70*Time!CR9/Inputs!$F$46*CR71</f>
        <v/>
      </c>
      <c r="CS72" s="19">
        <f>Time!CS52*(Inputs!$F$102-Inputs!$F$101)/100*Inputs!$F$97*CS70*Time!CS9/Inputs!$F$46*CS71</f>
        <v/>
      </c>
      <c r="CT72" s="19">
        <f>Time!CT52*(Inputs!$F$102-Inputs!$F$101)/100*Inputs!$F$97*CT70*Time!CT9/Inputs!$F$46*CT71</f>
        <v/>
      </c>
      <c r="CU72" s="19">
        <f>Time!CU52*(Inputs!$F$102-Inputs!$F$101)/100*Inputs!$F$97*CU70*Time!CU9/Inputs!$F$46*CU71</f>
        <v/>
      </c>
      <c r="CV72" s="19">
        <f>Time!CV52*(Inputs!$F$102-Inputs!$F$101)/100*Inputs!$F$97*CV70*Time!CV9/Inputs!$F$46*CV71</f>
        <v/>
      </c>
      <c r="CW72" s="19">
        <f>Time!CW52*(Inputs!$F$102-Inputs!$F$101)/100*Inputs!$F$97*CW70*Time!CW9/Inputs!$F$46*CW71</f>
        <v/>
      </c>
      <c r="CX72" s="19">
        <f>Time!CX52*(Inputs!$F$102-Inputs!$F$101)/100*Inputs!$F$97*CX70*Time!CX9/Inputs!$F$46*CX71</f>
        <v/>
      </c>
      <c r="CY72" s="19">
        <f>Time!CY52*(Inputs!$F$102-Inputs!$F$101)/100*Inputs!$F$97*CY70*Time!CY9/Inputs!$F$46*CY71</f>
        <v/>
      </c>
      <c r="CZ72" s="19">
        <f>Time!CZ52*(Inputs!$F$102-Inputs!$F$101)/100*Inputs!$F$97*CZ70*Time!CZ9/Inputs!$F$46*CZ71</f>
        <v/>
      </c>
      <c r="DA72" s="19">
        <f>Time!DA52*(Inputs!$F$102-Inputs!$F$101)/100*Inputs!$F$97*DA70*Time!DA9/Inputs!$F$46*DA71</f>
        <v/>
      </c>
      <c r="DB72" s="19">
        <f>Time!DB52*(Inputs!$F$102-Inputs!$F$101)/100*Inputs!$F$97*DB70*Time!DB9/Inputs!$F$46*DB71</f>
        <v/>
      </c>
    </row>
    <row r="73">
      <c r="D73" t="inlineStr">
        <is>
          <t>Swap mark-to-market at 2023-12-31 (owed to the concessionaire)</t>
        </is>
      </c>
      <c r="E73" t="inlineStr">
        <is>
          <t>ARD m</t>
        </is>
      </c>
      <c r="F73" s="19">
        <f>SUM($J$72:$DB$72)</f>
        <v/>
      </c>
    </row>
    <row r="74">
      <c r="D74" t="inlineStr">
        <is>
          <t>Senior claims: principal plus arrears</t>
        </is>
      </c>
      <c r="E74" t="inlineStr">
        <is>
          <t>ARD m</t>
        </is>
      </c>
      <c r="G74" s="19">
        <f>SUM(J74:DB74)</f>
        <v/>
      </c>
      <c r="J74" s="19">
        <f>Time!J35*(J46+J53+J58+J59)</f>
        <v/>
      </c>
      <c r="K74" s="19">
        <f>Time!K35*(K46+K53+K58+K59)</f>
        <v/>
      </c>
      <c r="L74" s="19">
        <f>Time!L35*(L46+L53+L58+L59)</f>
        <v/>
      </c>
      <c r="M74" s="19">
        <f>Time!M35*(M46+M53+M58+M59)</f>
        <v/>
      </c>
      <c r="N74" s="19">
        <f>Time!N35*(N46+N53+N58+N59)</f>
        <v/>
      </c>
      <c r="O74" s="19">
        <f>Time!O35*(O46+O53+O58+O59)</f>
        <v/>
      </c>
      <c r="P74" s="19">
        <f>Time!P35*(P46+P53+P58+P59)</f>
        <v/>
      </c>
      <c r="Q74" s="19">
        <f>Time!Q35*(Q46+Q53+Q58+Q59)</f>
        <v/>
      </c>
      <c r="R74" s="19">
        <f>Time!R35*(R46+R53+R58+R59)</f>
        <v/>
      </c>
      <c r="S74" s="19">
        <f>Time!S35*(S46+S53+S58+S59)</f>
        <v/>
      </c>
      <c r="T74" s="19">
        <f>Time!T35*(T46+T53+T58+T59)</f>
        <v/>
      </c>
      <c r="U74" s="19">
        <f>Time!U35*(U46+U53+U58+U59)</f>
        <v/>
      </c>
      <c r="V74" s="19">
        <f>Time!V35*(V46+V53+V58+V59)</f>
        <v/>
      </c>
      <c r="W74" s="19">
        <f>Time!W35*(W46+W53+W58+W59)</f>
        <v/>
      </c>
      <c r="X74" s="19">
        <f>Time!X35*(X46+X53+X58+X59)</f>
        <v/>
      </c>
      <c r="Y74" s="19">
        <f>Time!Y35*(Y46+Y53+Y58+Y59)</f>
        <v/>
      </c>
      <c r="Z74" s="19">
        <f>Time!Z35*(Z46+Z53+Z58+Z59)</f>
        <v/>
      </c>
      <c r="AA74" s="19">
        <f>Time!AA35*(AA46+AA53+AA58+AA59)</f>
        <v/>
      </c>
      <c r="AB74" s="19">
        <f>Time!AB35*(AB46+AB53+AB58+AB59)</f>
        <v/>
      </c>
      <c r="AC74" s="19">
        <f>Time!AC35*(AC46+AC53+AC58+AC59)</f>
        <v/>
      </c>
      <c r="AD74" s="19">
        <f>Time!AD35*(AD46+AD53+AD58+AD59)</f>
        <v/>
      </c>
      <c r="AE74" s="19">
        <f>Time!AE35*(AE46+AE53+AE58+AE59)</f>
        <v/>
      </c>
      <c r="AF74" s="19">
        <f>Time!AF35*(AF46+AF53+AF58+AF59)</f>
        <v/>
      </c>
      <c r="AG74" s="19">
        <f>Time!AG35*(AG46+AG53+AG58+AG59)</f>
        <v/>
      </c>
      <c r="AH74" s="19">
        <f>Time!AH35*(AH46+AH53+AH58+AH59)</f>
        <v/>
      </c>
      <c r="AI74" s="19">
        <f>Time!AI35*(AI46+AI53+AI58+AI59)</f>
        <v/>
      </c>
      <c r="AJ74" s="19">
        <f>Time!AJ35*(AJ46+AJ53+AJ58+AJ59)</f>
        <v/>
      </c>
      <c r="AK74" s="19">
        <f>Time!AK35*(AK46+AK53+AK58+AK59)</f>
        <v/>
      </c>
      <c r="AL74" s="19">
        <f>Time!AL35*(AL46+AL53+AL58+AL59)</f>
        <v/>
      </c>
      <c r="AM74" s="19">
        <f>Time!AM35*(AM46+AM53+AM58+AM59)</f>
        <v/>
      </c>
      <c r="AN74" s="19">
        <f>Time!AN35*(AN46+AN53+AN58+AN59)</f>
        <v/>
      </c>
      <c r="AO74" s="19">
        <f>Time!AO35*(AO46+AO53+AO58+AO59)</f>
        <v/>
      </c>
      <c r="AP74" s="19">
        <f>Time!AP35*(AP46+AP53+AP58+AP59)</f>
        <v/>
      </c>
      <c r="AQ74" s="19">
        <f>Time!AQ35*(AQ46+AQ53+AQ58+AQ59)</f>
        <v/>
      </c>
      <c r="AR74" s="19">
        <f>Time!AR35*(AR46+AR53+AR58+AR59)</f>
        <v/>
      </c>
      <c r="AS74" s="19">
        <f>Time!AS35*(AS46+AS53+AS58+AS59)</f>
        <v/>
      </c>
      <c r="AT74" s="19">
        <f>Time!AT35*(AT46+AT53+AT58+AT59)</f>
        <v/>
      </c>
      <c r="AU74" s="19">
        <f>Time!AU35*(AU46+AU53+AU58+AU59)</f>
        <v/>
      </c>
      <c r="AV74" s="19">
        <f>Time!AV35*(AV46+AV53+AV58+AV59)</f>
        <v/>
      </c>
      <c r="AW74" s="19">
        <f>Time!AW35*(AW46+AW53+AW58+AW59)</f>
        <v/>
      </c>
      <c r="AX74" s="19">
        <f>Time!AX35*(AX46+AX53+AX58+AX59)</f>
        <v/>
      </c>
      <c r="AY74" s="19">
        <f>Time!AY35*(AY46+AY53+AY58+AY59)</f>
        <v/>
      </c>
      <c r="AZ74" s="19">
        <f>Time!AZ35*(AZ46+AZ53+AZ58+AZ59)</f>
        <v/>
      </c>
      <c r="BA74" s="19">
        <f>Time!BA35*(BA46+BA53+BA58+BA59)</f>
        <v/>
      </c>
      <c r="BB74" s="19">
        <f>Time!BB35*(BB46+BB53+BB58+BB59)</f>
        <v/>
      </c>
      <c r="BC74" s="19">
        <f>Time!BC35*(BC46+BC53+BC58+BC59)</f>
        <v/>
      </c>
      <c r="BD74" s="19">
        <f>Time!BD35*(BD46+BD53+BD58+BD59)</f>
        <v/>
      </c>
      <c r="BE74" s="19">
        <f>Time!BE35*(BE46+BE53+BE58+BE59)</f>
        <v/>
      </c>
      <c r="BF74" s="19">
        <f>Time!BF35*(BF46+BF53+BF58+BF59)</f>
        <v/>
      </c>
      <c r="BG74" s="19">
        <f>Time!BG35*(BG46+BG53+BG58+BG59)</f>
        <v/>
      </c>
      <c r="BH74" s="19">
        <f>Time!BH35*(BH46+BH53+BH58+BH59)</f>
        <v/>
      </c>
      <c r="BI74" s="19">
        <f>Time!BI35*(BI46+BI53+BI58+BI59)</f>
        <v/>
      </c>
      <c r="BJ74" s="19">
        <f>Time!BJ35*(BJ46+BJ53+BJ58+BJ59)</f>
        <v/>
      </c>
      <c r="BK74" s="19">
        <f>Time!BK35*(BK46+BK53+BK58+BK59)</f>
        <v/>
      </c>
      <c r="BL74" s="19">
        <f>Time!BL35*(BL46+BL53+BL58+BL59)</f>
        <v/>
      </c>
      <c r="BM74" s="19">
        <f>Time!BM35*(BM46+BM53+BM58+BM59)</f>
        <v/>
      </c>
      <c r="BN74" s="19">
        <f>Time!BN35*(BN46+BN53+BN58+BN59)</f>
        <v/>
      </c>
      <c r="BO74" s="19">
        <f>Time!BO35*(BO46+BO53+BO58+BO59)</f>
        <v/>
      </c>
      <c r="BP74" s="19">
        <f>Time!BP35*(BP46+BP53+BP58+BP59)</f>
        <v/>
      </c>
      <c r="BQ74" s="19">
        <f>Time!BQ35*(BQ46+BQ53+BQ58+BQ59)</f>
        <v/>
      </c>
      <c r="BR74" s="19">
        <f>Time!BR35*(BR46+BR53+BR58+BR59)</f>
        <v/>
      </c>
      <c r="BS74" s="19">
        <f>Time!BS35*(BS46+BS53+BS58+BS59)</f>
        <v/>
      </c>
      <c r="BT74" s="19">
        <f>Time!BT35*(BT46+BT53+BT58+BT59)</f>
        <v/>
      </c>
      <c r="BU74" s="19">
        <f>Time!BU35*(BU46+BU53+BU58+BU59)</f>
        <v/>
      </c>
      <c r="BV74" s="19">
        <f>Time!BV35*(BV46+BV53+BV58+BV59)</f>
        <v/>
      </c>
      <c r="BW74" s="19">
        <f>Time!BW35*(BW46+BW53+BW58+BW59)</f>
        <v/>
      </c>
      <c r="BX74" s="19">
        <f>Time!BX35*(BX46+BX53+BX58+BX59)</f>
        <v/>
      </c>
      <c r="BY74" s="19">
        <f>Time!BY35*(BY46+BY53+BY58+BY59)</f>
        <v/>
      </c>
      <c r="BZ74" s="19">
        <f>Time!BZ35*(BZ46+BZ53+BZ58+BZ59)</f>
        <v/>
      </c>
      <c r="CA74" s="19">
        <f>Time!CA35*(CA46+CA53+CA58+CA59)</f>
        <v/>
      </c>
      <c r="CB74" s="19">
        <f>Time!CB35*(CB46+CB53+CB58+CB59)</f>
        <v/>
      </c>
      <c r="CC74" s="19">
        <f>Time!CC35*(CC46+CC53+CC58+CC59)</f>
        <v/>
      </c>
      <c r="CD74" s="19">
        <f>Time!CD35*(CD46+CD53+CD58+CD59)</f>
        <v/>
      </c>
      <c r="CE74" s="19">
        <f>Time!CE35*(CE46+CE53+CE58+CE59)</f>
        <v/>
      </c>
      <c r="CF74" s="19">
        <f>Time!CF35*(CF46+CF53+CF58+CF59)</f>
        <v/>
      </c>
      <c r="CG74" s="19">
        <f>Time!CG35*(CG46+CG53+CG58+CG59)</f>
        <v/>
      </c>
      <c r="CH74" s="19">
        <f>Time!CH35*(CH46+CH53+CH58+CH59)</f>
        <v/>
      </c>
      <c r="CI74" s="19">
        <f>Time!CI35*(CI46+CI53+CI58+CI59)</f>
        <v/>
      </c>
      <c r="CJ74" s="19">
        <f>Time!CJ35*(CJ46+CJ53+CJ58+CJ59)</f>
        <v/>
      </c>
      <c r="CK74" s="19">
        <f>Time!CK35*(CK46+CK53+CK58+CK59)</f>
        <v/>
      </c>
      <c r="CL74" s="19">
        <f>Time!CL35*(CL46+CL53+CL58+CL59)</f>
        <v/>
      </c>
      <c r="CM74" s="19">
        <f>Time!CM35*(CM46+CM53+CM58+CM59)</f>
        <v/>
      </c>
      <c r="CN74" s="19">
        <f>Time!CN35*(CN46+CN53+CN58+CN59)</f>
        <v/>
      </c>
      <c r="CO74" s="19">
        <f>Time!CO35*(CO46+CO53+CO58+CO59)</f>
        <v/>
      </c>
      <c r="CP74" s="19">
        <f>Time!CP35*(CP46+CP53+CP58+CP59)</f>
        <v/>
      </c>
      <c r="CQ74" s="19">
        <f>Time!CQ35*(CQ46+CQ53+CQ58+CQ59)</f>
        <v/>
      </c>
      <c r="CR74" s="19">
        <f>Time!CR35*(CR46+CR53+CR58+CR59)</f>
        <v/>
      </c>
      <c r="CS74" s="19">
        <f>Time!CS35*(CS46+CS53+CS58+CS59)</f>
        <v/>
      </c>
      <c r="CT74" s="19">
        <f>Time!CT35*(CT46+CT53+CT58+CT59)</f>
        <v/>
      </c>
      <c r="CU74" s="19">
        <f>Time!CU35*(CU46+CU53+CU58+CU59)</f>
        <v/>
      </c>
      <c r="CV74" s="19">
        <f>Time!CV35*(CV46+CV53+CV58+CV59)</f>
        <v/>
      </c>
      <c r="CW74" s="19">
        <f>Time!CW35*(CW46+CW53+CW58+CW59)</f>
        <v/>
      </c>
      <c r="CX74" s="19">
        <f>Time!CX35*(CX46+CX53+CX58+CX59)</f>
        <v/>
      </c>
      <c r="CY74" s="19">
        <f>Time!CY35*(CY46+CY53+CY58+CY59)</f>
        <v/>
      </c>
      <c r="CZ74" s="19">
        <f>Time!CZ35*(CZ46+CZ53+CZ58+CZ59)</f>
        <v/>
      </c>
      <c r="DA74" s="19">
        <f>Time!DA35*(DA46+DA53+DA58+DA59)</f>
        <v/>
      </c>
      <c r="DB74" s="19">
        <f>Time!DB35*(DB46+DB53+DB58+DB59)</f>
        <v/>
      </c>
    </row>
    <row r="75">
      <c r="D75" t="inlineStr">
        <is>
          <t>Swap termination value set off</t>
        </is>
      </c>
      <c r="E75" t="inlineStr">
        <is>
          <t>ARD m</t>
        </is>
      </c>
      <c r="G75" s="19">
        <f>SUM(J75:DB75)</f>
        <v/>
      </c>
      <c r="J75" s="19">
        <f>Time!J35*$F$73</f>
        <v/>
      </c>
      <c r="K75" s="19">
        <f>Time!K35*$F$73</f>
        <v/>
      </c>
      <c r="L75" s="19">
        <f>Time!L35*$F$73</f>
        <v/>
      </c>
      <c r="M75" s="19">
        <f>Time!M35*$F$73</f>
        <v/>
      </c>
      <c r="N75" s="19">
        <f>Time!N35*$F$73</f>
        <v/>
      </c>
      <c r="O75" s="19">
        <f>Time!O35*$F$73</f>
        <v/>
      </c>
      <c r="P75" s="19">
        <f>Time!P35*$F$73</f>
        <v/>
      </c>
      <c r="Q75" s="19">
        <f>Time!Q35*$F$73</f>
        <v/>
      </c>
      <c r="R75" s="19">
        <f>Time!R35*$F$73</f>
        <v/>
      </c>
      <c r="S75" s="19">
        <f>Time!S35*$F$73</f>
        <v/>
      </c>
      <c r="T75" s="19">
        <f>Time!T35*$F$73</f>
        <v/>
      </c>
      <c r="U75" s="19">
        <f>Time!U35*$F$73</f>
        <v/>
      </c>
      <c r="V75" s="19">
        <f>Time!V35*$F$73</f>
        <v/>
      </c>
      <c r="W75" s="19">
        <f>Time!W35*$F$73</f>
        <v/>
      </c>
      <c r="X75" s="19">
        <f>Time!X35*$F$73</f>
        <v/>
      </c>
      <c r="Y75" s="19">
        <f>Time!Y35*$F$73</f>
        <v/>
      </c>
      <c r="Z75" s="19">
        <f>Time!Z35*$F$73</f>
        <v/>
      </c>
      <c r="AA75" s="19">
        <f>Time!AA35*$F$73</f>
        <v/>
      </c>
      <c r="AB75" s="19">
        <f>Time!AB35*$F$73</f>
        <v/>
      </c>
      <c r="AC75" s="19">
        <f>Time!AC35*$F$73</f>
        <v/>
      </c>
      <c r="AD75" s="19">
        <f>Time!AD35*$F$73</f>
        <v/>
      </c>
      <c r="AE75" s="19">
        <f>Time!AE35*$F$73</f>
        <v/>
      </c>
      <c r="AF75" s="19">
        <f>Time!AF35*$F$73</f>
        <v/>
      </c>
      <c r="AG75" s="19">
        <f>Time!AG35*$F$73</f>
        <v/>
      </c>
      <c r="AH75" s="19">
        <f>Time!AH35*$F$73</f>
        <v/>
      </c>
      <c r="AI75" s="19">
        <f>Time!AI35*$F$73</f>
        <v/>
      </c>
      <c r="AJ75" s="19">
        <f>Time!AJ35*$F$73</f>
        <v/>
      </c>
      <c r="AK75" s="19">
        <f>Time!AK35*$F$73</f>
        <v/>
      </c>
      <c r="AL75" s="19">
        <f>Time!AL35*$F$73</f>
        <v/>
      </c>
      <c r="AM75" s="19">
        <f>Time!AM35*$F$73</f>
        <v/>
      </c>
      <c r="AN75" s="19">
        <f>Time!AN35*$F$73</f>
        <v/>
      </c>
      <c r="AO75" s="19">
        <f>Time!AO35*$F$73</f>
        <v/>
      </c>
      <c r="AP75" s="19">
        <f>Time!AP35*$F$73</f>
        <v/>
      </c>
      <c r="AQ75" s="19">
        <f>Time!AQ35*$F$73</f>
        <v/>
      </c>
      <c r="AR75" s="19">
        <f>Time!AR35*$F$73</f>
        <v/>
      </c>
      <c r="AS75" s="19">
        <f>Time!AS35*$F$73</f>
        <v/>
      </c>
      <c r="AT75" s="19">
        <f>Time!AT35*$F$73</f>
        <v/>
      </c>
      <c r="AU75" s="19">
        <f>Time!AU35*$F$73</f>
        <v/>
      </c>
      <c r="AV75" s="19">
        <f>Time!AV35*$F$73</f>
        <v/>
      </c>
      <c r="AW75" s="19">
        <f>Time!AW35*$F$73</f>
        <v/>
      </c>
      <c r="AX75" s="19">
        <f>Time!AX35*$F$73</f>
        <v/>
      </c>
      <c r="AY75" s="19">
        <f>Time!AY35*$F$73</f>
        <v/>
      </c>
      <c r="AZ75" s="19">
        <f>Time!AZ35*$F$73</f>
        <v/>
      </c>
      <c r="BA75" s="19">
        <f>Time!BA35*$F$73</f>
        <v/>
      </c>
      <c r="BB75" s="19">
        <f>Time!BB35*$F$73</f>
        <v/>
      </c>
      <c r="BC75" s="19">
        <f>Time!BC35*$F$73</f>
        <v/>
      </c>
      <c r="BD75" s="19">
        <f>Time!BD35*$F$73</f>
        <v/>
      </c>
      <c r="BE75" s="19">
        <f>Time!BE35*$F$73</f>
        <v/>
      </c>
      <c r="BF75" s="19">
        <f>Time!BF35*$F$73</f>
        <v/>
      </c>
      <c r="BG75" s="19">
        <f>Time!BG35*$F$73</f>
        <v/>
      </c>
      <c r="BH75" s="19">
        <f>Time!BH35*$F$73</f>
        <v/>
      </c>
      <c r="BI75" s="19">
        <f>Time!BI35*$F$73</f>
        <v/>
      </c>
      <c r="BJ75" s="19">
        <f>Time!BJ35*$F$73</f>
        <v/>
      </c>
      <c r="BK75" s="19">
        <f>Time!BK35*$F$73</f>
        <v/>
      </c>
      <c r="BL75" s="19">
        <f>Time!BL35*$F$73</f>
        <v/>
      </c>
      <c r="BM75" s="19">
        <f>Time!BM35*$F$73</f>
        <v/>
      </c>
      <c r="BN75" s="19">
        <f>Time!BN35*$F$73</f>
        <v/>
      </c>
      <c r="BO75" s="19">
        <f>Time!BO35*$F$73</f>
        <v/>
      </c>
      <c r="BP75" s="19">
        <f>Time!BP35*$F$73</f>
        <v/>
      </c>
      <c r="BQ75" s="19">
        <f>Time!BQ35*$F$73</f>
        <v/>
      </c>
      <c r="BR75" s="19">
        <f>Time!BR35*$F$73</f>
        <v/>
      </c>
      <c r="BS75" s="19">
        <f>Time!BS35*$F$73</f>
        <v/>
      </c>
      <c r="BT75" s="19">
        <f>Time!BT35*$F$73</f>
        <v/>
      </c>
      <c r="BU75" s="19">
        <f>Time!BU35*$F$73</f>
        <v/>
      </c>
      <c r="BV75" s="19">
        <f>Time!BV35*$F$73</f>
        <v/>
      </c>
      <c r="BW75" s="19">
        <f>Time!BW35*$F$73</f>
        <v/>
      </c>
      <c r="BX75" s="19">
        <f>Time!BX35*$F$73</f>
        <v/>
      </c>
      <c r="BY75" s="19">
        <f>Time!BY35*$F$73</f>
        <v/>
      </c>
      <c r="BZ75" s="19">
        <f>Time!BZ35*$F$73</f>
        <v/>
      </c>
      <c r="CA75" s="19">
        <f>Time!CA35*$F$73</f>
        <v/>
      </c>
      <c r="CB75" s="19">
        <f>Time!CB35*$F$73</f>
        <v/>
      </c>
      <c r="CC75" s="19">
        <f>Time!CC35*$F$73</f>
        <v/>
      </c>
      <c r="CD75" s="19">
        <f>Time!CD35*$F$73</f>
        <v/>
      </c>
      <c r="CE75" s="19">
        <f>Time!CE35*$F$73</f>
        <v/>
      </c>
      <c r="CF75" s="19">
        <f>Time!CF35*$F$73</f>
        <v/>
      </c>
      <c r="CG75" s="19">
        <f>Time!CG35*$F$73</f>
        <v/>
      </c>
      <c r="CH75" s="19">
        <f>Time!CH35*$F$73</f>
        <v/>
      </c>
      <c r="CI75" s="19">
        <f>Time!CI35*$F$73</f>
        <v/>
      </c>
      <c r="CJ75" s="19">
        <f>Time!CJ35*$F$73</f>
        <v/>
      </c>
      <c r="CK75" s="19">
        <f>Time!CK35*$F$73</f>
        <v/>
      </c>
      <c r="CL75" s="19">
        <f>Time!CL35*$F$73</f>
        <v/>
      </c>
      <c r="CM75" s="19">
        <f>Time!CM35*$F$73</f>
        <v/>
      </c>
      <c r="CN75" s="19">
        <f>Time!CN35*$F$73</f>
        <v/>
      </c>
      <c r="CO75" s="19">
        <f>Time!CO35*$F$73</f>
        <v/>
      </c>
      <c r="CP75" s="19">
        <f>Time!CP35*$F$73</f>
        <v/>
      </c>
      <c r="CQ75" s="19">
        <f>Time!CQ35*$F$73</f>
        <v/>
      </c>
      <c r="CR75" s="19">
        <f>Time!CR35*$F$73</f>
        <v/>
      </c>
      <c r="CS75" s="19">
        <f>Time!CS35*$F$73</f>
        <v/>
      </c>
      <c r="CT75" s="19">
        <f>Time!CT35*$F$73</f>
        <v/>
      </c>
      <c r="CU75" s="19">
        <f>Time!CU35*$F$73</f>
        <v/>
      </c>
      <c r="CV75" s="19">
        <f>Time!CV35*$F$73</f>
        <v/>
      </c>
      <c r="CW75" s="19">
        <f>Time!CW35*$F$73</f>
        <v/>
      </c>
      <c r="CX75" s="19">
        <f>Time!CX35*$F$73</f>
        <v/>
      </c>
      <c r="CY75" s="19">
        <f>Time!CY35*$F$73</f>
        <v/>
      </c>
      <c r="CZ75" s="19">
        <f>Time!CZ35*$F$73</f>
        <v/>
      </c>
      <c r="DA75" s="19">
        <f>Time!DA35*$F$73</f>
        <v/>
      </c>
      <c r="DB75" s="19">
        <f>Time!DB35*$F$73</f>
        <v/>
      </c>
    </row>
    <row r="76">
      <c r="D76" t="inlineStr">
        <is>
          <t>Senior claims net of set-off</t>
        </is>
      </c>
      <c r="E76" t="inlineStr">
        <is>
          <t>ARD m</t>
        </is>
      </c>
      <c r="G76" s="19">
        <f>SUM(J76:DB76)</f>
        <v/>
      </c>
      <c r="J76" s="19">
        <f>J74-J75</f>
        <v/>
      </c>
      <c r="K76" s="19">
        <f>K74-K75</f>
        <v/>
      </c>
      <c r="L76" s="19">
        <f>L74-L75</f>
        <v/>
      </c>
      <c r="M76" s="19">
        <f>M74-M75</f>
        <v/>
      </c>
      <c r="N76" s="19">
        <f>N74-N75</f>
        <v/>
      </c>
      <c r="O76" s="19">
        <f>O74-O75</f>
        <v/>
      </c>
      <c r="P76" s="19">
        <f>P74-P75</f>
        <v/>
      </c>
      <c r="Q76" s="19">
        <f>Q74-Q75</f>
        <v/>
      </c>
      <c r="R76" s="19">
        <f>R74-R75</f>
        <v/>
      </c>
      <c r="S76" s="19">
        <f>S74-S75</f>
        <v/>
      </c>
      <c r="T76" s="19">
        <f>T74-T75</f>
        <v/>
      </c>
      <c r="U76" s="19">
        <f>U74-U75</f>
        <v/>
      </c>
      <c r="V76" s="19">
        <f>V74-V75</f>
        <v/>
      </c>
      <c r="W76" s="19">
        <f>W74-W75</f>
        <v/>
      </c>
      <c r="X76" s="19">
        <f>X74-X75</f>
        <v/>
      </c>
      <c r="Y76" s="19">
        <f>Y74-Y75</f>
        <v/>
      </c>
      <c r="Z76" s="19">
        <f>Z74-Z75</f>
        <v/>
      </c>
      <c r="AA76" s="19">
        <f>AA74-AA75</f>
        <v/>
      </c>
      <c r="AB76" s="19">
        <f>AB74-AB75</f>
        <v/>
      </c>
      <c r="AC76" s="19">
        <f>AC74-AC75</f>
        <v/>
      </c>
      <c r="AD76" s="19">
        <f>AD74-AD75</f>
        <v/>
      </c>
      <c r="AE76" s="19">
        <f>AE74-AE75</f>
        <v/>
      </c>
      <c r="AF76" s="19">
        <f>AF74-AF75</f>
        <v/>
      </c>
      <c r="AG76" s="19">
        <f>AG74-AG75</f>
        <v/>
      </c>
      <c r="AH76" s="19">
        <f>AH74-AH75</f>
        <v/>
      </c>
      <c r="AI76" s="19">
        <f>AI74-AI75</f>
        <v/>
      </c>
      <c r="AJ76" s="19">
        <f>AJ74-AJ75</f>
        <v/>
      </c>
      <c r="AK76" s="19">
        <f>AK74-AK75</f>
        <v/>
      </c>
      <c r="AL76" s="19">
        <f>AL74-AL75</f>
        <v/>
      </c>
      <c r="AM76" s="19">
        <f>AM74-AM75</f>
        <v/>
      </c>
      <c r="AN76" s="19">
        <f>AN74-AN75</f>
        <v/>
      </c>
      <c r="AO76" s="19">
        <f>AO74-AO75</f>
        <v/>
      </c>
      <c r="AP76" s="19">
        <f>AP74-AP75</f>
        <v/>
      </c>
      <c r="AQ76" s="19">
        <f>AQ74-AQ75</f>
        <v/>
      </c>
      <c r="AR76" s="19">
        <f>AR74-AR75</f>
        <v/>
      </c>
      <c r="AS76" s="19">
        <f>AS74-AS75</f>
        <v/>
      </c>
      <c r="AT76" s="19">
        <f>AT74-AT75</f>
        <v/>
      </c>
      <c r="AU76" s="19">
        <f>AU74-AU75</f>
        <v/>
      </c>
      <c r="AV76" s="19">
        <f>AV74-AV75</f>
        <v/>
      </c>
      <c r="AW76" s="19">
        <f>AW74-AW75</f>
        <v/>
      </c>
      <c r="AX76" s="19">
        <f>AX74-AX75</f>
        <v/>
      </c>
      <c r="AY76" s="19">
        <f>AY74-AY75</f>
        <v/>
      </c>
      <c r="AZ76" s="19">
        <f>AZ74-AZ75</f>
        <v/>
      </c>
      <c r="BA76" s="19">
        <f>BA74-BA75</f>
        <v/>
      </c>
      <c r="BB76" s="19">
        <f>BB74-BB75</f>
        <v/>
      </c>
      <c r="BC76" s="19">
        <f>BC74-BC75</f>
        <v/>
      </c>
      <c r="BD76" s="19">
        <f>BD74-BD75</f>
        <v/>
      </c>
      <c r="BE76" s="19">
        <f>BE74-BE75</f>
        <v/>
      </c>
      <c r="BF76" s="19">
        <f>BF74-BF75</f>
        <v/>
      </c>
      <c r="BG76" s="19">
        <f>BG74-BG75</f>
        <v/>
      </c>
      <c r="BH76" s="19">
        <f>BH74-BH75</f>
        <v/>
      </c>
      <c r="BI76" s="19">
        <f>BI74-BI75</f>
        <v/>
      </c>
      <c r="BJ76" s="19">
        <f>BJ74-BJ75</f>
        <v/>
      </c>
      <c r="BK76" s="19">
        <f>BK74-BK75</f>
        <v/>
      </c>
      <c r="BL76" s="19">
        <f>BL74-BL75</f>
        <v/>
      </c>
      <c r="BM76" s="19">
        <f>BM74-BM75</f>
        <v/>
      </c>
      <c r="BN76" s="19">
        <f>BN74-BN75</f>
        <v/>
      </c>
      <c r="BO76" s="19">
        <f>BO74-BO75</f>
        <v/>
      </c>
      <c r="BP76" s="19">
        <f>BP74-BP75</f>
        <v/>
      </c>
      <c r="BQ76" s="19">
        <f>BQ74-BQ75</f>
        <v/>
      </c>
      <c r="BR76" s="19">
        <f>BR74-BR75</f>
        <v/>
      </c>
      <c r="BS76" s="19">
        <f>BS74-BS75</f>
        <v/>
      </c>
      <c r="BT76" s="19">
        <f>BT74-BT75</f>
        <v/>
      </c>
      <c r="BU76" s="19">
        <f>BU74-BU75</f>
        <v/>
      </c>
      <c r="BV76" s="19">
        <f>BV74-BV75</f>
        <v/>
      </c>
      <c r="BW76" s="19">
        <f>BW74-BW75</f>
        <v/>
      </c>
      <c r="BX76" s="19">
        <f>BX74-BX75</f>
        <v/>
      </c>
      <c r="BY76" s="19">
        <f>BY74-BY75</f>
        <v/>
      </c>
      <c r="BZ76" s="19">
        <f>BZ74-BZ75</f>
        <v/>
      </c>
      <c r="CA76" s="19">
        <f>CA74-CA75</f>
        <v/>
      </c>
      <c r="CB76" s="19">
        <f>CB74-CB75</f>
        <v/>
      </c>
      <c r="CC76" s="19">
        <f>CC74-CC75</f>
        <v/>
      </c>
      <c r="CD76" s="19">
        <f>CD74-CD75</f>
        <v/>
      </c>
      <c r="CE76" s="19">
        <f>CE74-CE75</f>
        <v/>
      </c>
      <c r="CF76" s="19">
        <f>CF74-CF75</f>
        <v/>
      </c>
      <c r="CG76" s="19">
        <f>CG74-CG75</f>
        <v/>
      </c>
      <c r="CH76" s="19">
        <f>CH74-CH75</f>
        <v/>
      </c>
      <c r="CI76" s="19">
        <f>CI74-CI75</f>
        <v/>
      </c>
      <c r="CJ76" s="19">
        <f>CJ74-CJ75</f>
        <v/>
      </c>
      <c r="CK76" s="19">
        <f>CK74-CK75</f>
        <v/>
      </c>
      <c r="CL76" s="19">
        <f>CL74-CL75</f>
        <v/>
      </c>
      <c r="CM76" s="19">
        <f>CM74-CM75</f>
        <v/>
      </c>
      <c r="CN76" s="19">
        <f>CN74-CN75</f>
        <v/>
      </c>
      <c r="CO76" s="19">
        <f>CO74-CO75</f>
        <v/>
      </c>
      <c r="CP76" s="19">
        <f>CP74-CP75</f>
        <v/>
      </c>
      <c r="CQ76" s="19">
        <f>CQ74-CQ75</f>
        <v/>
      </c>
      <c r="CR76" s="19">
        <f>CR74-CR75</f>
        <v/>
      </c>
      <c r="CS76" s="19">
        <f>CS74-CS75</f>
        <v/>
      </c>
      <c r="CT76" s="19">
        <f>CT74-CT75</f>
        <v/>
      </c>
      <c r="CU76" s="19">
        <f>CU74-CU75</f>
        <v/>
      </c>
      <c r="CV76" s="19">
        <f>CV74-CV75</f>
        <v/>
      </c>
      <c r="CW76" s="19">
        <f>CW74-CW75</f>
        <v/>
      </c>
      <c r="CX76" s="19">
        <f>CX74-CX75</f>
        <v/>
      </c>
      <c r="CY76" s="19">
        <f>CY74-CY75</f>
        <v/>
      </c>
      <c r="CZ76" s="19">
        <f>CZ74-CZ75</f>
        <v/>
      </c>
      <c r="DA76" s="19">
        <f>DA74-DA75</f>
        <v/>
      </c>
      <c r="DB76" s="19">
        <f>DB74-DB75</f>
        <v/>
      </c>
    </row>
    <row r="77">
      <c r="D77" t="inlineStr">
        <is>
          <t>Restructured Senior Notes issued (76%)</t>
        </is>
      </c>
      <c r="E77" t="inlineStr">
        <is>
          <t>ARD m</t>
        </is>
      </c>
      <c r="G77" s="19">
        <f>SUM(J77:DB77)</f>
        <v/>
      </c>
      <c r="J77" s="19">
        <f>Inputs!$F$164*J76</f>
        <v/>
      </c>
      <c r="K77" s="19">
        <f>Inputs!$F$164*K76</f>
        <v/>
      </c>
      <c r="L77" s="19">
        <f>Inputs!$F$164*L76</f>
        <v/>
      </c>
      <c r="M77" s="19">
        <f>Inputs!$F$164*M76</f>
        <v/>
      </c>
      <c r="N77" s="19">
        <f>Inputs!$F$164*N76</f>
        <v/>
      </c>
      <c r="O77" s="19">
        <f>Inputs!$F$164*O76</f>
        <v/>
      </c>
      <c r="P77" s="19">
        <f>Inputs!$F$164*P76</f>
        <v/>
      </c>
      <c r="Q77" s="19">
        <f>Inputs!$F$164*Q76</f>
        <v/>
      </c>
      <c r="R77" s="19">
        <f>Inputs!$F$164*R76</f>
        <v/>
      </c>
      <c r="S77" s="19">
        <f>Inputs!$F$164*S76</f>
        <v/>
      </c>
      <c r="T77" s="19">
        <f>Inputs!$F$164*T76</f>
        <v/>
      </c>
      <c r="U77" s="19">
        <f>Inputs!$F$164*U76</f>
        <v/>
      </c>
      <c r="V77" s="19">
        <f>Inputs!$F$164*V76</f>
        <v/>
      </c>
      <c r="W77" s="19">
        <f>Inputs!$F$164*W76</f>
        <v/>
      </c>
      <c r="X77" s="19">
        <f>Inputs!$F$164*X76</f>
        <v/>
      </c>
      <c r="Y77" s="19">
        <f>Inputs!$F$164*Y76</f>
        <v/>
      </c>
      <c r="Z77" s="19">
        <f>Inputs!$F$164*Z76</f>
        <v/>
      </c>
      <c r="AA77" s="19">
        <f>Inputs!$F$164*AA76</f>
        <v/>
      </c>
      <c r="AB77" s="19">
        <f>Inputs!$F$164*AB76</f>
        <v/>
      </c>
      <c r="AC77" s="19">
        <f>Inputs!$F$164*AC76</f>
        <v/>
      </c>
      <c r="AD77" s="19">
        <f>Inputs!$F$164*AD76</f>
        <v/>
      </c>
      <c r="AE77" s="19">
        <f>Inputs!$F$164*AE76</f>
        <v/>
      </c>
      <c r="AF77" s="19">
        <f>Inputs!$F$164*AF76</f>
        <v/>
      </c>
      <c r="AG77" s="19">
        <f>Inputs!$F$164*AG76</f>
        <v/>
      </c>
      <c r="AH77" s="19">
        <f>Inputs!$F$164*AH76</f>
        <v/>
      </c>
      <c r="AI77" s="19">
        <f>Inputs!$F$164*AI76</f>
        <v/>
      </c>
      <c r="AJ77" s="19">
        <f>Inputs!$F$164*AJ76</f>
        <v/>
      </c>
      <c r="AK77" s="19">
        <f>Inputs!$F$164*AK76</f>
        <v/>
      </c>
      <c r="AL77" s="19">
        <f>Inputs!$F$164*AL76</f>
        <v/>
      </c>
      <c r="AM77" s="19">
        <f>Inputs!$F$164*AM76</f>
        <v/>
      </c>
      <c r="AN77" s="19">
        <f>Inputs!$F$164*AN76</f>
        <v/>
      </c>
      <c r="AO77" s="19">
        <f>Inputs!$F$164*AO76</f>
        <v/>
      </c>
      <c r="AP77" s="19">
        <f>Inputs!$F$164*AP76</f>
        <v/>
      </c>
      <c r="AQ77" s="19">
        <f>Inputs!$F$164*AQ76</f>
        <v/>
      </c>
      <c r="AR77" s="19">
        <f>Inputs!$F$164*AR76</f>
        <v/>
      </c>
      <c r="AS77" s="19">
        <f>Inputs!$F$164*AS76</f>
        <v/>
      </c>
      <c r="AT77" s="19">
        <f>Inputs!$F$164*AT76</f>
        <v/>
      </c>
      <c r="AU77" s="19">
        <f>Inputs!$F$164*AU76</f>
        <v/>
      </c>
      <c r="AV77" s="19">
        <f>Inputs!$F$164*AV76</f>
        <v/>
      </c>
      <c r="AW77" s="19">
        <f>Inputs!$F$164*AW76</f>
        <v/>
      </c>
      <c r="AX77" s="19">
        <f>Inputs!$F$164*AX76</f>
        <v/>
      </c>
      <c r="AY77" s="19">
        <f>Inputs!$F$164*AY76</f>
        <v/>
      </c>
      <c r="AZ77" s="19">
        <f>Inputs!$F$164*AZ76</f>
        <v/>
      </c>
      <c r="BA77" s="19">
        <f>Inputs!$F$164*BA76</f>
        <v/>
      </c>
      <c r="BB77" s="19">
        <f>Inputs!$F$164*BB76</f>
        <v/>
      </c>
      <c r="BC77" s="19">
        <f>Inputs!$F$164*BC76</f>
        <v/>
      </c>
      <c r="BD77" s="19">
        <f>Inputs!$F$164*BD76</f>
        <v/>
      </c>
      <c r="BE77" s="19">
        <f>Inputs!$F$164*BE76</f>
        <v/>
      </c>
      <c r="BF77" s="19">
        <f>Inputs!$F$164*BF76</f>
        <v/>
      </c>
      <c r="BG77" s="19">
        <f>Inputs!$F$164*BG76</f>
        <v/>
      </c>
      <c r="BH77" s="19">
        <f>Inputs!$F$164*BH76</f>
        <v/>
      </c>
      <c r="BI77" s="19">
        <f>Inputs!$F$164*BI76</f>
        <v/>
      </c>
      <c r="BJ77" s="19">
        <f>Inputs!$F$164*BJ76</f>
        <v/>
      </c>
      <c r="BK77" s="19">
        <f>Inputs!$F$164*BK76</f>
        <v/>
      </c>
      <c r="BL77" s="19">
        <f>Inputs!$F$164*BL76</f>
        <v/>
      </c>
      <c r="BM77" s="19">
        <f>Inputs!$F$164*BM76</f>
        <v/>
      </c>
      <c r="BN77" s="19">
        <f>Inputs!$F$164*BN76</f>
        <v/>
      </c>
      <c r="BO77" s="19">
        <f>Inputs!$F$164*BO76</f>
        <v/>
      </c>
      <c r="BP77" s="19">
        <f>Inputs!$F$164*BP76</f>
        <v/>
      </c>
      <c r="BQ77" s="19">
        <f>Inputs!$F$164*BQ76</f>
        <v/>
      </c>
      <c r="BR77" s="19">
        <f>Inputs!$F$164*BR76</f>
        <v/>
      </c>
      <c r="BS77" s="19">
        <f>Inputs!$F$164*BS76</f>
        <v/>
      </c>
      <c r="BT77" s="19">
        <f>Inputs!$F$164*BT76</f>
        <v/>
      </c>
      <c r="BU77" s="19">
        <f>Inputs!$F$164*BU76</f>
        <v/>
      </c>
      <c r="BV77" s="19">
        <f>Inputs!$F$164*BV76</f>
        <v/>
      </c>
      <c r="BW77" s="19">
        <f>Inputs!$F$164*BW76</f>
        <v/>
      </c>
      <c r="BX77" s="19">
        <f>Inputs!$F$164*BX76</f>
        <v/>
      </c>
      <c r="BY77" s="19">
        <f>Inputs!$F$164*BY76</f>
        <v/>
      </c>
      <c r="BZ77" s="19">
        <f>Inputs!$F$164*BZ76</f>
        <v/>
      </c>
      <c r="CA77" s="19">
        <f>Inputs!$F$164*CA76</f>
        <v/>
      </c>
      <c r="CB77" s="19">
        <f>Inputs!$F$164*CB76</f>
        <v/>
      </c>
      <c r="CC77" s="19">
        <f>Inputs!$F$164*CC76</f>
        <v/>
      </c>
      <c r="CD77" s="19">
        <f>Inputs!$F$164*CD76</f>
        <v/>
      </c>
      <c r="CE77" s="19">
        <f>Inputs!$F$164*CE76</f>
        <v/>
      </c>
      <c r="CF77" s="19">
        <f>Inputs!$F$164*CF76</f>
        <v/>
      </c>
      <c r="CG77" s="19">
        <f>Inputs!$F$164*CG76</f>
        <v/>
      </c>
      <c r="CH77" s="19">
        <f>Inputs!$F$164*CH76</f>
        <v/>
      </c>
      <c r="CI77" s="19">
        <f>Inputs!$F$164*CI76</f>
        <v/>
      </c>
      <c r="CJ77" s="19">
        <f>Inputs!$F$164*CJ76</f>
        <v/>
      </c>
      <c r="CK77" s="19">
        <f>Inputs!$F$164*CK76</f>
        <v/>
      </c>
      <c r="CL77" s="19">
        <f>Inputs!$F$164*CL76</f>
        <v/>
      </c>
      <c r="CM77" s="19">
        <f>Inputs!$F$164*CM76</f>
        <v/>
      </c>
      <c r="CN77" s="19">
        <f>Inputs!$F$164*CN76</f>
        <v/>
      </c>
      <c r="CO77" s="19">
        <f>Inputs!$F$164*CO76</f>
        <v/>
      </c>
      <c r="CP77" s="19">
        <f>Inputs!$F$164*CP76</f>
        <v/>
      </c>
      <c r="CQ77" s="19">
        <f>Inputs!$F$164*CQ76</f>
        <v/>
      </c>
      <c r="CR77" s="19">
        <f>Inputs!$F$164*CR76</f>
        <v/>
      </c>
      <c r="CS77" s="19">
        <f>Inputs!$F$164*CS76</f>
        <v/>
      </c>
      <c r="CT77" s="19">
        <f>Inputs!$F$164*CT76</f>
        <v/>
      </c>
      <c r="CU77" s="19">
        <f>Inputs!$F$164*CU76</f>
        <v/>
      </c>
      <c r="CV77" s="19">
        <f>Inputs!$F$164*CV76</f>
        <v/>
      </c>
      <c r="CW77" s="19">
        <f>Inputs!$F$164*CW76</f>
        <v/>
      </c>
      <c r="CX77" s="19">
        <f>Inputs!$F$164*CX76</f>
        <v/>
      </c>
      <c r="CY77" s="19">
        <f>Inputs!$F$164*CY76</f>
        <v/>
      </c>
      <c r="CZ77" s="19">
        <f>Inputs!$F$164*CZ76</f>
        <v/>
      </c>
      <c r="DA77" s="19">
        <f>Inputs!$F$164*DA76</f>
        <v/>
      </c>
      <c r="DB77" s="19">
        <f>Inputs!$F$164*DB76</f>
        <v/>
      </c>
    </row>
    <row r="78">
      <c r="D78" t="inlineStr">
        <is>
          <t>Claims converted to equity (10%)</t>
        </is>
      </c>
      <c r="E78" t="inlineStr">
        <is>
          <t>ARD m</t>
        </is>
      </c>
      <c r="G78" s="19">
        <f>SUM(J78:DB78)</f>
        <v/>
      </c>
      <c r="J78" s="19">
        <f>Inputs!$F$166*J76</f>
        <v/>
      </c>
      <c r="K78" s="19">
        <f>Inputs!$F$166*K76</f>
        <v/>
      </c>
      <c r="L78" s="19">
        <f>Inputs!$F$166*L76</f>
        <v/>
      </c>
      <c r="M78" s="19">
        <f>Inputs!$F$166*M76</f>
        <v/>
      </c>
      <c r="N78" s="19">
        <f>Inputs!$F$166*N76</f>
        <v/>
      </c>
      <c r="O78" s="19">
        <f>Inputs!$F$166*O76</f>
        <v/>
      </c>
      <c r="P78" s="19">
        <f>Inputs!$F$166*P76</f>
        <v/>
      </c>
      <c r="Q78" s="19">
        <f>Inputs!$F$166*Q76</f>
        <v/>
      </c>
      <c r="R78" s="19">
        <f>Inputs!$F$166*R76</f>
        <v/>
      </c>
      <c r="S78" s="19">
        <f>Inputs!$F$166*S76</f>
        <v/>
      </c>
      <c r="T78" s="19">
        <f>Inputs!$F$166*T76</f>
        <v/>
      </c>
      <c r="U78" s="19">
        <f>Inputs!$F$166*U76</f>
        <v/>
      </c>
      <c r="V78" s="19">
        <f>Inputs!$F$166*V76</f>
        <v/>
      </c>
      <c r="W78" s="19">
        <f>Inputs!$F$166*W76</f>
        <v/>
      </c>
      <c r="X78" s="19">
        <f>Inputs!$F$166*X76</f>
        <v/>
      </c>
      <c r="Y78" s="19">
        <f>Inputs!$F$166*Y76</f>
        <v/>
      </c>
      <c r="Z78" s="19">
        <f>Inputs!$F$166*Z76</f>
        <v/>
      </c>
      <c r="AA78" s="19">
        <f>Inputs!$F$166*AA76</f>
        <v/>
      </c>
      <c r="AB78" s="19">
        <f>Inputs!$F$166*AB76</f>
        <v/>
      </c>
      <c r="AC78" s="19">
        <f>Inputs!$F$166*AC76</f>
        <v/>
      </c>
      <c r="AD78" s="19">
        <f>Inputs!$F$166*AD76</f>
        <v/>
      </c>
      <c r="AE78" s="19">
        <f>Inputs!$F$166*AE76</f>
        <v/>
      </c>
      <c r="AF78" s="19">
        <f>Inputs!$F$166*AF76</f>
        <v/>
      </c>
      <c r="AG78" s="19">
        <f>Inputs!$F$166*AG76</f>
        <v/>
      </c>
      <c r="AH78" s="19">
        <f>Inputs!$F$166*AH76</f>
        <v/>
      </c>
      <c r="AI78" s="19">
        <f>Inputs!$F$166*AI76</f>
        <v/>
      </c>
      <c r="AJ78" s="19">
        <f>Inputs!$F$166*AJ76</f>
        <v/>
      </c>
      <c r="AK78" s="19">
        <f>Inputs!$F$166*AK76</f>
        <v/>
      </c>
      <c r="AL78" s="19">
        <f>Inputs!$F$166*AL76</f>
        <v/>
      </c>
      <c r="AM78" s="19">
        <f>Inputs!$F$166*AM76</f>
        <v/>
      </c>
      <c r="AN78" s="19">
        <f>Inputs!$F$166*AN76</f>
        <v/>
      </c>
      <c r="AO78" s="19">
        <f>Inputs!$F$166*AO76</f>
        <v/>
      </c>
      <c r="AP78" s="19">
        <f>Inputs!$F$166*AP76</f>
        <v/>
      </c>
      <c r="AQ78" s="19">
        <f>Inputs!$F$166*AQ76</f>
        <v/>
      </c>
      <c r="AR78" s="19">
        <f>Inputs!$F$166*AR76</f>
        <v/>
      </c>
      <c r="AS78" s="19">
        <f>Inputs!$F$166*AS76</f>
        <v/>
      </c>
      <c r="AT78" s="19">
        <f>Inputs!$F$166*AT76</f>
        <v/>
      </c>
      <c r="AU78" s="19">
        <f>Inputs!$F$166*AU76</f>
        <v/>
      </c>
      <c r="AV78" s="19">
        <f>Inputs!$F$166*AV76</f>
        <v/>
      </c>
      <c r="AW78" s="19">
        <f>Inputs!$F$166*AW76</f>
        <v/>
      </c>
      <c r="AX78" s="19">
        <f>Inputs!$F$166*AX76</f>
        <v/>
      </c>
      <c r="AY78" s="19">
        <f>Inputs!$F$166*AY76</f>
        <v/>
      </c>
      <c r="AZ78" s="19">
        <f>Inputs!$F$166*AZ76</f>
        <v/>
      </c>
      <c r="BA78" s="19">
        <f>Inputs!$F$166*BA76</f>
        <v/>
      </c>
      <c r="BB78" s="19">
        <f>Inputs!$F$166*BB76</f>
        <v/>
      </c>
      <c r="BC78" s="19">
        <f>Inputs!$F$166*BC76</f>
        <v/>
      </c>
      <c r="BD78" s="19">
        <f>Inputs!$F$166*BD76</f>
        <v/>
      </c>
      <c r="BE78" s="19">
        <f>Inputs!$F$166*BE76</f>
        <v/>
      </c>
      <c r="BF78" s="19">
        <f>Inputs!$F$166*BF76</f>
        <v/>
      </c>
      <c r="BG78" s="19">
        <f>Inputs!$F$166*BG76</f>
        <v/>
      </c>
      <c r="BH78" s="19">
        <f>Inputs!$F$166*BH76</f>
        <v/>
      </c>
      <c r="BI78" s="19">
        <f>Inputs!$F$166*BI76</f>
        <v/>
      </c>
      <c r="BJ78" s="19">
        <f>Inputs!$F$166*BJ76</f>
        <v/>
      </c>
      <c r="BK78" s="19">
        <f>Inputs!$F$166*BK76</f>
        <v/>
      </c>
      <c r="BL78" s="19">
        <f>Inputs!$F$166*BL76</f>
        <v/>
      </c>
      <c r="BM78" s="19">
        <f>Inputs!$F$166*BM76</f>
        <v/>
      </c>
      <c r="BN78" s="19">
        <f>Inputs!$F$166*BN76</f>
        <v/>
      </c>
      <c r="BO78" s="19">
        <f>Inputs!$F$166*BO76</f>
        <v/>
      </c>
      <c r="BP78" s="19">
        <f>Inputs!$F$166*BP76</f>
        <v/>
      </c>
      <c r="BQ78" s="19">
        <f>Inputs!$F$166*BQ76</f>
        <v/>
      </c>
      <c r="BR78" s="19">
        <f>Inputs!$F$166*BR76</f>
        <v/>
      </c>
      <c r="BS78" s="19">
        <f>Inputs!$F$166*BS76</f>
        <v/>
      </c>
      <c r="BT78" s="19">
        <f>Inputs!$F$166*BT76</f>
        <v/>
      </c>
      <c r="BU78" s="19">
        <f>Inputs!$F$166*BU76</f>
        <v/>
      </c>
      <c r="BV78" s="19">
        <f>Inputs!$F$166*BV76</f>
        <v/>
      </c>
      <c r="BW78" s="19">
        <f>Inputs!$F$166*BW76</f>
        <v/>
      </c>
      <c r="BX78" s="19">
        <f>Inputs!$F$166*BX76</f>
        <v/>
      </c>
      <c r="BY78" s="19">
        <f>Inputs!$F$166*BY76</f>
        <v/>
      </c>
      <c r="BZ78" s="19">
        <f>Inputs!$F$166*BZ76</f>
        <v/>
      </c>
      <c r="CA78" s="19">
        <f>Inputs!$F$166*CA76</f>
        <v/>
      </c>
      <c r="CB78" s="19">
        <f>Inputs!$F$166*CB76</f>
        <v/>
      </c>
      <c r="CC78" s="19">
        <f>Inputs!$F$166*CC76</f>
        <v/>
      </c>
      <c r="CD78" s="19">
        <f>Inputs!$F$166*CD76</f>
        <v/>
      </c>
      <c r="CE78" s="19">
        <f>Inputs!$F$166*CE76</f>
        <v/>
      </c>
      <c r="CF78" s="19">
        <f>Inputs!$F$166*CF76</f>
        <v/>
      </c>
      <c r="CG78" s="19">
        <f>Inputs!$F$166*CG76</f>
        <v/>
      </c>
      <c r="CH78" s="19">
        <f>Inputs!$F$166*CH76</f>
        <v/>
      </c>
      <c r="CI78" s="19">
        <f>Inputs!$F$166*CI76</f>
        <v/>
      </c>
      <c r="CJ78" s="19">
        <f>Inputs!$F$166*CJ76</f>
        <v/>
      </c>
      <c r="CK78" s="19">
        <f>Inputs!$F$166*CK76</f>
        <v/>
      </c>
      <c r="CL78" s="19">
        <f>Inputs!$F$166*CL76</f>
        <v/>
      </c>
      <c r="CM78" s="19">
        <f>Inputs!$F$166*CM76</f>
        <v/>
      </c>
      <c r="CN78" s="19">
        <f>Inputs!$F$166*CN76</f>
        <v/>
      </c>
      <c r="CO78" s="19">
        <f>Inputs!$F$166*CO76</f>
        <v/>
      </c>
      <c r="CP78" s="19">
        <f>Inputs!$F$166*CP76</f>
        <v/>
      </c>
      <c r="CQ78" s="19">
        <f>Inputs!$F$166*CQ76</f>
        <v/>
      </c>
      <c r="CR78" s="19">
        <f>Inputs!$F$166*CR76</f>
        <v/>
      </c>
      <c r="CS78" s="19">
        <f>Inputs!$F$166*CS76</f>
        <v/>
      </c>
      <c r="CT78" s="19">
        <f>Inputs!$F$166*CT76</f>
        <v/>
      </c>
      <c r="CU78" s="19">
        <f>Inputs!$F$166*CU76</f>
        <v/>
      </c>
      <c r="CV78" s="19">
        <f>Inputs!$F$166*CV76</f>
        <v/>
      </c>
      <c r="CW78" s="19">
        <f>Inputs!$F$166*CW76</f>
        <v/>
      </c>
      <c r="CX78" s="19">
        <f>Inputs!$F$166*CX76</f>
        <v/>
      </c>
      <c r="CY78" s="19">
        <f>Inputs!$F$166*CY76</f>
        <v/>
      </c>
      <c r="CZ78" s="19">
        <f>Inputs!$F$166*CZ76</f>
        <v/>
      </c>
      <c r="DA78" s="19">
        <f>Inputs!$F$166*DA76</f>
        <v/>
      </c>
      <c r="DB78" s="19">
        <f>Inputs!$F$166*DB76</f>
        <v/>
      </c>
    </row>
    <row r="79">
      <c r="D79" t="inlineStr">
        <is>
          <t>Claims cancelled (14%)</t>
        </is>
      </c>
      <c r="E79" t="inlineStr">
        <is>
          <t>ARD m</t>
        </is>
      </c>
      <c r="G79" s="19">
        <f>SUM(J79:DB79)</f>
        <v/>
      </c>
      <c r="J79" s="19">
        <f>Inputs!$F$165*J76</f>
        <v/>
      </c>
      <c r="K79" s="19">
        <f>Inputs!$F$165*K76</f>
        <v/>
      </c>
      <c r="L79" s="19">
        <f>Inputs!$F$165*L76</f>
        <v/>
      </c>
      <c r="M79" s="19">
        <f>Inputs!$F$165*M76</f>
        <v/>
      </c>
      <c r="N79" s="19">
        <f>Inputs!$F$165*N76</f>
        <v/>
      </c>
      <c r="O79" s="19">
        <f>Inputs!$F$165*O76</f>
        <v/>
      </c>
      <c r="P79" s="19">
        <f>Inputs!$F$165*P76</f>
        <v/>
      </c>
      <c r="Q79" s="19">
        <f>Inputs!$F$165*Q76</f>
        <v/>
      </c>
      <c r="R79" s="19">
        <f>Inputs!$F$165*R76</f>
        <v/>
      </c>
      <c r="S79" s="19">
        <f>Inputs!$F$165*S76</f>
        <v/>
      </c>
      <c r="T79" s="19">
        <f>Inputs!$F$165*T76</f>
        <v/>
      </c>
      <c r="U79" s="19">
        <f>Inputs!$F$165*U76</f>
        <v/>
      </c>
      <c r="V79" s="19">
        <f>Inputs!$F$165*V76</f>
        <v/>
      </c>
      <c r="W79" s="19">
        <f>Inputs!$F$165*W76</f>
        <v/>
      </c>
      <c r="X79" s="19">
        <f>Inputs!$F$165*X76</f>
        <v/>
      </c>
      <c r="Y79" s="19">
        <f>Inputs!$F$165*Y76</f>
        <v/>
      </c>
      <c r="Z79" s="19">
        <f>Inputs!$F$165*Z76</f>
        <v/>
      </c>
      <c r="AA79" s="19">
        <f>Inputs!$F$165*AA76</f>
        <v/>
      </c>
      <c r="AB79" s="19">
        <f>Inputs!$F$165*AB76</f>
        <v/>
      </c>
      <c r="AC79" s="19">
        <f>Inputs!$F$165*AC76</f>
        <v/>
      </c>
      <c r="AD79" s="19">
        <f>Inputs!$F$165*AD76</f>
        <v/>
      </c>
      <c r="AE79" s="19">
        <f>Inputs!$F$165*AE76</f>
        <v/>
      </c>
      <c r="AF79" s="19">
        <f>Inputs!$F$165*AF76</f>
        <v/>
      </c>
      <c r="AG79" s="19">
        <f>Inputs!$F$165*AG76</f>
        <v/>
      </c>
      <c r="AH79" s="19">
        <f>Inputs!$F$165*AH76</f>
        <v/>
      </c>
      <c r="AI79" s="19">
        <f>Inputs!$F$165*AI76</f>
        <v/>
      </c>
      <c r="AJ79" s="19">
        <f>Inputs!$F$165*AJ76</f>
        <v/>
      </c>
      <c r="AK79" s="19">
        <f>Inputs!$F$165*AK76</f>
        <v/>
      </c>
      <c r="AL79" s="19">
        <f>Inputs!$F$165*AL76</f>
        <v/>
      </c>
      <c r="AM79" s="19">
        <f>Inputs!$F$165*AM76</f>
        <v/>
      </c>
      <c r="AN79" s="19">
        <f>Inputs!$F$165*AN76</f>
        <v/>
      </c>
      <c r="AO79" s="19">
        <f>Inputs!$F$165*AO76</f>
        <v/>
      </c>
      <c r="AP79" s="19">
        <f>Inputs!$F$165*AP76</f>
        <v/>
      </c>
      <c r="AQ79" s="19">
        <f>Inputs!$F$165*AQ76</f>
        <v/>
      </c>
      <c r="AR79" s="19">
        <f>Inputs!$F$165*AR76</f>
        <v/>
      </c>
      <c r="AS79" s="19">
        <f>Inputs!$F$165*AS76</f>
        <v/>
      </c>
      <c r="AT79" s="19">
        <f>Inputs!$F$165*AT76</f>
        <v/>
      </c>
      <c r="AU79" s="19">
        <f>Inputs!$F$165*AU76</f>
        <v/>
      </c>
      <c r="AV79" s="19">
        <f>Inputs!$F$165*AV76</f>
        <v/>
      </c>
      <c r="AW79" s="19">
        <f>Inputs!$F$165*AW76</f>
        <v/>
      </c>
      <c r="AX79" s="19">
        <f>Inputs!$F$165*AX76</f>
        <v/>
      </c>
      <c r="AY79" s="19">
        <f>Inputs!$F$165*AY76</f>
        <v/>
      </c>
      <c r="AZ79" s="19">
        <f>Inputs!$F$165*AZ76</f>
        <v/>
      </c>
      <c r="BA79" s="19">
        <f>Inputs!$F$165*BA76</f>
        <v/>
      </c>
      <c r="BB79" s="19">
        <f>Inputs!$F$165*BB76</f>
        <v/>
      </c>
      <c r="BC79" s="19">
        <f>Inputs!$F$165*BC76</f>
        <v/>
      </c>
      <c r="BD79" s="19">
        <f>Inputs!$F$165*BD76</f>
        <v/>
      </c>
      <c r="BE79" s="19">
        <f>Inputs!$F$165*BE76</f>
        <v/>
      </c>
      <c r="BF79" s="19">
        <f>Inputs!$F$165*BF76</f>
        <v/>
      </c>
      <c r="BG79" s="19">
        <f>Inputs!$F$165*BG76</f>
        <v/>
      </c>
      <c r="BH79" s="19">
        <f>Inputs!$F$165*BH76</f>
        <v/>
      </c>
      <c r="BI79" s="19">
        <f>Inputs!$F$165*BI76</f>
        <v/>
      </c>
      <c r="BJ79" s="19">
        <f>Inputs!$F$165*BJ76</f>
        <v/>
      </c>
      <c r="BK79" s="19">
        <f>Inputs!$F$165*BK76</f>
        <v/>
      </c>
      <c r="BL79" s="19">
        <f>Inputs!$F$165*BL76</f>
        <v/>
      </c>
      <c r="BM79" s="19">
        <f>Inputs!$F$165*BM76</f>
        <v/>
      </c>
      <c r="BN79" s="19">
        <f>Inputs!$F$165*BN76</f>
        <v/>
      </c>
      <c r="BO79" s="19">
        <f>Inputs!$F$165*BO76</f>
        <v/>
      </c>
      <c r="BP79" s="19">
        <f>Inputs!$F$165*BP76</f>
        <v/>
      </c>
      <c r="BQ79" s="19">
        <f>Inputs!$F$165*BQ76</f>
        <v/>
      </c>
      <c r="BR79" s="19">
        <f>Inputs!$F$165*BR76</f>
        <v/>
      </c>
      <c r="BS79" s="19">
        <f>Inputs!$F$165*BS76</f>
        <v/>
      </c>
      <c r="BT79" s="19">
        <f>Inputs!$F$165*BT76</f>
        <v/>
      </c>
      <c r="BU79" s="19">
        <f>Inputs!$F$165*BU76</f>
        <v/>
      </c>
      <c r="BV79" s="19">
        <f>Inputs!$F$165*BV76</f>
        <v/>
      </c>
      <c r="BW79" s="19">
        <f>Inputs!$F$165*BW76</f>
        <v/>
      </c>
      <c r="BX79" s="19">
        <f>Inputs!$F$165*BX76</f>
        <v/>
      </c>
      <c r="BY79" s="19">
        <f>Inputs!$F$165*BY76</f>
        <v/>
      </c>
      <c r="BZ79" s="19">
        <f>Inputs!$F$165*BZ76</f>
        <v/>
      </c>
      <c r="CA79" s="19">
        <f>Inputs!$F$165*CA76</f>
        <v/>
      </c>
      <c r="CB79" s="19">
        <f>Inputs!$F$165*CB76</f>
        <v/>
      </c>
      <c r="CC79" s="19">
        <f>Inputs!$F$165*CC76</f>
        <v/>
      </c>
      <c r="CD79" s="19">
        <f>Inputs!$F$165*CD76</f>
        <v/>
      </c>
      <c r="CE79" s="19">
        <f>Inputs!$F$165*CE76</f>
        <v/>
      </c>
      <c r="CF79" s="19">
        <f>Inputs!$F$165*CF76</f>
        <v/>
      </c>
      <c r="CG79" s="19">
        <f>Inputs!$F$165*CG76</f>
        <v/>
      </c>
      <c r="CH79" s="19">
        <f>Inputs!$F$165*CH76</f>
        <v/>
      </c>
      <c r="CI79" s="19">
        <f>Inputs!$F$165*CI76</f>
        <v/>
      </c>
      <c r="CJ79" s="19">
        <f>Inputs!$F$165*CJ76</f>
        <v/>
      </c>
      <c r="CK79" s="19">
        <f>Inputs!$F$165*CK76</f>
        <v/>
      </c>
      <c r="CL79" s="19">
        <f>Inputs!$F$165*CL76</f>
        <v/>
      </c>
      <c r="CM79" s="19">
        <f>Inputs!$F$165*CM76</f>
        <v/>
      </c>
      <c r="CN79" s="19">
        <f>Inputs!$F$165*CN76</f>
        <v/>
      </c>
      <c r="CO79" s="19">
        <f>Inputs!$F$165*CO76</f>
        <v/>
      </c>
      <c r="CP79" s="19">
        <f>Inputs!$F$165*CP76</f>
        <v/>
      </c>
      <c r="CQ79" s="19">
        <f>Inputs!$F$165*CQ76</f>
        <v/>
      </c>
      <c r="CR79" s="19">
        <f>Inputs!$F$165*CR76</f>
        <v/>
      </c>
      <c r="CS79" s="19">
        <f>Inputs!$F$165*CS76</f>
        <v/>
      </c>
      <c r="CT79" s="19">
        <f>Inputs!$F$165*CT76</f>
        <v/>
      </c>
      <c r="CU79" s="19">
        <f>Inputs!$F$165*CU76</f>
        <v/>
      </c>
      <c r="CV79" s="19">
        <f>Inputs!$F$165*CV76</f>
        <v/>
      </c>
      <c r="CW79" s="19">
        <f>Inputs!$F$165*CW76</f>
        <v/>
      </c>
      <c r="CX79" s="19">
        <f>Inputs!$F$165*CX76</f>
        <v/>
      </c>
      <c r="CY79" s="19">
        <f>Inputs!$F$165*CY76</f>
        <v/>
      </c>
      <c r="CZ79" s="19">
        <f>Inputs!$F$165*CZ76</f>
        <v/>
      </c>
      <c r="DA79" s="19">
        <f>Inputs!$F$165*DA76</f>
        <v/>
      </c>
      <c r="DB79" s="19">
        <f>Inputs!$F$165*DB76</f>
        <v/>
      </c>
    </row>
    <row r="80">
      <c r="D80" t="inlineStr">
        <is>
          <t>Shareholder loans written off</t>
        </is>
      </c>
      <c r="E80" t="inlineStr">
        <is>
          <t>ARD m</t>
        </is>
      </c>
      <c r="G80" s="19">
        <f>SUM(J80:DB80)</f>
        <v/>
      </c>
      <c r="J80" s="19">
        <f>Time!J35*Waterfall!J58</f>
        <v/>
      </c>
      <c r="K80" s="19">
        <f>Time!K35*Waterfall!K58</f>
        <v/>
      </c>
      <c r="L80" s="19">
        <f>Time!L35*Waterfall!L58</f>
        <v/>
      </c>
      <c r="M80" s="19">
        <f>Time!M35*Waterfall!M58</f>
        <v/>
      </c>
      <c r="N80" s="19">
        <f>Time!N35*Waterfall!N58</f>
        <v/>
      </c>
      <c r="O80" s="19">
        <f>Time!O35*Waterfall!O58</f>
        <v/>
      </c>
      <c r="P80" s="19">
        <f>Time!P35*Waterfall!P58</f>
        <v/>
      </c>
      <c r="Q80" s="19">
        <f>Time!Q35*Waterfall!Q58</f>
        <v/>
      </c>
      <c r="R80" s="19">
        <f>Time!R35*Waterfall!R58</f>
        <v/>
      </c>
      <c r="S80" s="19">
        <f>Time!S35*Waterfall!S58</f>
        <v/>
      </c>
      <c r="T80" s="19">
        <f>Time!T35*Waterfall!T58</f>
        <v/>
      </c>
      <c r="U80" s="19">
        <f>Time!U35*Waterfall!U58</f>
        <v/>
      </c>
      <c r="V80" s="19">
        <f>Time!V35*Waterfall!V58</f>
        <v/>
      </c>
      <c r="W80" s="19">
        <f>Time!W35*Waterfall!W58</f>
        <v/>
      </c>
      <c r="X80" s="19">
        <f>Time!X35*Waterfall!X58</f>
        <v/>
      </c>
      <c r="Y80" s="19">
        <f>Time!Y35*Waterfall!Y58</f>
        <v/>
      </c>
      <c r="Z80" s="19">
        <f>Time!Z35*Waterfall!Z58</f>
        <v/>
      </c>
      <c r="AA80" s="19">
        <f>Time!AA35*Waterfall!AA58</f>
        <v/>
      </c>
      <c r="AB80" s="19">
        <f>Time!AB35*Waterfall!AB58</f>
        <v/>
      </c>
      <c r="AC80" s="19">
        <f>Time!AC35*Waterfall!AC58</f>
        <v/>
      </c>
      <c r="AD80" s="19">
        <f>Time!AD35*Waterfall!AD58</f>
        <v/>
      </c>
      <c r="AE80" s="19">
        <f>Time!AE35*Waterfall!AE58</f>
        <v/>
      </c>
      <c r="AF80" s="19">
        <f>Time!AF35*Waterfall!AF58</f>
        <v/>
      </c>
      <c r="AG80" s="19">
        <f>Time!AG35*Waterfall!AG58</f>
        <v/>
      </c>
      <c r="AH80" s="19">
        <f>Time!AH35*Waterfall!AH58</f>
        <v/>
      </c>
      <c r="AI80" s="19">
        <f>Time!AI35*Waterfall!AI58</f>
        <v/>
      </c>
      <c r="AJ80" s="19">
        <f>Time!AJ35*Waterfall!AJ58</f>
        <v/>
      </c>
      <c r="AK80" s="19">
        <f>Time!AK35*Waterfall!AK58</f>
        <v/>
      </c>
      <c r="AL80" s="19">
        <f>Time!AL35*Waterfall!AL58</f>
        <v/>
      </c>
      <c r="AM80" s="19">
        <f>Time!AM35*Waterfall!AM58</f>
        <v/>
      </c>
      <c r="AN80" s="19">
        <f>Time!AN35*Waterfall!AN58</f>
        <v/>
      </c>
      <c r="AO80" s="19">
        <f>Time!AO35*Waterfall!AO58</f>
        <v/>
      </c>
      <c r="AP80" s="19">
        <f>Time!AP35*Waterfall!AP58</f>
        <v/>
      </c>
      <c r="AQ80" s="19">
        <f>Time!AQ35*Waterfall!AQ58</f>
        <v/>
      </c>
      <c r="AR80" s="19">
        <f>Time!AR35*Waterfall!AR58</f>
        <v/>
      </c>
      <c r="AS80" s="19">
        <f>Time!AS35*Waterfall!AS58</f>
        <v/>
      </c>
      <c r="AT80" s="19">
        <f>Time!AT35*Waterfall!AT58</f>
        <v/>
      </c>
      <c r="AU80" s="19">
        <f>Time!AU35*Waterfall!AU58</f>
        <v/>
      </c>
      <c r="AV80" s="19">
        <f>Time!AV35*Waterfall!AV58</f>
        <v/>
      </c>
      <c r="AW80" s="19">
        <f>Time!AW35*Waterfall!AW58</f>
        <v/>
      </c>
      <c r="AX80" s="19">
        <f>Time!AX35*Waterfall!AX58</f>
        <v/>
      </c>
      <c r="AY80" s="19">
        <f>Time!AY35*Waterfall!AY58</f>
        <v/>
      </c>
      <c r="AZ80" s="19">
        <f>Time!AZ35*Waterfall!AZ58</f>
        <v/>
      </c>
      <c r="BA80" s="19">
        <f>Time!BA35*Waterfall!BA58</f>
        <v/>
      </c>
      <c r="BB80" s="19">
        <f>Time!BB35*Waterfall!BB58</f>
        <v/>
      </c>
      <c r="BC80" s="19">
        <f>Time!BC35*Waterfall!BC58</f>
        <v/>
      </c>
      <c r="BD80" s="19">
        <f>Time!BD35*Waterfall!BD58</f>
        <v/>
      </c>
      <c r="BE80" s="19">
        <f>Time!BE35*Waterfall!BE58</f>
        <v/>
      </c>
      <c r="BF80" s="19">
        <f>Time!BF35*Waterfall!BF58</f>
        <v/>
      </c>
      <c r="BG80" s="19">
        <f>Time!BG35*Waterfall!BG58</f>
        <v/>
      </c>
      <c r="BH80" s="19">
        <f>Time!BH35*Waterfall!BH58</f>
        <v/>
      </c>
      <c r="BI80" s="19">
        <f>Time!BI35*Waterfall!BI58</f>
        <v/>
      </c>
      <c r="BJ80" s="19">
        <f>Time!BJ35*Waterfall!BJ58</f>
        <v/>
      </c>
      <c r="BK80" s="19">
        <f>Time!BK35*Waterfall!BK58</f>
        <v/>
      </c>
      <c r="BL80" s="19">
        <f>Time!BL35*Waterfall!BL58</f>
        <v/>
      </c>
      <c r="BM80" s="19">
        <f>Time!BM35*Waterfall!BM58</f>
        <v/>
      </c>
      <c r="BN80" s="19">
        <f>Time!BN35*Waterfall!BN58</f>
        <v/>
      </c>
      <c r="BO80" s="19">
        <f>Time!BO35*Waterfall!BO58</f>
        <v/>
      </c>
      <c r="BP80" s="19">
        <f>Time!BP35*Waterfall!BP58</f>
        <v/>
      </c>
      <c r="BQ80" s="19">
        <f>Time!BQ35*Waterfall!BQ58</f>
        <v/>
      </c>
      <c r="BR80" s="19">
        <f>Time!BR35*Waterfall!BR58</f>
        <v/>
      </c>
      <c r="BS80" s="19">
        <f>Time!BS35*Waterfall!BS58</f>
        <v/>
      </c>
      <c r="BT80" s="19">
        <f>Time!BT35*Waterfall!BT58</f>
        <v/>
      </c>
      <c r="BU80" s="19">
        <f>Time!BU35*Waterfall!BU58</f>
        <v/>
      </c>
      <c r="BV80" s="19">
        <f>Time!BV35*Waterfall!BV58</f>
        <v/>
      </c>
      <c r="BW80" s="19">
        <f>Time!BW35*Waterfall!BW58</f>
        <v/>
      </c>
      <c r="BX80" s="19">
        <f>Time!BX35*Waterfall!BX58</f>
        <v/>
      </c>
      <c r="BY80" s="19">
        <f>Time!BY35*Waterfall!BY58</f>
        <v/>
      </c>
      <c r="BZ80" s="19">
        <f>Time!BZ35*Waterfall!BZ58</f>
        <v/>
      </c>
      <c r="CA80" s="19">
        <f>Time!CA35*Waterfall!CA58</f>
        <v/>
      </c>
      <c r="CB80" s="19">
        <f>Time!CB35*Waterfall!CB58</f>
        <v/>
      </c>
      <c r="CC80" s="19">
        <f>Time!CC35*Waterfall!CC58</f>
        <v/>
      </c>
      <c r="CD80" s="19">
        <f>Time!CD35*Waterfall!CD58</f>
        <v/>
      </c>
      <c r="CE80" s="19">
        <f>Time!CE35*Waterfall!CE58</f>
        <v/>
      </c>
      <c r="CF80" s="19">
        <f>Time!CF35*Waterfall!CF58</f>
        <v/>
      </c>
      <c r="CG80" s="19">
        <f>Time!CG35*Waterfall!CG58</f>
        <v/>
      </c>
      <c r="CH80" s="19">
        <f>Time!CH35*Waterfall!CH58</f>
        <v/>
      </c>
      <c r="CI80" s="19">
        <f>Time!CI35*Waterfall!CI58</f>
        <v/>
      </c>
      <c r="CJ80" s="19">
        <f>Time!CJ35*Waterfall!CJ58</f>
        <v/>
      </c>
      <c r="CK80" s="19">
        <f>Time!CK35*Waterfall!CK58</f>
        <v/>
      </c>
      <c r="CL80" s="19">
        <f>Time!CL35*Waterfall!CL58</f>
        <v/>
      </c>
      <c r="CM80" s="19">
        <f>Time!CM35*Waterfall!CM58</f>
        <v/>
      </c>
      <c r="CN80" s="19">
        <f>Time!CN35*Waterfall!CN58</f>
        <v/>
      </c>
      <c r="CO80" s="19">
        <f>Time!CO35*Waterfall!CO58</f>
        <v/>
      </c>
      <c r="CP80" s="19">
        <f>Time!CP35*Waterfall!CP58</f>
        <v/>
      </c>
      <c r="CQ80" s="19">
        <f>Time!CQ35*Waterfall!CQ58</f>
        <v/>
      </c>
      <c r="CR80" s="19">
        <f>Time!CR35*Waterfall!CR58</f>
        <v/>
      </c>
      <c r="CS80" s="19">
        <f>Time!CS35*Waterfall!CS58</f>
        <v/>
      </c>
      <c r="CT80" s="19">
        <f>Time!CT35*Waterfall!CT58</f>
        <v/>
      </c>
      <c r="CU80" s="19">
        <f>Time!CU35*Waterfall!CU58</f>
        <v/>
      </c>
      <c r="CV80" s="19">
        <f>Time!CV35*Waterfall!CV58</f>
        <v/>
      </c>
      <c r="CW80" s="19">
        <f>Time!CW35*Waterfall!CW58</f>
        <v/>
      </c>
      <c r="CX80" s="19">
        <f>Time!CX35*Waterfall!CX58</f>
        <v/>
      </c>
      <c r="CY80" s="19">
        <f>Time!CY35*Waterfall!CY58</f>
        <v/>
      </c>
      <c r="CZ80" s="19">
        <f>Time!CZ35*Waterfall!CZ58</f>
        <v/>
      </c>
      <c r="DA80" s="19">
        <f>Time!DA35*Waterfall!DA58</f>
        <v/>
      </c>
      <c r="DB80" s="19">
        <f>Time!DB35*Waterfall!DB58</f>
        <v/>
      </c>
    </row>
    <row r="81">
      <c r="D81" t="inlineStr">
        <is>
          <t>Notes face value</t>
        </is>
      </c>
      <c r="E81" t="inlineStr">
        <is>
          <t>ARD m</t>
        </is>
      </c>
      <c r="F81" s="19">
        <f>SUM($J$77:$DB$77)</f>
        <v/>
      </c>
    </row>
    <row r="82">
      <c r="D82" s="3" t="inlineStr">
        <is>
          <t>Restructured notes sculpting (live in Scenario 5)</t>
        </is>
      </c>
    </row>
    <row r="83">
      <c r="D83" t="inlineStr">
        <is>
          <t>Discount factor at the notes rate</t>
        </is>
      </c>
      <c r="E83" t="inlineStr">
        <is>
          <t>factor</t>
        </is>
      </c>
      <c r="J83" s="27">
        <f>IF(Time!J37=1,IF(Time!I37=1,I83,1)/(1+J10),0)</f>
        <v/>
      </c>
      <c r="K83" s="27">
        <f>IF(Time!K37=1,IF(Time!J37=1,J83,1)/(1+K10),0)</f>
        <v/>
      </c>
      <c r="L83" s="27">
        <f>IF(Time!L37=1,IF(Time!K37=1,K83,1)/(1+L10),0)</f>
        <v/>
      </c>
      <c r="M83" s="27">
        <f>IF(Time!M37=1,IF(Time!L37=1,L83,1)/(1+M10),0)</f>
        <v/>
      </c>
      <c r="N83" s="27">
        <f>IF(Time!N37=1,IF(Time!M37=1,M83,1)/(1+N10),0)</f>
        <v/>
      </c>
      <c r="O83" s="27">
        <f>IF(Time!O37=1,IF(Time!N37=1,N83,1)/(1+O10),0)</f>
        <v/>
      </c>
      <c r="P83" s="27">
        <f>IF(Time!P37=1,IF(Time!O37=1,O83,1)/(1+P10),0)</f>
        <v/>
      </c>
      <c r="Q83" s="27">
        <f>IF(Time!Q37=1,IF(Time!P37=1,P83,1)/(1+Q10),0)</f>
        <v/>
      </c>
      <c r="R83" s="27">
        <f>IF(Time!R37=1,IF(Time!Q37=1,Q83,1)/(1+R10),0)</f>
        <v/>
      </c>
      <c r="S83" s="27">
        <f>IF(Time!S37=1,IF(Time!R37=1,R83,1)/(1+S10),0)</f>
        <v/>
      </c>
      <c r="T83" s="27">
        <f>IF(Time!T37=1,IF(Time!S37=1,S83,1)/(1+T10),0)</f>
        <v/>
      </c>
      <c r="U83" s="27">
        <f>IF(Time!U37=1,IF(Time!T37=1,T83,1)/(1+U10),0)</f>
        <v/>
      </c>
      <c r="V83" s="27">
        <f>IF(Time!V37=1,IF(Time!U37=1,U83,1)/(1+V10),0)</f>
        <v/>
      </c>
      <c r="W83" s="27">
        <f>IF(Time!W37=1,IF(Time!V37=1,V83,1)/(1+W10),0)</f>
        <v/>
      </c>
      <c r="X83" s="27">
        <f>IF(Time!X37=1,IF(Time!W37=1,W83,1)/(1+X10),0)</f>
        <v/>
      </c>
      <c r="Y83" s="27">
        <f>IF(Time!Y37=1,IF(Time!X37=1,X83,1)/(1+Y10),0)</f>
        <v/>
      </c>
      <c r="Z83" s="27">
        <f>IF(Time!Z37=1,IF(Time!Y37=1,Y83,1)/(1+Z10),0)</f>
        <v/>
      </c>
      <c r="AA83" s="27">
        <f>IF(Time!AA37=1,IF(Time!Z37=1,Z83,1)/(1+AA10),0)</f>
        <v/>
      </c>
      <c r="AB83" s="27">
        <f>IF(Time!AB37=1,IF(Time!AA37=1,AA83,1)/(1+AB10),0)</f>
        <v/>
      </c>
      <c r="AC83" s="27">
        <f>IF(Time!AC37=1,IF(Time!AB37=1,AB83,1)/(1+AC10),0)</f>
        <v/>
      </c>
      <c r="AD83" s="27">
        <f>IF(Time!AD37=1,IF(Time!AC37=1,AC83,1)/(1+AD10),0)</f>
        <v/>
      </c>
      <c r="AE83" s="27">
        <f>IF(Time!AE37=1,IF(Time!AD37=1,AD83,1)/(1+AE10),0)</f>
        <v/>
      </c>
      <c r="AF83" s="27">
        <f>IF(Time!AF37=1,IF(Time!AE37=1,AE83,1)/(1+AF10),0)</f>
        <v/>
      </c>
      <c r="AG83" s="27">
        <f>IF(Time!AG37=1,IF(Time!AF37=1,AF83,1)/(1+AG10),0)</f>
        <v/>
      </c>
      <c r="AH83" s="27">
        <f>IF(Time!AH37=1,IF(Time!AG37=1,AG83,1)/(1+AH10),0)</f>
        <v/>
      </c>
      <c r="AI83" s="27">
        <f>IF(Time!AI37=1,IF(Time!AH37=1,AH83,1)/(1+AI10),0)</f>
        <v/>
      </c>
      <c r="AJ83" s="27">
        <f>IF(Time!AJ37=1,IF(Time!AI37=1,AI83,1)/(1+AJ10),0)</f>
        <v/>
      </c>
      <c r="AK83" s="27">
        <f>IF(Time!AK37=1,IF(Time!AJ37=1,AJ83,1)/(1+AK10),0)</f>
        <v/>
      </c>
      <c r="AL83" s="27">
        <f>IF(Time!AL37=1,IF(Time!AK37=1,AK83,1)/(1+AL10),0)</f>
        <v/>
      </c>
      <c r="AM83" s="27">
        <f>IF(Time!AM37=1,IF(Time!AL37=1,AL83,1)/(1+AM10),0)</f>
        <v/>
      </c>
      <c r="AN83" s="27">
        <f>IF(Time!AN37=1,IF(Time!AM37=1,AM83,1)/(1+AN10),0)</f>
        <v/>
      </c>
      <c r="AO83" s="27">
        <f>IF(Time!AO37=1,IF(Time!AN37=1,AN83,1)/(1+AO10),0)</f>
        <v/>
      </c>
      <c r="AP83" s="27">
        <f>IF(Time!AP37=1,IF(Time!AO37=1,AO83,1)/(1+AP10),0)</f>
        <v/>
      </c>
      <c r="AQ83" s="27">
        <f>IF(Time!AQ37=1,IF(Time!AP37=1,AP83,1)/(1+AQ10),0)</f>
        <v/>
      </c>
      <c r="AR83" s="27">
        <f>IF(Time!AR37=1,IF(Time!AQ37=1,AQ83,1)/(1+AR10),0)</f>
        <v/>
      </c>
      <c r="AS83" s="27">
        <f>IF(Time!AS37=1,IF(Time!AR37=1,AR83,1)/(1+AS10),0)</f>
        <v/>
      </c>
      <c r="AT83" s="27">
        <f>IF(Time!AT37=1,IF(Time!AS37=1,AS83,1)/(1+AT10),0)</f>
        <v/>
      </c>
      <c r="AU83" s="27">
        <f>IF(Time!AU37=1,IF(Time!AT37=1,AT83,1)/(1+AU10),0)</f>
        <v/>
      </c>
      <c r="AV83" s="27">
        <f>IF(Time!AV37=1,IF(Time!AU37=1,AU83,1)/(1+AV10),0)</f>
        <v/>
      </c>
      <c r="AW83" s="27">
        <f>IF(Time!AW37=1,IF(Time!AV37=1,AV83,1)/(1+AW10),0)</f>
        <v/>
      </c>
      <c r="AX83" s="27">
        <f>IF(Time!AX37=1,IF(Time!AW37=1,AW83,1)/(1+AX10),0)</f>
        <v/>
      </c>
      <c r="AY83" s="27">
        <f>IF(Time!AY37=1,IF(Time!AX37=1,AX83,1)/(1+AY10),0)</f>
        <v/>
      </c>
      <c r="AZ83" s="27">
        <f>IF(Time!AZ37=1,IF(Time!AY37=1,AY83,1)/(1+AZ10),0)</f>
        <v/>
      </c>
      <c r="BA83" s="27">
        <f>IF(Time!BA37=1,IF(Time!AZ37=1,AZ83,1)/(1+BA10),0)</f>
        <v/>
      </c>
      <c r="BB83" s="27">
        <f>IF(Time!BB37=1,IF(Time!BA37=1,BA83,1)/(1+BB10),0)</f>
        <v/>
      </c>
      <c r="BC83" s="27">
        <f>IF(Time!BC37=1,IF(Time!BB37=1,BB83,1)/(1+BC10),0)</f>
        <v/>
      </c>
      <c r="BD83" s="27">
        <f>IF(Time!BD37=1,IF(Time!BC37=1,BC83,1)/(1+BD10),0)</f>
        <v/>
      </c>
      <c r="BE83" s="27">
        <f>IF(Time!BE37=1,IF(Time!BD37=1,BD83,1)/(1+BE10),0)</f>
        <v/>
      </c>
      <c r="BF83" s="27">
        <f>IF(Time!BF37=1,IF(Time!BE37=1,BE83,1)/(1+BF10),0)</f>
        <v/>
      </c>
      <c r="BG83" s="27">
        <f>IF(Time!BG37=1,IF(Time!BF37=1,BF83,1)/(1+BG10),0)</f>
        <v/>
      </c>
      <c r="BH83" s="27">
        <f>IF(Time!BH37=1,IF(Time!BG37=1,BG83,1)/(1+BH10),0)</f>
        <v/>
      </c>
      <c r="BI83" s="27">
        <f>IF(Time!BI37=1,IF(Time!BH37=1,BH83,1)/(1+BI10),0)</f>
        <v/>
      </c>
      <c r="BJ83" s="27">
        <f>IF(Time!BJ37=1,IF(Time!BI37=1,BI83,1)/(1+BJ10),0)</f>
        <v/>
      </c>
      <c r="BK83" s="27">
        <f>IF(Time!BK37=1,IF(Time!BJ37=1,BJ83,1)/(1+BK10),0)</f>
        <v/>
      </c>
      <c r="BL83" s="27">
        <f>IF(Time!BL37=1,IF(Time!BK37=1,BK83,1)/(1+BL10),0)</f>
        <v/>
      </c>
      <c r="BM83" s="27">
        <f>IF(Time!BM37=1,IF(Time!BL37=1,BL83,1)/(1+BM10),0)</f>
        <v/>
      </c>
      <c r="BN83" s="27">
        <f>IF(Time!BN37=1,IF(Time!BM37=1,BM83,1)/(1+BN10),0)</f>
        <v/>
      </c>
      <c r="BO83" s="27">
        <f>IF(Time!BO37=1,IF(Time!BN37=1,BN83,1)/(1+BO10),0)</f>
        <v/>
      </c>
      <c r="BP83" s="27">
        <f>IF(Time!BP37=1,IF(Time!BO37=1,BO83,1)/(1+BP10),0)</f>
        <v/>
      </c>
      <c r="BQ83" s="27">
        <f>IF(Time!BQ37=1,IF(Time!BP37=1,BP83,1)/(1+BQ10),0)</f>
        <v/>
      </c>
      <c r="BR83" s="27">
        <f>IF(Time!BR37=1,IF(Time!BQ37=1,BQ83,1)/(1+BR10),0)</f>
        <v/>
      </c>
      <c r="BS83" s="27">
        <f>IF(Time!BS37=1,IF(Time!BR37=1,BR83,1)/(1+BS10),0)</f>
        <v/>
      </c>
      <c r="BT83" s="27">
        <f>IF(Time!BT37=1,IF(Time!BS37=1,BS83,1)/(1+BT10),0)</f>
        <v/>
      </c>
      <c r="BU83" s="27">
        <f>IF(Time!BU37=1,IF(Time!BT37=1,BT83,1)/(1+BU10),0)</f>
        <v/>
      </c>
      <c r="BV83" s="27">
        <f>IF(Time!BV37=1,IF(Time!BU37=1,BU83,1)/(1+BV10),0)</f>
        <v/>
      </c>
      <c r="BW83" s="27">
        <f>IF(Time!BW37=1,IF(Time!BV37=1,BV83,1)/(1+BW10),0)</f>
        <v/>
      </c>
      <c r="BX83" s="27">
        <f>IF(Time!BX37=1,IF(Time!BW37=1,BW83,1)/(1+BX10),0)</f>
        <v/>
      </c>
      <c r="BY83" s="27">
        <f>IF(Time!BY37=1,IF(Time!BX37=1,BX83,1)/(1+BY10),0)</f>
        <v/>
      </c>
      <c r="BZ83" s="27">
        <f>IF(Time!BZ37=1,IF(Time!BY37=1,BY83,1)/(1+BZ10),0)</f>
        <v/>
      </c>
      <c r="CA83" s="27">
        <f>IF(Time!CA37=1,IF(Time!BZ37=1,BZ83,1)/(1+CA10),0)</f>
        <v/>
      </c>
      <c r="CB83" s="27">
        <f>IF(Time!CB37=1,IF(Time!CA37=1,CA83,1)/(1+CB10),0)</f>
        <v/>
      </c>
      <c r="CC83" s="27">
        <f>IF(Time!CC37=1,IF(Time!CB37=1,CB83,1)/(1+CC10),0)</f>
        <v/>
      </c>
      <c r="CD83" s="27">
        <f>IF(Time!CD37=1,IF(Time!CC37=1,CC83,1)/(1+CD10),0)</f>
        <v/>
      </c>
      <c r="CE83" s="27">
        <f>IF(Time!CE37=1,IF(Time!CD37=1,CD83,1)/(1+CE10),0)</f>
        <v/>
      </c>
      <c r="CF83" s="27">
        <f>IF(Time!CF37=1,IF(Time!CE37=1,CE83,1)/(1+CF10),0)</f>
        <v/>
      </c>
      <c r="CG83" s="27">
        <f>IF(Time!CG37=1,IF(Time!CF37=1,CF83,1)/(1+CG10),0)</f>
        <v/>
      </c>
      <c r="CH83" s="27">
        <f>IF(Time!CH37=1,IF(Time!CG37=1,CG83,1)/(1+CH10),0)</f>
        <v/>
      </c>
      <c r="CI83" s="27">
        <f>IF(Time!CI37=1,IF(Time!CH37=1,CH83,1)/(1+CI10),0)</f>
        <v/>
      </c>
      <c r="CJ83" s="27">
        <f>IF(Time!CJ37=1,IF(Time!CI37=1,CI83,1)/(1+CJ10),0)</f>
        <v/>
      </c>
      <c r="CK83" s="27">
        <f>IF(Time!CK37=1,IF(Time!CJ37=1,CJ83,1)/(1+CK10),0)</f>
        <v/>
      </c>
      <c r="CL83" s="27">
        <f>IF(Time!CL37=1,IF(Time!CK37=1,CK83,1)/(1+CL10),0)</f>
        <v/>
      </c>
      <c r="CM83" s="27">
        <f>IF(Time!CM37=1,IF(Time!CL37=1,CL83,1)/(1+CM10),0)</f>
        <v/>
      </c>
      <c r="CN83" s="27">
        <f>IF(Time!CN37=1,IF(Time!CM37=1,CM83,1)/(1+CN10),0)</f>
        <v/>
      </c>
      <c r="CO83" s="27">
        <f>IF(Time!CO37=1,IF(Time!CN37=1,CN83,1)/(1+CO10),0)</f>
        <v/>
      </c>
      <c r="CP83" s="27">
        <f>IF(Time!CP37=1,IF(Time!CO37=1,CO83,1)/(1+CP10),0)</f>
        <v/>
      </c>
      <c r="CQ83" s="27">
        <f>IF(Time!CQ37=1,IF(Time!CP37=1,CP83,1)/(1+CQ10),0)</f>
        <v/>
      </c>
      <c r="CR83" s="27">
        <f>IF(Time!CR37=1,IF(Time!CQ37=1,CQ83,1)/(1+CR10),0)</f>
        <v/>
      </c>
      <c r="CS83" s="27">
        <f>IF(Time!CS37=1,IF(Time!CR37=1,CR83,1)/(1+CS10),0)</f>
        <v/>
      </c>
      <c r="CT83" s="27">
        <f>IF(Time!CT37=1,IF(Time!CS37=1,CS83,1)/(1+CT10),0)</f>
        <v/>
      </c>
      <c r="CU83" s="27">
        <f>IF(Time!CU37=1,IF(Time!CT37=1,CT83,1)/(1+CU10),0)</f>
        <v/>
      </c>
      <c r="CV83" s="27">
        <f>IF(Time!CV37=1,IF(Time!CU37=1,CU83,1)/(1+CV10),0)</f>
        <v/>
      </c>
      <c r="CW83" s="27">
        <f>IF(Time!CW37=1,IF(Time!CV37=1,CV83,1)/(1+CW10),0)</f>
        <v/>
      </c>
      <c r="CX83" s="27">
        <f>IF(Time!CX37=1,IF(Time!CW37=1,CW83,1)/(1+CX10),0)</f>
        <v/>
      </c>
      <c r="CY83" s="27">
        <f>IF(Time!CY37=1,IF(Time!CX37=1,CX83,1)/(1+CY10),0)</f>
        <v/>
      </c>
      <c r="CZ83" s="27">
        <f>IF(Time!CZ37=1,IF(Time!CY37=1,CY83,1)/(1+CZ10),0)</f>
        <v/>
      </c>
      <c r="DA83" s="27">
        <f>IF(Time!DA37=1,IF(Time!CZ37=1,CZ83,1)/(1+DA10),0)</f>
        <v/>
      </c>
      <c r="DB83" s="27">
        <f>IF(Time!DB37=1,IF(Time!DA37=1,DA83,1)/(1+DB10),0)</f>
        <v/>
      </c>
    </row>
    <row r="84">
      <c r="D84" t="inlineStr">
        <is>
          <t>Scheduled notes balance: opening</t>
        </is>
      </c>
      <c r="E84" t="inlineStr">
        <is>
          <t>ARD m</t>
        </is>
      </c>
      <c r="J84" s="19">
        <f>IF(Time!J36=1,$F$81,I89)</f>
        <v/>
      </c>
      <c r="K84" s="19">
        <f>IF(Time!K36=1,$F$81,J89)</f>
        <v/>
      </c>
      <c r="L84" s="19">
        <f>IF(Time!L36=1,$F$81,K89)</f>
        <v/>
      </c>
      <c r="M84" s="19">
        <f>IF(Time!M36=1,$F$81,L89)</f>
        <v/>
      </c>
      <c r="N84" s="19">
        <f>IF(Time!N36=1,$F$81,M89)</f>
        <v/>
      </c>
      <c r="O84" s="19">
        <f>IF(Time!O36=1,$F$81,N89)</f>
        <v/>
      </c>
      <c r="P84" s="19">
        <f>IF(Time!P36=1,$F$81,O89)</f>
        <v/>
      </c>
      <c r="Q84" s="19">
        <f>IF(Time!Q36=1,$F$81,P89)</f>
        <v/>
      </c>
      <c r="R84" s="19">
        <f>IF(Time!R36=1,$F$81,Q89)</f>
        <v/>
      </c>
      <c r="S84" s="19">
        <f>IF(Time!S36=1,$F$81,R89)</f>
        <v/>
      </c>
      <c r="T84" s="19">
        <f>IF(Time!T36=1,$F$81,S89)</f>
        <v/>
      </c>
      <c r="U84" s="19">
        <f>IF(Time!U36=1,$F$81,T89)</f>
        <v/>
      </c>
      <c r="V84" s="19">
        <f>IF(Time!V36=1,$F$81,U89)</f>
        <v/>
      </c>
      <c r="W84" s="19">
        <f>IF(Time!W36=1,$F$81,V89)</f>
        <v/>
      </c>
      <c r="X84" s="19">
        <f>IF(Time!X36=1,$F$81,W89)</f>
        <v/>
      </c>
      <c r="Y84" s="19">
        <f>IF(Time!Y36=1,$F$81,X89)</f>
        <v/>
      </c>
      <c r="Z84" s="19">
        <f>IF(Time!Z36=1,$F$81,Y89)</f>
        <v/>
      </c>
      <c r="AA84" s="19">
        <f>IF(Time!AA36=1,$F$81,Z89)</f>
        <v/>
      </c>
      <c r="AB84" s="19">
        <f>IF(Time!AB36=1,$F$81,AA89)</f>
        <v/>
      </c>
      <c r="AC84" s="19">
        <f>IF(Time!AC36=1,$F$81,AB89)</f>
        <v/>
      </c>
      <c r="AD84" s="19">
        <f>IF(Time!AD36=1,$F$81,AC89)</f>
        <v/>
      </c>
      <c r="AE84" s="19">
        <f>IF(Time!AE36=1,$F$81,AD89)</f>
        <v/>
      </c>
      <c r="AF84" s="19">
        <f>IF(Time!AF36=1,$F$81,AE89)</f>
        <v/>
      </c>
      <c r="AG84" s="19">
        <f>IF(Time!AG36=1,$F$81,AF89)</f>
        <v/>
      </c>
      <c r="AH84" s="19">
        <f>IF(Time!AH36=1,$F$81,AG89)</f>
        <v/>
      </c>
      <c r="AI84" s="19">
        <f>IF(Time!AI36=1,$F$81,AH89)</f>
        <v/>
      </c>
      <c r="AJ84" s="19">
        <f>IF(Time!AJ36=1,$F$81,AI89)</f>
        <v/>
      </c>
      <c r="AK84" s="19">
        <f>IF(Time!AK36=1,$F$81,AJ89)</f>
        <v/>
      </c>
      <c r="AL84" s="19">
        <f>IF(Time!AL36=1,$F$81,AK89)</f>
        <v/>
      </c>
      <c r="AM84" s="19">
        <f>IF(Time!AM36=1,$F$81,AL89)</f>
        <v/>
      </c>
      <c r="AN84" s="19">
        <f>IF(Time!AN36=1,$F$81,AM89)</f>
        <v/>
      </c>
      <c r="AO84" s="19">
        <f>IF(Time!AO36=1,$F$81,AN89)</f>
        <v/>
      </c>
      <c r="AP84" s="19">
        <f>IF(Time!AP36=1,$F$81,AO89)</f>
        <v/>
      </c>
      <c r="AQ84" s="19">
        <f>IF(Time!AQ36=1,$F$81,AP89)</f>
        <v/>
      </c>
      <c r="AR84" s="19">
        <f>IF(Time!AR36=1,$F$81,AQ89)</f>
        <v/>
      </c>
      <c r="AS84" s="19">
        <f>IF(Time!AS36=1,$F$81,AR89)</f>
        <v/>
      </c>
      <c r="AT84" s="19">
        <f>IF(Time!AT36=1,$F$81,AS89)</f>
        <v/>
      </c>
      <c r="AU84" s="19">
        <f>IF(Time!AU36=1,$F$81,AT89)</f>
        <v/>
      </c>
      <c r="AV84" s="19">
        <f>IF(Time!AV36=1,$F$81,AU89)</f>
        <v/>
      </c>
      <c r="AW84" s="19">
        <f>IF(Time!AW36=1,$F$81,AV89)</f>
        <v/>
      </c>
      <c r="AX84" s="19">
        <f>IF(Time!AX36=1,$F$81,AW89)</f>
        <v/>
      </c>
      <c r="AY84" s="19">
        <f>IF(Time!AY36=1,$F$81,AX89)</f>
        <v/>
      </c>
      <c r="AZ84" s="19">
        <f>IF(Time!AZ36=1,$F$81,AY89)</f>
        <v/>
      </c>
      <c r="BA84" s="19">
        <f>IF(Time!BA36=1,$F$81,AZ89)</f>
        <v/>
      </c>
      <c r="BB84" s="19">
        <f>IF(Time!BB36=1,$F$81,BA89)</f>
        <v/>
      </c>
      <c r="BC84" s="19">
        <f>IF(Time!BC36=1,$F$81,BB89)</f>
        <v/>
      </c>
      <c r="BD84" s="19">
        <f>IF(Time!BD36=1,$F$81,BC89)</f>
        <v/>
      </c>
      <c r="BE84" s="19">
        <f>IF(Time!BE36=1,$F$81,BD89)</f>
        <v/>
      </c>
      <c r="BF84" s="19">
        <f>IF(Time!BF36=1,$F$81,BE89)</f>
        <v/>
      </c>
      <c r="BG84" s="19">
        <f>IF(Time!BG36=1,$F$81,BF89)</f>
        <v/>
      </c>
      <c r="BH84" s="19">
        <f>IF(Time!BH36=1,$F$81,BG89)</f>
        <v/>
      </c>
      <c r="BI84" s="19">
        <f>IF(Time!BI36=1,$F$81,BH89)</f>
        <v/>
      </c>
      <c r="BJ84" s="19">
        <f>IF(Time!BJ36=1,$F$81,BI89)</f>
        <v/>
      </c>
      <c r="BK84" s="19">
        <f>IF(Time!BK36=1,$F$81,BJ89)</f>
        <v/>
      </c>
      <c r="BL84" s="19">
        <f>IF(Time!BL36=1,$F$81,BK89)</f>
        <v/>
      </c>
      <c r="BM84" s="19">
        <f>IF(Time!BM36=1,$F$81,BL89)</f>
        <v/>
      </c>
      <c r="BN84" s="19">
        <f>IF(Time!BN36=1,$F$81,BM89)</f>
        <v/>
      </c>
      <c r="BO84" s="19">
        <f>IF(Time!BO36=1,$F$81,BN89)</f>
        <v/>
      </c>
      <c r="BP84" s="19">
        <f>IF(Time!BP36=1,$F$81,BO89)</f>
        <v/>
      </c>
      <c r="BQ84" s="19">
        <f>IF(Time!BQ36=1,$F$81,BP89)</f>
        <v/>
      </c>
      <c r="BR84" s="19">
        <f>IF(Time!BR36=1,$F$81,BQ89)</f>
        <v/>
      </c>
      <c r="BS84" s="19">
        <f>IF(Time!BS36=1,$F$81,BR89)</f>
        <v/>
      </c>
      <c r="BT84" s="19">
        <f>IF(Time!BT36=1,$F$81,BS89)</f>
        <v/>
      </c>
      <c r="BU84" s="19">
        <f>IF(Time!BU36=1,$F$81,BT89)</f>
        <v/>
      </c>
      <c r="BV84" s="19">
        <f>IF(Time!BV36=1,$F$81,BU89)</f>
        <v/>
      </c>
      <c r="BW84" s="19">
        <f>IF(Time!BW36=1,$F$81,BV89)</f>
        <v/>
      </c>
      <c r="BX84" s="19">
        <f>IF(Time!BX36=1,$F$81,BW89)</f>
        <v/>
      </c>
      <c r="BY84" s="19">
        <f>IF(Time!BY36=1,$F$81,BX89)</f>
        <v/>
      </c>
      <c r="BZ84" s="19">
        <f>IF(Time!BZ36=1,$F$81,BY89)</f>
        <v/>
      </c>
      <c r="CA84" s="19">
        <f>IF(Time!CA36=1,$F$81,BZ89)</f>
        <v/>
      </c>
      <c r="CB84" s="19">
        <f>IF(Time!CB36=1,$F$81,CA89)</f>
        <v/>
      </c>
      <c r="CC84" s="19">
        <f>IF(Time!CC36=1,$F$81,CB89)</f>
        <v/>
      </c>
      <c r="CD84" s="19">
        <f>IF(Time!CD36=1,$F$81,CC89)</f>
        <v/>
      </c>
      <c r="CE84" s="19">
        <f>IF(Time!CE36=1,$F$81,CD89)</f>
        <v/>
      </c>
      <c r="CF84" s="19">
        <f>IF(Time!CF36=1,$F$81,CE89)</f>
        <v/>
      </c>
      <c r="CG84" s="19">
        <f>IF(Time!CG36=1,$F$81,CF89)</f>
        <v/>
      </c>
      <c r="CH84" s="19">
        <f>IF(Time!CH36=1,$F$81,CG89)</f>
        <v/>
      </c>
      <c r="CI84" s="19">
        <f>IF(Time!CI36=1,$F$81,CH89)</f>
        <v/>
      </c>
      <c r="CJ84" s="19">
        <f>IF(Time!CJ36=1,$F$81,CI89)</f>
        <v/>
      </c>
      <c r="CK84" s="19">
        <f>IF(Time!CK36=1,$F$81,CJ89)</f>
        <v/>
      </c>
      <c r="CL84" s="19">
        <f>IF(Time!CL36=1,$F$81,CK89)</f>
        <v/>
      </c>
      <c r="CM84" s="19">
        <f>IF(Time!CM36=1,$F$81,CL89)</f>
        <v/>
      </c>
      <c r="CN84" s="19">
        <f>IF(Time!CN36=1,$F$81,CM89)</f>
        <v/>
      </c>
      <c r="CO84" s="19">
        <f>IF(Time!CO36=1,$F$81,CN89)</f>
        <v/>
      </c>
      <c r="CP84" s="19">
        <f>IF(Time!CP36=1,$F$81,CO89)</f>
        <v/>
      </c>
      <c r="CQ84" s="19">
        <f>IF(Time!CQ36=1,$F$81,CP89)</f>
        <v/>
      </c>
      <c r="CR84" s="19">
        <f>IF(Time!CR36=1,$F$81,CQ89)</f>
        <v/>
      </c>
      <c r="CS84" s="19">
        <f>IF(Time!CS36=1,$F$81,CR89)</f>
        <v/>
      </c>
      <c r="CT84" s="19">
        <f>IF(Time!CT36=1,$F$81,CS89)</f>
        <v/>
      </c>
      <c r="CU84" s="19">
        <f>IF(Time!CU36=1,$F$81,CT89)</f>
        <v/>
      </c>
      <c r="CV84" s="19">
        <f>IF(Time!CV36=1,$F$81,CU89)</f>
        <v/>
      </c>
      <c r="CW84" s="19">
        <f>IF(Time!CW36=1,$F$81,CV89)</f>
        <v/>
      </c>
      <c r="CX84" s="19">
        <f>IF(Time!CX36=1,$F$81,CW89)</f>
        <v/>
      </c>
      <c r="CY84" s="19">
        <f>IF(Time!CY36=1,$F$81,CX89)</f>
        <v/>
      </c>
      <c r="CZ84" s="19">
        <f>IF(Time!CZ36=1,$F$81,CY89)</f>
        <v/>
      </c>
      <c r="DA84" s="19">
        <f>IF(Time!DA36=1,$F$81,CZ89)</f>
        <v/>
      </c>
      <c r="DB84" s="19">
        <f>IF(Time!DB36=1,$F$81,DA89)</f>
        <v/>
      </c>
    </row>
    <row r="85">
      <c r="D85" t="inlineStr">
        <is>
          <t>Scheduled notes interest</t>
        </is>
      </c>
      <c r="E85" t="inlineStr">
        <is>
          <t>ARD m</t>
        </is>
      </c>
      <c r="G85" s="19">
        <f>SUM(J85:DB85)</f>
        <v/>
      </c>
      <c r="J85" s="19">
        <f>J84*J10</f>
        <v/>
      </c>
      <c r="K85" s="19">
        <f>K84*K10</f>
        <v/>
      </c>
      <c r="L85" s="19">
        <f>L84*L10</f>
        <v/>
      </c>
      <c r="M85" s="19">
        <f>M84*M10</f>
        <v/>
      </c>
      <c r="N85" s="19">
        <f>N84*N10</f>
        <v/>
      </c>
      <c r="O85" s="19">
        <f>O84*O10</f>
        <v/>
      </c>
      <c r="P85" s="19">
        <f>P84*P10</f>
        <v/>
      </c>
      <c r="Q85" s="19">
        <f>Q84*Q10</f>
        <v/>
      </c>
      <c r="R85" s="19">
        <f>R84*R10</f>
        <v/>
      </c>
      <c r="S85" s="19">
        <f>S84*S10</f>
        <v/>
      </c>
      <c r="T85" s="19">
        <f>T84*T10</f>
        <v/>
      </c>
      <c r="U85" s="19">
        <f>U84*U10</f>
        <v/>
      </c>
      <c r="V85" s="19">
        <f>V84*V10</f>
        <v/>
      </c>
      <c r="W85" s="19">
        <f>W84*W10</f>
        <v/>
      </c>
      <c r="X85" s="19">
        <f>X84*X10</f>
        <v/>
      </c>
      <c r="Y85" s="19">
        <f>Y84*Y10</f>
        <v/>
      </c>
      <c r="Z85" s="19">
        <f>Z84*Z10</f>
        <v/>
      </c>
      <c r="AA85" s="19">
        <f>AA84*AA10</f>
        <v/>
      </c>
      <c r="AB85" s="19">
        <f>AB84*AB10</f>
        <v/>
      </c>
      <c r="AC85" s="19">
        <f>AC84*AC10</f>
        <v/>
      </c>
      <c r="AD85" s="19">
        <f>AD84*AD10</f>
        <v/>
      </c>
      <c r="AE85" s="19">
        <f>AE84*AE10</f>
        <v/>
      </c>
      <c r="AF85" s="19">
        <f>AF84*AF10</f>
        <v/>
      </c>
      <c r="AG85" s="19">
        <f>AG84*AG10</f>
        <v/>
      </c>
      <c r="AH85" s="19">
        <f>AH84*AH10</f>
        <v/>
      </c>
      <c r="AI85" s="19">
        <f>AI84*AI10</f>
        <v/>
      </c>
      <c r="AJ85" s="19">
        <f>AJ84*AJ10</f>
        <v/>
      </c>
      <c r="AK85" s="19">
        <f>AK84*AK10</f>
        <v/>
      </c>
      <c r="AL85" s="19">
        <f>AL84*AL10</f>
        <v/>
      </c>
      <c r="AM85" s="19">
        <f>AM84*AM10</f>
        <v/>
      </c>
      <c r="AN85" s="19">
        <f>AN84*AN10</f>
        <v/>
      </c>
      <c r="AO85" s="19">
        <f>AO84*AO10</f>
        <v/>
      </c>
      <c r="AP85" s="19">
        <f>AP84*AP10</f>
        <v/>
      </c>
      <c r="AQ85" s="19">
        <f>AQ84*AQ10</f>
        <v/>
      </c>
      <c r="AR85" s="19">
        <f>AR84*AR10</f>
        <v/>
      </c>
      <c r="AS85" s="19">
        <f>AS84*AS10</f>
        <v/>
      </c>
      <c r="AT85" s="19">
        <f>AT84*AT10</f>
        <v/>
      </c>
      <c r="AU85" s="19">
        <f>AU84*AU10</f>
        <v/>
      </c>
      <c r="AV85" s="19">
        <f>AV84*AV10</f>
        <v/>
      </c>
      <c r="AW85" s="19">
        <f>AW84*AW10</f>
        <v/>
      </c>
      <c r="AX85" s="19">
        <f>AX84*AX10</f>
        <v/>
      </c>
      <c r="AY85" s="19">
        <f>AY84*AY10</f>
        <v/>
      </c>
      <c r="AZ85" s="19">
        <f>AZ84*AZ10</f>
        <v/>
      </c>
      <c r="BA85" s="19">
        <f>BA84*BA10</f>
        <v/>
      </c>
      <c r="BB85" s="19">
        <f>BB84*BB10</f>
        <v/>
      </c>
      <c r="BC85" s="19">
        <f>BC84*BC10</f>
        <v/>
      </c>
      <c r="BD85" s="19">
        <f>BD84*BD10</f>
        <v/>
      </c>
      <c r="BE85" s="19">
        <f>BE84*BE10</f>
        <v/>
      </c>
      <c r="BF85" s="19">
        <f>BF84*BF10</f>
        <v/>
      </c>
      <c r="BG85" s="19">
        <f>BG84*BG10</f>
        <v/>
      </c>
      <c r="BH85" s="19">
        <f>BH84*BH10</f>
        <v/>
      </c>
      <c r="BI85" s="19">
        <f>BI84*BI10</f>
        <v/>
      </c>
      <c r="BJ85" s="19">
        <f>BJ84*BJ10</f>
        <v/>
      </c>
      <c r="BK85" s="19">
        <f>BK84*BK10</f>
        <v/>
      </c>
      <c r="BL85" s="19">
        <f>BL84*BL10</f>
        <v/>
      </c>
      <c r="BM85" s="19">
        <f>BM84*BM10</f>
        <v/>
      </c>
      <c r="BN85" s="19">
        <f>BN84*BN10</f>
        <v/>
      </c>
      <c r="BO85" s="19">
        <f>BO84*BO10</f>
        <v/>
      </c>
      <c r="BP85" s="19">
        <f>BP84*BP10</f>
        <v/>
      </c>
      <c r="BQ85" s="19">
        <f>BQ84*BQ10</f>
        <v/>
      </c>
      <c r="BR85" s="19">
        <f>BR84*BR10</f>
        <v/>
      </c>
      <c r="BS85" s="19">
        <f>BS84*BS10</f>
        <v/>
      </c>
      <c r="BT85" s="19">
        <f>BT84*BT10</f>
        <v/>
      </c>
      <c r="BU85" s="19">
        <f>BU84*BU10</f>
        <v/>
      </c>
      <c r="BV85" s="19">
        <f>BV84*BV10</f>
        <v/>
      </c>
      <c r="BW85" s="19">
        <f>BW84*BW10</f>
        <v/>
      </c>
      <c r="BX85" s="19">
        <f>BX84*BX10</f>
        <v/>
      </c>
      <c r="BY85" s="19">
        <f>BY84*BY10</f>
        <v/>
      </c>
      <c r="BZ85" s="19">
        <f>BZ84*BZ10</f>
        <v/>
      </c>
      <c r="CA85" s="19">
        <f>CA84*CA10</f>
        <v/>
      </c>
      <c r="CB85" s="19">
        <f>CB84*CB10</f>
        <v/>
      </c>
      <c r="CC85" s="19">
        <f>CC84*CC10</f>
        <v/>
      </c>
      <c r="CD85" s="19">
        <f>CD84*CD10</f>
        <v/>
      </c>
      <c r="CE85" s="19">
        <f>CE84*CE10</f>
        <v/>
      </c>
      <c r="CF85" s="19">
        <f>CF84*CF10</f>
        <v/>
      </c>
      <c r="CG85" s="19">
        <f>CG84*CG10</f>
        <v/>
      </c>
      <c r="CH85" s="19">
        <f>CH84*CH10</f>
        <v/>
      </c>
      <c r="CI85" s="19">
        <f>CI84*CI10</f>
        <v/>
      </c>
      <c r="CJ85" s="19">
        <f>CJ84*CJ10</f>
        <v/>
      </c>
      <c r="CK85" s="19">
        <f>CK84*CK10</f>
        <v/>
      </c>
      <c r="CL85" s="19">
        <f>CL84*CL10</f>
        <v/>
      </c>
      <c r="CM85" s="19">
        <f>CM84*CM10</f>
        <v/>
      </c>
      <c r="CN85" s="19">
        <f>CN84*CN10</f>
        <v/>
      </c>
      <c r="CO85" s="19">
        <f>CO84*CO10</f>
        <v/>
      </c>
      <c r="CP85" s="19">
        <f>CP84*CP10</f>
        <v/>
      </c>
      <c r="CQ85" s="19">
        <f>CQ84*CQ10</f>
        <v/>
      </c>
      <c r="CR85" s="19">
        <f>CR84*CR10</f>
        <v/>
      </c>
      <c r="CS85" s="19">
        <f>CS84*CS10</f>
        <v/>
      </c>
      <c r="CT85" s="19">
        <f>CT84*CT10</f>
        <v/>
      </c>
      <c r="CU85" s="19">
        <f>CU84*CU10</f>
        <v/>
      </c>
      <c r="CV85" s="19">
        <f>CV84*CV10</f>
        <v/>
      </c>
      <c r="CW85" s="19">
        <f>CW84*CW10</f>
        <v/>
      </c>
      <c r="CX85" s="19">
        <f>CX84*CX10</f>
        <v/>
      </c>
      <c r="CY85" s="19">
        <f>CY84*CY10</f>
        <v/>
      </c>
      <c r="CZ85" s="19">
        <f>CZ84*CZ10</f>
        <v/>
      </c>
      <c r="DA85" s="19">
        <f>DA84*DA10</f>
        <v/>
      </c>
      <c r="DB85" s="19">
        <f>DB84*DB10</f>
        <v/>
      </c>
    </row>
    <row r="86">
      <c r="D86" t="inlineStr">
        <is>
          <t>Flag_InterestOnly (notes)</t>
        </is>
      </c>
      <c r="E86" t="inlineStr">
        <is>
          <t>flag</t>
        </is>
      </c>
      <c r="J86" s="14">
        <f>IF(AND(Time!J37=1,J85&gt;J13/$F$90),1,0)</f>
        <v/>
      </c>
      <c r="K86" s="14">
        <f>IF(AND(Time!K37=1,K85&gt;K13/$F$90),1,0)</f>
        <v/>
      </c>
      <c r="L86" s="14">
        <f>IF(AND(Time!L37=1,L85&gt;L13/$F$90),1,0)</f>
        <v/>
      </c>
      <c r="M86" s="14">
        <f>IF(AND(Time!M37=1,M85&gt;M13/$F$90),1,0)</f>
        <v/>
      </c>
      <c r="N86" s="14">
        <f>IF(AND(Time!N37=1,N85&gt;N13/$F$90),1,0)</f>
        <v/>
      </c>
      <c r="O86" s="14">
        <f>IF(AND(Time!O37=1,O85&gt;O13/$F$90),1,0)</f>
        <v/>
      </c>
      <c r="P86" s="14">
        <f>IF(AND(Time!P37=1,P85&gt;P13/$F$90),1,0)</f>
        <v/>
      </c>
      <c r="Q86" s="14">
        <f>IF(AND(Time!Q37=1,Q85&gt;Q13/$F$90),1,0)</f>
        <v/>
      </c>
      <c r="R86" s="14">
        <f>IF(AND(Time!R37=1,R85&gt;R13/$F$90),1,0)</f>
        <v/>
      </c>
      <c r="S86" s="14">
        <f>IF(AND(Time!S37=1,S85&gt;S13/$F$90),1,0)</f>
        <v/>
      </c>
      <c r="T86" s="14">
        <f>IF(AND(Time!T37=1,T85&gt;T13/$F$90),1,0)</f>
        <v/>
      </c>
      <c r="U86" s="14">
        <f>IF(AND(Time!U37=1,U85&gt;U13/$F$90),1,0)</f>
        <v/>
      </c>
      <c r="V86" s="14">
        <f>IF(AND(Time!V37=1,V85&gt;V13/$F$90),1,0)</f>
        <v/>
      </c>
      <c r="W86" s="14">
        <f>IF(AND(Time!W37=1,W85&gt;W13/$F$90),1,0)</f>
        <v/>
      </c>
      <c r="X86" s="14">
        <f>IF(AND(Time!X37=1,X85&gt;X13/$F$90),1,0)</f>
        <v/>
      </c>
      <c r="Y86" s="14">
        <f>IF(AND(Time!Y37=1,Y85&gt;Y13/$F$90),1,0)</f>
        <v/>
      </c>
      <c r="Z86" s="14">
        <f>IF(AND(Time!Z37=1,Z85&gt;Z13/$F$90),1,0)</f>
        <v/>
      </c>
      <c r="AA86" s="14">
        <f>IF(AND(Time!AA37=1,AA85&gt;AA13/$F$90),1,0)</f>
        <v/>
      </c>
      <c r="AB86" s="14">
        <f>IF(AND(Time!AB37=1,AB85&gt;AB13/$F$90),1,0)</f>
        <v/>
      </c>
      <c r="AC86" s="14">
        <f>IF(AND(Time!AC37=1,AC85&gt;AC13/$F$90),1,0)</f>
        <v/>
      </c>
      <c r="AD86" s="14">
        <f>IF(AND(Time!AD37=1,AD85&gt;AD13/$F$90),1,0)</f>
        <v/>
      </c>
      <c r="AE86" s="14">
        <f>IF(AND(Time!AE37=1,AE85&gt;AE13/$F$90),1,0)</f>
        <v/>
      </c>
      <c r="AF86" s="14">
        <f>IF(AND(Time!AF37=1,AF85&gt;AF13/$F$90),1,0)</f>
        <v/>
      </c>
      <c r="AG86" s="14">
        <f>IF(AND(Time!AG37=1,AG85&gt;AG13/$F$90),1,0)</f>
        <v/>
      </c>
      <c r="AH86" s="14">
        <f>IF(AND(Time!AH37=1,AH85&gt;AH13/$F$90),1,0)</f>
        <v/>
      </c>
      <c r="AI86" s="14">
        <f>IF(AND(Time!AI37=1,AI85&gt;AI13/$F$90),1,0)</f>
        <v/>
      </c>
      <c r="AJ86" s="14">
        <f>IF(AND(Time!AJ37=1,AJ85&gt;AJ13/$F$90),1,0)</f>
        <v/>
      </c>
      <c r="AK86" s="14">
        <f>IF(AND(Time!AK37=1,AK85&gt;AK13/$F$90),1,0)</f>
        <v/>
      </c>
      <c r="AL86" s="14">
        <f>IF(AND(Time!AL37=1,AL85&gt;AL13/$F$90),1,0)</f>
        <v/>
      </c>
      <c r="AM86" s="14">
        <f>IF(AND(Time!AM37=1,AM85&gt;AM13/$F$90),1,0)</f>
        <v/>
      </c>
      <c r="AN86" s="14">
        <f>IF(AND(Time!AN37=1,AN85&gt;AN13/$F$90),1,0)</f>
        <v/>
      </c>
      <c r="AO86" s="14">
        <f>IF(AND(Time!AO37=1,AO85&gt;AO13/$F$90),1,0)</f>
        <v/>
      </c>
      <c r="AP86" s="14">
        <f>IF(AND(Time!AP37=1,AP85&gt;AP13/$F$90),1,0)</f>
        <v/>
      </c>
      <c r="AQ86" s="14">
        <f>IF(AND(Time!AQ37=1,AQ85&gt;AQ13/$F$90),1,0)</f>
        <v/>
      </c>
      <c r="AR86" s="14">
        <f>IF(AND(Time!AR37=1,AR85&gt;AR13/$F$90),1,0)</f>
        <v/>
      </c>
      <c r="AS86" s="14">
        <f>IF(AND(Time!AS37=1,AS85&gt;AS13/$F$90),1,0)</f>
        <v/>
      </c>
      <c r="AT86" s="14">
        <f>IF(AND(Time!AT37=1,AT85&gt;AT13/$F$90),1,0)</f>
        <v/>
      </c>
      <c r="AU86" s="14">
        <f>IF(AND(Time!AU37=1,AU85&gt;AU13/$F$90),1,0)</f>
        <v/>
      </c>
      <c r="AV86" s="14">
        <f>IF(AND(Time!AV37=1,AV85&gt;AV13/$F$90),1,0)</f>
        <v/>
      </c>
      <c r="AW86" s="14">
        <f>IF(AND(Time!AW37=1,AW85&gt;AW13/$F$90),1,0)</f>
        <v/>
      </c>
      <c r="AX86" s="14">
        <f>IF(AND(Time!AX37=1,AX85&gt;AX13/$F$90),1,0)</f>
        <v/>
      </c>
      <c r="AY86" s="14">
        <f>IF(AND(Time!AY37=1,AY85&gt;AY13/$F$90),1,0)</f>
        <v/>
      </c>
      <c r="AZ86" s="14">
        <f>IF(AND(Time!AZ37=1,AZ85&gt;AZ13/$F$90),1,0)</f>
        <v/>
      </c>
      <c r="BA86" s="14">
        <f>IF(AND(Time!BA37=1,BA85&gt;BA13/$F$90),1,0)</f>
        <v/>
      </c>
      <c r="BB86" s="14">
        <f>IF(AND(Time!BB37=1,BB85&gt;BB13/$F$90),1,0)</f>
        <v/>
      </c>
      <c r="BC86" s="14">
        <f>IF(AND(Time!BC37=1,BC85&gt;BC13/$F$90),1,0)</f>
        <v/>
      </c>
      <c r="BD86" s="14">
        <f>IF(AND(Time!BD37=1,BD85&gt;BD13/$F$90),1,0)</f>
        <v/>
      </c>
      <c r="BE86" s="14">
        <f>IF(AND(Time!BE37=1,BE85&gt;BE13/$F$90),1,0)</f>
        <v/>
      </c>
      <c r="BF86" s="14">
        <f>IF(AND(Time!BF37=1,BF85&gt;BF13/$F$90),1,0)</f>
        <v/>
      </c>
      <c r="BG86" s="14">
        <f>IF(AND(Time!BG37=1,BG85&gt;BG13/$F$90),1,0)</f>
        <v/>
      </c>
      <c r="BH86" s="14">
        <f>IF(AND(Time!BH37=1,BH85&gt;BH13/$F$90),1,0)</f>
        <v/>
      </c>
      <c r="BI86" s="14">
        <f>IF(AND(Time!BI37=1,BI85&gt;BI13/$F$90),1,0)</f>
        <v/>
      </c>
      <c r="BJ86" s="14">
        <f>IF(AND(Time!BJ37=1,BJ85&gt;BJ13/$F$90),1,0)</f>
        <v/>
      </c>
      <c r="BK86" s="14">
        <f>IF(AND(Time!BK37=1,BK85&gt;BK13/$F$90),1,0)</f>
        <v/>
      </c>
      <c r="BL86" s="14">
        <f>IF(AND(Time!BL37=1,BL85&gt;BL13/$F$90),1,0)</f>
        <v/>
      </c>
      <c r="BM86" s="14">
        <f>IF(AND(Time!BM37=1,BM85&gt;BM13/$F$90),1,0)</f>
        <v/>
      </c>
      <c r="BN86" s="14">
        <f>IF(AND(Time!BN37=1,BN85&gt;BN13/$F$90),1,0)</f>
        <v/>
      </c>
      <c r="BO86" s="14">
        <f>IF(AND(Time!BO37=1,BO85&gt;BO13/$F$90),1,0)</f>
        <v/>
      </c>
      <c r="BP86" s="14">
        <f>IF(AND(Time!BP37=1,BP85&gt;BP13/$F$90),1,0)</f>
        <v/>
      </c>
      <c r="BQ86" s="14">
        <f>IF(AND(Time!BQ37=1,BQ85&gt;BQ13/$F$90),1,0)</f>
        <v/>
      </c>
      <c r="BR86" s="14">
        <f>IF(AND(Time!BR37=1,BR85&gt;BR13/$F$90),1,0)</f>
        <v/>
      </c>
      <c r="BS86" s="14">
        <f>IF(AND(Time!BS37=1,BS85&gt;BS13/$F$90),1,0)</f>
        <v/>
      </c>
      <c r="BT86" s="14">
        <f>IF(AND(Time!BT37=1,BT85&gt;BT13/$F$90),1,0)</f>
        <v/>
      </c>
      <c r="BU86" s="14">
        <f>IF(AND(Time!BU37=1,BU85&gt;BU13/$F$90),1,0)</f>
        <v/>
      </c>
      <c r="BV86" s="14">
        <f>IF(AND(Time!BV37=1,BV85&gt;BV13/$F$90),1,0)</f>
        <v/>
      </c>
      <c r="BW86" s="14">
        <f>IF(AND(Time!BW37=1,BW85&gt;BW13/$F$90),1,0)</f>
        <v/>
      </c>
      <c r="BX86" s="14">
        <f>IF(AND(Time!BX37=1,BX85&gt;BX13/$F$90),1,0)</f>
        <v/>
      </c>
      <c r="BY86" s="14">
        <f>IF(AND(Time!BY37=1,BY85&gt;BY13/$F$90),1,0)</f>
        <v/>
      </c>
      <c r="BZ86" s="14">
        <f>IF(AND(Time!BZ37=1,BZ85&gt;BZ13/$F$90),1,0)</f>
        <v/>
      </c>
      <c r="CA86" s="14">
        <f>IF(AND(Time!CA37=1,CA85&gt;CA13/$F$90),1,0)</f>
        <v/>
      </c>
      <c r="CB86" s="14">
        <f>IF(AND(Time!CB37=1,CB85&gt;CB13/$F$90),1,0)</f>
        <v/>
      </c>
      <c r="CC86" s="14">
        <f>IF(AND(Time!CC37=1,CC85&gt;CC13/$F$90),1,0)</f>
        <v/>
      </c>
      <c r="CD86" s="14">
        <f>IF(AND(Time!CD37=1,CD85&gt;CD13/$F$90),1,0)</f>
        <v/>
      </c>
      <c r="CE86" s="14">
        <f>IF(AND(Time!CE37=1,CE85&gt;CE13/$F$90),1,0)</f>
        <v/>
      </c>
      <c r="CF86" s="14">
        <f>IF(AND(Time!CF37=1,CF85&gt;CF13/$F$90),1,0)</f>
        <v/>
      </c>
      <c r="CG86" s="14">
        <f>IF(AND(Time!CG37=1,CG85&gt;CG13/$F$90),1,0)</f>
        <v/>
      </c>
      <c r="CH86" s="14">
        <f>IF(AND(Time!CH37=1,CH85&gt;CH13/$F$90),1,0)</f>
        <v/>
      </c>
      <c r="CI86" s="14">
        <f>IF(AND(Time!CI37=1,CI85&gt;CI13/$F$90),1,0)</f>
        <v/>
      </c>
      <c r="CJ86" s="14">
        <f>IF(AND(Time!CJ37=1,CJ85&gt;CJ13/$F$90),1,0)</f>
        <v/>
      </c>
      <c r="CK86" s="14">
        <f>IF(AND(Time!CK37=1,CK85&gt;CK13/$F$90),1,0)</f>
        <v/>
      </c>
      <c r="CL86" s="14">
        <f>IF(AND(Time!CL37=1,CL85&gt;CL13/$F$90),1,0)</f>
        <v/>
      </c>
      <c r="CM86" s="14">
        <f>IF(AND(Time!CM37=1,CM85&gt;CM13/$F$90),1,0)</f>
        <v/>
      </c>
      <c r="CN86" s="14">
        <f>IF(AND(Time!CN37=1,CN85&gt;CN13/$F$90),1,0)</f>
        <v/>
      </c>
      <c r="CO86" s="14">
        <f>IF(AND(Time!CO37=1,CO85&gt;CO13/$F$90),1,0)</f>
        <v/>
      </c>
      <c r="CP86" s="14">
        <f>IF(AND(Time!CP37=1,CP85&gt;CP13/$F$90),1,0)</f>
        <v/>
      </c>
      <c r="CQ86" s="14">
        <f>IF(AND(Time!CQ37=1,CQ85&gt;CQ13/$F$90),1,0)</f>
        <v/>
      </c>
      <c r="CR86" s="14">
        <f>IF(AND(Time!CR37=1,CR85&gt;CR13/$F$90),1,0)</f>
        <v/>
      </c>
      <c r="CS86" s="14">
        <f>IF(AND(Time!CS37=1,CS85&gt;CS13/$F$90),1,0)</f>
        <v/>
      </c>
      <c r="CT86" s="14">
        <f>IF(AND(Time!CT37=1,CT85&gt;CT13/$F$90),1,0)</f>
        <v/>
      </c>
      <c r="CU86" s="14">
        <f>IF(AND(Time!CU37=1,CU85&gt;CU13/$F$90),1,0)</f>
        <v/>
      </c>
      <c r="CV86" s="14">
        <f>IF(AND(Time!CV37=1,CV85&gt;CV13/$F$90),1,0)</f>
        <v/>
      </c>
      <c r="CW86" s="14">
        <f>IF(AND(Time!CW37=1,CW85&gt;CW13/$F$90),1,0)</f>
        <v/>
      </c>
      <c r="CX86" s="14">
        <f>IF(AND(Time!CX37=1,CX85&gt;CX13/$F$90),1,0)</f>
        <v/>
      </c>
      <c r="CY86" s="14">
        <f>IF(AND(Time!CY37=1,CY85&gt;CY13/$F$90),1,0)</f>
        <v/>
      </c>
      <c r="CZ86" s="14">
        <f>IF(AND(Time!CZ37=1,CZ85&gt;CZ13/$F$90),1,0)</f>
        <v/>
      </c>
      <c r="DA86" s="14">
        <f>IF(AND(Time!DA37=1,DA85&gt;DA13/$F$90),1,0)</f>
        <v/>
      </c>
      <c r="DB86" s="14">
        <f>IF(AND(Time!DB37=1,DB85&gt;DB13/$F$90),1,0)</f>
        <v/>
      </c>
    </row>
    <row r="87">
      <c r="D87" t="inlineStr">
        <is>
          <t>Scheduled notes debt service</t>
        </is>
      </c>
      <c r="E87" t="inlineStr">
        <is>
          <t>ARD m</t>
        </is>
      </c>
      <c r="G87" s="19">
        <f>SUM(J87:DB87)</f>
        <v/>
      </c>
      <c r="J87" s="19">
        <f>IF(Time!J37=1,MAX(J85,J13/$F$90),0)</f>
        <v/>
      </c>
      <c r="K87" s="19">
        <f>IF(Time!K37=1,MAX(K85,K13/$F$90),0)</f>
        <v/>
      </c>
      <c r="L87" s="19">
        <f>IF(Time!L37=1,MAX(L85,L13/$F$90),0)</f>
        <v/>
      </c>
      <c r="M87" s="19">
        <f>IF(Time!M37=1,MAX(M85,M13/$F$90),0)</f>
        <v/>
      </c>
      <c r="N87" s="19">
        <f>IF(Time!N37=1,MAX(N85,N13/$F$90),0)</f>
        <v/>
      </c>
      <c r="O87" s="19">
        <f>IF(Time!O37=1,MAX(O85,O13/$F$90),0)</f>
        <v/>
      </c>
      <c r="P87" s="19">
        <f>IF(Time!P37=1,MAX(P85,P13/$F$90),0)</f>
        <v/>
      </c>
      <c r="Q87" s="19">
        <f>IF(Time!Q37=1,MAX(Q85,Q13/$F$90),0)</f>
        <v/>
      </c>
      <c r="R87" s="19">
        <f>IF(Time!R37=1,MAX(R85,R13/$F$90),0)</f>
        <v/>
      </c>
      <c r="S87" s="19">
        <f>IF(Time!S37=1,MAX(S85,S13/$F$90),0)</f>
        <v/>
      </c>
      <c r="T87" s="19">
        <f>IF(Time!T37=1,MAX(T85,T13/$F$90),0)</f>
        <v/>
      </c>
      <c r="U87" s="19">
        <f>IF(Time!U37=1,MAX(U85,U13/$F$90),0)</f>
        <v/>
      </c>
      <c r="V87" s="19">
        <f>IF(Time!V37=1,MAX(V85,V13/$F$90),0)</f>
        <v/>
      </c>
      <c r="W87" s="19">
        <f>IF(Time!W37=1,MAX(W85,W13/$F$90),0)</f>
        <v/>
      </c>
      <c r="X87" s="19">
        <f>IF(Time!X37=1,MAX(X85,X13/$F$90),0)</f>
        <v/>
      </c>
      <c r="Y87" s="19">
        <f>IF(Time!Y37=1,MAX(Y85,Y13/$F$90),0)</f>
        <v/>
      </c>
      <c r="Z87" s="19">
        <f>IF(Time!Z37=1,MAX(Z85,Z13/$F$90),0)</f>
        <v/>
      </c>
      <c r="AA87" s="19">
        <f>IF(Time!AA37=1,MAX(AA85,AA13/$F$90),0)</f>
        <v/>
      </c>
      <c r="AB87" s="19">
        <f>IF(Time!AB37=1,MAX(AB85,AB13/$F$90),0)</f>
        <v/>
      </c>
      <c r="AC87" s="19">
        <f>IF(Time!AC37=1,MAX(AC85,AC13/$F$90),0)</f>
        <v/>
      </c>
      <c r="AD87" s="19">
        <f>IF(Time!AD37=1,MAX(AD85,AD13/$F$90),0)</f>
        <v/>
      </c>
      <c r="AE87" s="19">
        <f>IF(Time!AE37=1,MAX(AE85,AE13/$F$90),0)</f>
        <v/>
      </c>
      <c r="AF87" s="19">
        <f>IF(Time!AF37=1,MAX(AF85,AF13/$F$90),0)</f>
        <v/>
      </c>
      <c r="AG87" s="19">
        <f>IF(Time!AG37=1,MAX(AG85,AG13/$F$90),0)</f>
        <v/>
      </c>
      <c r="AH87" s="19">
        <f>IF(Time!AH37=1,MAX(AH85,AH13/$F$90),0)</f>
        <v/>
      </c>
      <c r="AI87" s="19">
        <f>IF(Time!AI37=1,MAX(AI85,AI13/$F$90),0)</f>
        <v/>
      </c>
      <c r="AJ87" s="19">
        <f>IF(Time!AJ37=1,MAX(AJ85,AJ13/$F$90),0)</f>
        <v/>
      </c>
      <c r="AK87" s="19">
        <f>IF(Time!AK37=1,MAX(AK85,AK13/$F$90),0)</f>
        <v/>
      </c>
      <c r="AL87" s="19">
        <f>IF(Time!AL37=1,MAX(AL85,AL13/$F$90),0)</f>
        <v/>
      </c>
      <c r="AM87" s="19">
        <f>IF(Time!AM37=1,MAX(AM85,AM13/$F$90),0)</f>
        <v/>
      </c>
      <c r="AN87" s="19">
        <f>IF(Time!AN37=1,MAX(AN85,AN13/$F$90),0)</f>
        <v/>
      </c>
      <c r="AO87" s="19">
        <f>IF(Time!AO37=1,MAX(AO85,AO13/$F$90),0)</f>
        <v/>
      </c>
      <c r="AP87" s="19">
        <f>IF(Time!AP37=1,MAX(AP85,AP13/$F$90),0)</f>
        <v/>
      </c>
      <c r="AQ87" s="19">
        <f>IF(Time!AQ37=1,MAX(AQ85,AQ13/$F$90),0)</f>
        <v/>
      </c>
      <c r="AR87" s="19">
        <f>IF(Time!AR37=1,MAX(AR85,AR13/$F$90),0)</f>
        <v/>
      </c>
      <c r="AS87" s="19">
        <f>IF(Time!AS37=1,MAX(AS85,AS13/$F$90),0)</f>
        <v/>
      </c>
      <c r="AT87" s="19">
        <f>IF(Time!AT37=1,MAX(AT85,AT13/$F$90),0)</f>
        <v/>
      </c>
      <c r="AU87" s="19">
        <f>IF(Time!AU37=1,MAX(AU85,AU13/$F$90),0)</f>
        <v/>
      </c>
      <c r="AV87" s="19">
        <f>IF(Time!AV37=1,MAX(AV85,AV13/$F$90),0)</f>
        <v/>
      </c>
      <c r="AW87" s="19">
        <f>IF(Time!AW37=1,MAX(AW85,AW13/$F$90),0)</f>
        <v/>
      </c>
      <c r="AX87" s="19">
        <f>IF(Time!AX37=1,MAX(AX85,AX13/$F$90),0)</f>
        <v/>
      </c>
      <c r="AY87" s="19">
        <f>IF(Time!AY37=1,MAX(AY85,AY13/$F$90),0)</f>
        <v/>
      </c>
      <c r="AZ87" s="19">
        <f>IF(Time!AZ37=1,MAX(AZ85,AZ13/$F$90),0)</f>
        <v/>
      </c>
      <c r="BA87" s="19">
        <f>IF(Time!BA37=1,MAX(BA85,BA13/$F$90),0)</f>
        <v/>
      </c>
      <c r="BB87" s="19">
        <f>IF(Time!BB37=1,MAX(BB85,BB13/$F$90),0)</f>
        <v/>
      </c>
      <c r="BC87" s="19">
        <f>IF(Time!BC37=1,MAX(BC85,BC13/$F$90),0)</f>
        <v/>
      </c>
      <c r="BD87" s="19">
        <f>IF(Time!BD37=1,MAX(BD85,BD13/$F$90),0)</f>
        <v/>
      </c>
      <c r="BE87" s="19">
        <f>IF(Time!BE37=1,MAX(BE85,BE13/$F$90),0)</f>
        <v/>
      </c>
      <c r="BF87" s="19">
        <f>IF(Time!BF37=1,MAX(BF85,BF13/$F$90),0)</f>
        <v/>
      </c>
      <c r="BG87" s="19">
        <f>IF(Time!BG37=1,MAX(BG85,BG13/$F$90),0)</f>
        <v/>
      </c>
      <c r="BH87" s="19">
        <f>IF(Time!BH37=1,MAX(BH85,BH13/$F$90),0)</f>
        <v/>
      </c>
      <c r="BI87" s="19">
        <f>IF(Time!BI37=1,MAX(BI85,BI13/$F$90),0)</f>
        <v/>
      </c>
      <c r="BJ87" s="19">
        <f>IF(Time!BJ37=1,MAX(BJ85,BJ13/$F$90),0)</f>
        <v/>
      </c>
      <c r="BK87" s="19">
        <f>IF(Time!BK37=1,MAX(BK85,BK13/$F$90),0)</f>
        <v/>
      </c>
      <c r="BL87" s="19">
        <f>IF(Time!BL37=1,MAX(BL85,BL13/$F$90),0)</f>
        <v/>
      </c>
      <c r="BM87" s="19">
        <f>IF(Time!BM37=1,MAX(BM85,BM13/$F$90),0)</f>
        <v/>
      </c>
      <c r="BN87" s="19">
        <f>IF(Time!BN37=1,MAX(BN85,BN13/$F$90),0)</f>
        <v/>
      </c>
      <c r="BO87" s="19">
        <f>IF(Time!BO37=1,MAX(BO85,BO13/$F$90),0)</f>
        <v/>
      </c>
      <c r="BP87" s="19">
        <f>IF(Time!BP37=1,MAX(BP85,BP13/$F$90),0)</f>
        <v/>
      </c>
      <c r="BQ87" s="19">
        <f>IF(Time!BQ37=1,MAX(BQ85,BQ13/$F$90),0)</f>
        <v/>
      </c>
      <c r="BR87" s="19">
        <f>IF(Time!BR37=1,MAX(BR85,BR13/$F$90),0)</f>
        <v/>
      </c>
      <c r="BS87" s="19">
        <f>IF(Time!BS37=1,MAX(BS85,BS13/$F$90),0)</f>
        <v/>
      </c>
      <c r="BT87" s="19">
        <f>IF(Time!BT37=1,MAX(BT85,BT13/$F$90),0)</f>
        <v/>
      </c>
      <c r="BU87" s="19">
        <f>IF(Time!BU37=1,MAX(BU85,BU13/$F$90),0)</f>
        <v/>
      </c>
      <c r="BV87" s="19">
        <f>IF(Time!BV37=1,MAX(BV85,BV13/$F$90),0)</f>
        <v/>
      </c>
      <c r="BW87" s="19">
        <f>IF(Time!BW37=1,MAX(BW85,BW13/$F$90),0)</f>
        <v/>
      </c>
      <c r="BX87" s="19">
        <f>IF(Time!BX37=1,MAX(BX85,BX13/$F$90),0)</f>
        <v/>
      </c>
      <c r="BY87" s="19">
        <f>IF(Time!BY37=1,MAX(BY85,BY13/$F$90),0)</f>
        <v/>
      </c>
      <c r="BZ87" s="19">
        <f>IF(Time!BZ37=1,MAX(BZ85,BZ13/$F$90),0)</f>
        <v/>
      </c>
      <c r="CA87" s="19">
        <f>IF(Time!CA37=1,MAX(CA85,CA13/$F$90),0)</f>
        <v/>
      </c>
      <c r="CB87" s="19">
        <f>IF(Time!CB37=1,MAX(CB85,CB13/$F$90),0)</f>
        <v/>
      </c>
      <c r="CC87" s="19">
        <f>IF(Time!CC37=1,MAX(CC85,CC13/$F$90),0)</f>
        <v/>
      </c>
      <c r="CD87" s="19">
        <f>IF(Time!CD37=1,MAX(CD85,CD13/$F$90),0)</f>
        <v/>
      </c>
      <c r="CE87" s="19">
        <f>IF(Time!CE37=1,MAX(CE85,CE13/$F$90),0)</f>
        <v/>
      </c>
      <c r="CF87" s="19">
        <f>IF(Time!CF37=1,MAX(CF85,CF13/$F$90),0)</f>
        <v/>
      </c>
      <c r="CG87" s="19">
        <f>IF(Time!CG37=1,MAX(CG85,CG13/$F$90),0)</f>
        <v/>
      </c>
      <c r="CH87" s="19">
        <f>IF(Time!CH37=1,MAX(CH85,CH13/$F$90),0)</f>
        <v/>
      </c>
      <c r="CI87" s="19">
        <f>IF(Time!CI37=1,MAX(CI85,CI13/$F$90),0)</f>
        <v/>
      </c>
      <c r="CJ87" s="19">
        <f>IF(Time!CJ37=1,MAX(CJ85,CJ13/$F$90),0)</f>
        <v/>
      </c>
      <c r="CK87" s="19">
        <f>IF(Time!CK37=1,MAX(CK85,CK13/$F$90),0)</f>
        <v/>
      </c>
      <c r="CL87" s="19">
        <f>IF(Time!CL37=1,MAX(CL85,CL13/$F$90),0)</f>
        <v/>
      </c>
      <c r="CM87" s="19">
        <f>IF(Time!CM37=1,MAX(CM85,CM13/$F$90),0)</f>
        <v/>
      </c>
      <c r="CN87" s="19">
        <f>IF(Time!CN37=1,MAX(CN85,CN13/$F$90),0)</f>
        <v/>
      </c>
      <c r="CO87" s="19">
        <f>IF(Time!CO37=1,MAX(CO85,CO13/$F$90),0)</f>
        <v/>
      </c>
      <c r="CP87" s="19">
        <f>IF(Time!CP37=1,MAX(CP85,CP13/$F$90),0)</f>
        <v/>
      </c>
      <c r="CQ87" s="19">
        <f>IF(Time!CQ37=1,MAX(CQ85,CQ13/$F$90),0)</f>
        <v/>
      </c>
      <c r="CR87" s="19">
        <f>IF(Time!CR37=1,MAX(CR85,CR13/$F$90),0)</f>
        <v/>
      </c>
      <c r="CS87" s="19">
        <f>IF(Time!CS37=1,MAX(CS85,CS13/$F$90),0)</f>
        <v/>
      </c>
      <c r="CT87" s="19">
        <f>IF(Time!CT37=1,MAX(CT85,CT13/$F$90),0)</f>
        <v/>
      </c>
      <c r="CU87" s="19">
        <f>IF(Time!CU37=1,MAX(CU85,CU13/$F$90),0)</f>
        <v/>
      </c>
      <c r="CV87" s="19">
        <f>IF(Time!CV37=1,MAX(CV85,CV13/$F$90),0)</f>
        <v/>
      </c>
      <c r="CW87" s="19">
        <f>IF(Time!CW37=1,MAX(CW85,CW13/$F$90),0)</f>
        <v/>
      </c>
      <c r="CX87" s="19">
        <f>IF(Time!CX37=1,MAX(CX85,CX13/$F$90),0)</f>
        <v/>
      </c>
      <c r="CY87" s="19">
        <f>IF(Time!CY37=1,MAX(CY85,CY13/$F$90),0)</f>
        <v/>
      </c>
      <c r="CZ87" s="19">
        <f>IF(Time!CZ37=1,MAX(CZ85,CZ13/$F$90),0)</f>
        <v/>
      </c>
      <c r="DA87" s="19">
        <f>IF(Time!DA37=1,MAX(DA85,DA13/$F$90),0)</f>
        <v/>
      </c>
      <c r="DB87" s="19">
        <f>IF(Time!DB37=1,MAX(DB85,DB13/$F$90),0)</f>
        <v/>
      </c>
    </row>
    <row r="88">
      <c r="D88" t="inlineStr">
        <is>
          <t>Scheduled notes principal (live)</t>
        </is>
      </c>
      <c r="E88" t="inlineStr">
        <is>
          <t>ARD m</t>
        </is>
      </c>
      <c r="G88" s="19">
        <f>SUM(J88:DB88)</f>
        <v/>
      </c>
      <c r="J88" s="19">
        <f>IF(Time!J37=1,J87-J85,0)</f>
        <v/>
      </c>
      <c r="K88" s="19">
        <f>IF(Time!K37=1,K87-K85,0)</f>
        <v/>
      </c>
      <c r="L88" s="19">
        <f>IF(Time!L37=1,L87-L85,0)</f>
        <v/>
      </c>
      <c r="M88" s="19">
        <f>IF(Time!M37=1,M87-M85,0)</f>
        <v/>
      </c>
      <c r="N88" s="19">
        <f>IF(Time!N37=1,N87-N85,0)</f>
        <v/>
      </c>
      <c r="O88" s="19">
        <f>IF(Time!O37=1,O87-O85,0)</f>
        <v/>
      </c>
      <c r="P88" s="19">
        <f>IF(Time!P37=1,P87-P85,0)</f>
        <v/>
      </c>
      <c r="Q88" s="19">
        <f>IF(Time!Q37=1,Q87-Q85,0)</f>
        <v/>
      </c>
      <c r="R88" s="19">
        <f>IF(Time!R37=1,R87-R85,0)</f>
        <v/>
      </c>
      <c r="S88" s="19">
        <f>IF(Time!S37=1,S87-S85,0)</f>
        <v/>
      </c>
      <c r="T88" s="19">
        <f>IF(Time!T37=1,T87-T85,0)</f>
        <v/>
      </c>
      <c r="U88" s="19">
        <f>IF(Time!U37=1,U87-U85,0)</f>
        <v/>
      </c>
      <c r="V88" s="19">
        <f>IF(Time!V37=1,V87-V85,0)</f>
        <v/>
      </c>
      <c r="W88" s="19">
        <f>IF(Time!W37=1,W87-W85,0)</f>
        <v/>
      </c>
      <c r="X88" s="19">
        <f>IF(Time!X37=1,X87-X85,0)</f>
        <v/>
      </c>
      <c r="Y88" s="19">
        <f>IF(Time!Y37=1,Y87-Y85,0)</f>
        <v/>
      </c>
      <c r="Z88" s="19">
        <f>IF(Time!Z37=1,Z87-Z85,0)</f>
        <v/>
      </c>
      <c r="AA88" s="19">
        <f>IF(Time!AA37=1,AA87-AA85,0)</f>
        <v/>
      </c>
      <c r="AB88" s="19">
        <f>IF(Time!AB37=1,AB87-AB85,0)</f>
        <v/>
      </c>
      <c r="AC88" s="19">
        <f>IF(Time!AC37=1,AC87-AC85,0)</f>
        <v/>
      </c>
      <c r="AD88" s="19">
        <f>IF(Time!AD37=1,AD87-AD85,0)</f>
        <v/>
      </c>
      <c r="AE88" s="19">
        <f>IF(Time!AE37=1,AE87-AE85,0)</f>
        <v/>
      </c>
      <c r="AF88" s="19">
        <f>IF(Time!AF37=1,AF87-AF85,0)</f>
        <v/>
      </c>
      <c r="AG88" s="19">
        <f>IF(Time!AG37=1,AG87-AG85,0)</f>
        <v/>
      </c>
      <c r="AH88" s="19">
        <f>IF(Time!AH37=1,AH87-AH85,0)</f>
        <v/>
      </c>
      <c r="AI88" s="19">
        <f>IF(Time!AI37=1,AI87-AI85,0)</f>
        <v/>
      </c>
      <c r="AJ88" s="19">
        <f>IF(Time!AJ37=1,AJ87-AJ85,0)</f>
        <v/>
      </c>
      <c r="AK88" s="19">
        <f>IF(Time!AK37=1,AK87-AK85,0)</f>
        <v/>
      </c>
      <c r="AL88" s="19">
        <f>IF(Time!AL37=1,AL87-AL85,0)</f>
        <v/>
      </c>
      <c r="AM88" s="19">
        <f>IF(Time!AM37=1,AM87-AM85,0)</f>
        <v/>
      </c>
      <c r="AN88" s="19">
        <f>IF(Time!AN37=1,AN87-AN85,0)</f>
        <v/>
      </c>
      <c r="AO88" s="19">
        <f>IF(Time!AO37=1,AO87-AO85,0)</f>
        <v/>
      </c>
      <c r="AP88" s="19">
        <f>IF(Time!AP37=1,AP87-AP85,0)</f>
        <v/>
      </c>
      <c r="AQ88" s="19">
        <f>IF(Time!AQ37=1,AQ87-AQ85,0)</f>
        <v/>
      </c>
      <c r="AR88" s="19">
        <f>IF(Time!AR37=1,AR87-AR85,0)</f>
        <v/>
      </c>
      <c r="AS88" s="19">
        <f>IF(Time!AS37=1,AS87-AS85,0)</f>
        <v/>
      </c>
      <c r="AT88" s="19">
        <f>IF(Time!AT37=1,AT87-AT85,0)</f>
        <v/>
      </c>
      <c r="AU88" s="19">
        <f>IF(Time!AU37=1,AU87-AU85,0)</f>
        <v/>
      </c>
      <c r="AV88" s="19">
        <f>IF(Time!AV37=1,AV87-AV85,0)</f>
        <v/>
      </c>
      <c r="AW88" s="19">
        <f>IF(Time!AW37=1,AW87-AW85,0)</f>
        <v/>
      </c>
      <c r="AX88" s="19">
        <f>IF(Time!AX37=1,AX87-AX85,0)</f>
        <v/>
      </c>
      <c r="AY88" s="19">
        <f>IF(Time!AY37=1,AY87-AY85,0)</f>
        <v/>
      </c>
      <c r="AZ88" s="19">
        <f>IF(Time!AZ37=1,AZ87-AZ85,0)</f>
        <v/>
      </c>
      <c r="BA88" s="19">
        <f>IF(Time!BA37=1,BA87-BA85,0)</f>
        <v/>
      </c>
      <c r="BB88" s="19">
        <f>IF(Time!BB37=1,BB87-BB85,0)</f>
        <v/>
      </c>
      <c r="BC88" s="19">
        <f>IF(Time!BC37=1,BC87-BC85,0)</f>
        <v/>
      </c>
      <c r="BD88" s="19">
        <f>IF(Time!BD37=1,BD87-BD85,0)</f>
        <v/>
      </c>
      <c r="BE88" s="19">
        <f>IF(Time!BE37=1,BE87-BE85,0)</f>
        <v/>
      </c>
      <c r="BF88" s="19">
        <f>IF(Time!BF37=1,BF87-BF85,0)</f>
        <v/>
      </c>
      <c r="BG88" s="19">
        <f>IF(Time!BG37=1,BG87-BG85,0)</f>
        <v/>
      </c>
      <c r="BH88" s="19">
        <f>IF(Time!BH37=1,BH87-BH85,0)</f>
        <v/>
      </c>
      <c r="BI88" s="19">
        <f>IF(Time!BI37=1,BI87-BI85,0)</f>
        <v/>
      </c>
      <c r="BJ88" s="19">
        <f>IF(Time!BJ37=1,BJ87-BJ85,0)</f>
        <v/>
      </c>
      <c r="BK88" s="19">
        <f>IF(Time!BK37=1,BK87-BK85,0)</f>
        <v/>
      </c>
      <c r="BL88" s="19">
        <f>IF(Time!BL37=1,BL87-BL85,0)</f>
        <v/>
      </c>
      <c r="BM88" s="19">
        <f>IF(Time!BM37=1,BM87-BM85,0)</f>
        <v/>
      </c>
      <c r="BN88" s="19">
        <f>IF(Time!BN37=1,BN87-BN85,0)</f>
        <v/>
      </c>
      <c r="BO88" s="19">
        <f>IF(Time!BO37=1,BO87-BO85,0)</f>
        <v/>
      </c>
      <c r="BP88" s="19">
        <f>IF(Time!BP37=1,BP87-BP85,0)</f>
        <v/>
      </c>
      <c r="BQ88" s="19">
        <f>IF(Time!BQ37=1,BQ87-BQ85,0)</f>
        <v/>
      </c>
      <c r="BR88" s="19">
        <f>IF(Time!BR37=1,BR87-BR85,0)</f>
        <v/>
      </c>
      <c r="BS88" s="19">
        <f>IF(Time!BS37=1,BS87-BS85,0)</f>
        <v/>
      </c>
      <c r="BT88" s="19">
        <f>IF(Time!BT37=1,BT87-BT85,0)</f>
        <v/>
      </c>
      <c r="BU88" s="19">
        <f>IF(Time!BU37=1,BU87-BU85,0)</f>
        <v/>
      </c>
      <c r="BV88" s="19">
        <f>IF(Time!BV37=1,BV87-BV85,0)</f>
        <v/>
      </c>
      <c r="BW88" s="19">
        <f>IF(Time!BW37=1,BW87-BW85,0)</f>
        <v/>
      </c>
      <c r="BX88" s="19">
        <f>IF(Time!BX37=1,BX87-BX85,0)</f>
        <v/>
      </c>
      <c r="BY88" s="19">
        <f>IF(Time!BY37=1,BY87-BY85,0)</f>
        <v/>
      </c>
      <c r="BZ88" s="19">
        <f>IF(Time!BZ37=1,BZ87-BZ85,0)</f>
        <v/>
      </c>
      <c r="CA88" s="19">
        <f>IF(Time!CA37=1,CA87-CA85,0)</f>
        <v/>
      </c>
      <c r="CB88" s="19">
        <f>IF(Time!CB37=1,CB87-CB85,0)</f>
        <v/>
      </c>
      <c r="CC88" s="19">
        <f>IF(Time!CC37=1,CC87-CC85,0)</f>
        <v/>
      </c>
      <c r="CD88" s="19">
        <f>IF(Time!CD37=1,CD87-CD85,0)</f>
        <v/>
      </c>
      <c r="CE88" s="19">
        <f>IF(Time!CE37=1,CE87-CE85,0)</f>
        <v/>
      </c>
      <c r="CF88" s="19">
        <f>IF(Time!CF37=1,CF87-CF85,0)</f>
        <v/>
      </c>
      <c r="CG88" s="19">
        <f>IF(Time!CG37=1,CG87-CG85,0)</f>
        <v/>
      </c>
      <c r="CH88" s="19">
        <f>IF(Time!CH37=1,CH87-CH85,0)</f>
        <v/>
      </c>
      <c r="CI88" s="19">
        <f>IF(Time!CI37=1,CI87-CI85,0)</f>
        <v/>
      </c>
      <c r="CJ88" s="19">
        <f>IF(Time!CJ37=1,CJ87-CJ85,0)</f>
        <v/>
      </c>
      <c r="CK88" s="19">
        <f>IF(Time!CK37=1,CK87-CK85,0)</f>
        <v/>
      </c>
      <c r="CL88" s="19">
        <f>IF(Time!CL37=1,CL87-CL85,0)</f>
        <v/>
      </c>
      <c r="CM88" s="19">
        <f>IF(Time!CM37=1,CM87-CM85,0)</f>
        <v/>
      </c>
      <c r="CN88" s="19">
        <f>IF(Time!CN37=1,CN87-CN85,0)</f>
        <v/>
      </c>
      <c r="CO88" s="19">
        <f>IF(Time!CO37=1,CO87-CO85,0)</f>
        <v/>
      </c>
      <c r="CP88" s="19">
        <f>IF(Time!CP37=1,CP87-CP85,0)</f>
        <v/>
      </c>
      <c r="CQ88" s="19">
        <f>IF(Time!CQ37=1,CQ87-CQ85,0)</f>
        <v/>
      </c>
      <c r="CR88" s="19">
        <f>IF(Time!CR37=1,CR87-CR85,0)</f>
        <v/>
      </c>
      <c r="CS88" s="19">
        <f>IF(Time!CS37=1,CS87-CS85,0)</f>
        <v/>
      </c>
      <c r="CT88" s="19">
        <f>IF(Time!CT37=1,CT87-CT85,0)</f>
        <v/>
      </c>
      <c r="CU88" s="19">
        <f>IF(Time!CU37=1,CU87-CU85,0)</f>
        <v/>
      </c>
      <c r="CV88" s="19">
        <f>IF(Time!CV37=1,CV87-CV85,0)</f>
        <v/>
      </c>
      <c r="CW88" s="19">
        <f>IF(Time!CW37=1,CW87-CW85,0)</f>
        <v/>
      </c>
      <c r="CX88" s="19">
        <f>IF(Time!CX37=1,CX87-CX85,0)</f>
        <v/>
      </c>
      <c r="CY88" s="19">
        <f>IF(Time!CY37=1,CY87-CY85,0)</f>
        <v/>
      </c>
      <c r="CZ88" s="19">
        <f>IF(Time!CZ37=1,CZ87-CZ85,0)</f>
        <v/>
      </c>
      <c r="DA88" s="19">
        <f>IF(Time!DA37=1,DA87-DA85,0)</f>
        <v/>
      </c>
      <c r="DB88" s="19">
        <f>IF(Time!DB37=1,DB87-DB85,0)</f>
        <v/>
      </c>
    </row>
    <row r="89">
      <c r="D89" t="inlineStr">
        <is>
          <t>Scheduled notes balance: closing</t>
        </is>
      </c>
      <c r="E89" t="inlineStr">
        <is>
          <t>ARD m</t>
        </is>
      </c>
      <c r="J89" s="19">
        <f>J84-J88</f>
        <v/>
      </c>
      <c r="K89" s="19">
        <f>K84-K88</f>
        <v/>
      </c>
      <c r="L89" s="19">
        <f>L84-L88</f>
        <v/>
      </c>
      <c r="M89" s="19">
        <f>M84-M88</f>
        <v/>
      </c>
      <c r="N89" s="19">
        <f>N84-N88</f>
        <v/>
      </c>
      <c r="O89" s="19">
        <f>O84-O88</f>
        <v/>
      </c>
      <c r="P89" s="19">
        <f>P84-P88</f>
        <v/>
      </c>
      <c r="Q89" s="19">
        <f>Q84-Q88</f>
        <v/>
      </c>
      <c r="R89" s="19">
        <f>R84-R88</f>
        <v/>
      </c>
      <c r="S89" s="19">
        <f>S84-S88</f>
        <v/>
      </c>
      <c r="T89" s="19">
        <f>T84-T88</f>
        <v/>
      </c>
      <c r="U89" s="19">
        <f>U84-U88</f>
        <v/>
      </c>
      <c r="V89" s="19">
        <f>V84-V88</f>
        <v/>
      </c>
      <c r="W89" s="19">
        <f>W84-W88</f>
        <v/>
      </c>
      <c r="X89" s="19">
        <f>X84-X88</f>
        <v/>
      </c>
      <c r="Y89" s="19">
        <f>Y84-Y88</f>
        <v/>
      </c>
      <c r="Z89" s="19">
        <f>Z84-Z88</f>
        <v/>
      </c>
      <c r="AA89" s="19">
        <f>AA84-AA88</f>
        <v/>
      </c>
      <c r="AB89" s="19">
        <f>AB84-AB88</f>
        <v/>
      </c>
      <c r="AC89" s="19">
        <f>AC84-AC88</f>
        <v/>
      </c>
      <c r="AD89" s="19">
        <f>AD84-AD88</f>
        <v/>
      </c>
      <c r="AE89" s="19">
        <f>AE84-AE88</f>
        <v/>
      </c>
      <c r="AF89" s="19">
        <f>AF84-AF88</f>
        <v/>
      </c>
      <c r="AG89" s="19">
        <f>AG84-AG88</f>
        <v/>
      </c>
      <c r="AH89" s="19">
        <f>AH84-AH88</f>
        <v/>
      </c>
      <c r="AI89" s="19">
        <f>AI84-AI88</f>
        <v/>
      </c>
      <c r="AJ89" s="19">
        <f>AJ84-AJ88</f>
        <v/>
      </c>
      <c r="AK89" s="19">
        <f>AK84-AK88</f>
        <v/>
      </c>
      <c r="AL89" s="19">
        <f>AL84-AL88</f>
        <v/>
      </c>
      <c r="AM89" s="19">
        <f>AM84-AM88</f>
        <v/>
      </c>
      <c r="AN89" s="19">
        <f>AN84-AN88</f>
        <v/>
      </c>
      <c r="AO89" s="19">
        <f>AO84-AO88</f>
        <v/>
      </c>
      <c r="AP89" s="19">
        <f>AP84-AP88</f>
        <v/>
      </c>
      <c r="AQ89" s="19">
        <f>AQ84-AQ88</f>
        <v/>
      </c>
      <c r="AR89" s="19">
        <f>AR84-AR88</f>
        <v/>
      </c>
      <c r="AS89" s="19">
        <f>AS84-AS88</f>
        <v/>
      </c>
      <c r="AT89" s="19">
        <f>AT84-AT88</f>
        <v/>
      </c>
      <c r="AU89" s="19">
        <f>AU84-AU88</f>
        <v/>
      </c>
      <c r="AV89" s="19">
        <f>AV84-AV88</f>
        <v/>
      </c>
      <c r="AW89" s="19">
        <f>AW84-AW88</f>
        <v/>
      </c>
      <c r="AX89" s="19">
        <f>AX84-AX88</f>
        <v/>
      </c>
      <c r="AY89" s="19">
        <f>AY84-AY88</f>
        <v/>
      </c>
      <c r="AZ89" s="19">
        <f>AZ84-AZ88</f>
        <v/>
      </c>
      <c r="BA89" s="19">
        <f>BA84-BA88</f>
        <v/>
      </c>
      <c r="BB89" s="19">
        <f>BB84-BB88</f>
        <v/>
      </c>
      <c r="BC89" s="19">
        <f>BC84-BC88</f>
        <v/>
      </c>
      <c r="BD89" s="19">
        <f>BD84-BD88</f>
        <v/>
      </c>
      <c r="BE89" s="19">
        <f>BE84-BE88</f>
        <v/>
      </c>
      <c r="BF89" s="19">
        <f>BF84-BF88</f>
        <v/>
      </c>
      <c r="BG89" s="19">
        <f>BG84-BG88</f>
        <v/>
      </c>
      <c r="BH89" s="19">
        <f>BH84-BH88</f>
        <v/>
      </c>
      <c r="BI89" s="19">
        <f>BI84-BI88</f>
        <v/>
      </c>
      <c r="BJ89" s="19">
        <f>BJ84-BJ88</f>
        <v/>
      </c>
      <c r="BK89" s="19">
        <f>BK84-BK88</f>
        <v/>
      </c>
      <c r="BL89" s="19">
        <f>BL84-BL88</f>
        <v/>
      </c>
      <c r="BM89" s="19">
        <f>BM84-BM88</f>
        <v/>
      </c>
      <c r="BN89" s="19">
        <f>BN84-BN88</f>
        <v/>
      </c>
      <c r="BO89" s="19">
        <f>BO84-BO88</f>
        <v/>
      </c>
      <c r="BP89" s="19">
        <f>BP84-BP88</f>
        <v/>
      </c>
      <c r="BQ89" s="19">
        <f>BQ84-BQ88</f>
        <v/>
      </c>
      <c r="BR89" s="19">
        <f>BR84-BR88</f>
        <v/>
      </c>
      <c r="BS89" s="19">
        <f>BS84-BS88</f>
        <v/>
      </c>
      <c r="BT89" s="19">
        <f>BT84-BT88</f>
        <v/>
      </c>
      <c r="BU89" s="19">
        <f>BU84-BU88</f>
        <v/>
      </c>
      <c r="BV89" s="19">
        <f>BV84-BV88</f>
        <v/>
      </c>
      <c r="BW89" s="19">
        <f>BW84-BW88</f>
        <v/>
      </c>
      <c r="BX89" s="19">
        <f>BX84-BX88</f>
        <v/>
      </c>
      <c r="BY89" s="19">
        <f>BY84-BY88</f>
        <v/>
      </c>
      <c r="BZ89" s="19">
        <f>BZ84-BZ88</f>
        <v/>
      </c>
      <c r="CA89" s="19">
        <f>CA84-CA88</f>
        <v/>
      </c>
      <c r="CB89" s="19">
        <f>CB84-CB88</f>
        <v/>
      </c>
      <c r="CC89" s="19">
        <f>CC84-CC88</f>
        <v/>
      </c>
      <c r="CD89" s="19">
        <f>CD84-CD88</f>
        <v/>
      </c>
      <c r="CE89" s="19">
        <f>CE84-CE88</f>
        <v/>
      </c>
      <c r="CF89" s="19">
        <f>CF84-CF88</f>
        <v/>
      </c>
      <c r="CG89" s="19">
        <f>CG84-CG88</f>
        <v/>
      </c>
      <c r="CH89" s="19">
        <f>CH84-CH88</f>
        <v/>
      </c>
      <c r="CI89" s="19">
        <f>CI84-CI88</f>
        <v/>
      </c>
      <c r="CJ89" s="19">
        <f>CJ84-CJ88</f>
        <v/>
      </c>
      <c r="CK89" s="19">
        <f>CK84-CK88</f>
        <v/>
      </c>
      <c r="CL89" s="19">
        <f>CL84-CL88</f>
        <v/>
      </c>
      <c r="CM89" s="19">
        <f>CM84-CM88</f>
        <v/>
      </c>
      <c r="CN89" s="19">
        <f>CN84-CN88</f>
        <v/>
      </c>
      <c r="CO89" s="19">
        <f>CO84-CO88</f>
        <v/>
      </c>
      <c r="CP89" s="19">
        <f>CP84-CP88</f>
        <v/>
      </c>
      <c r="CQ89" s="19">
        <f>CQ84-CQ88</f>
        <v/>
      </c>
      <c r="CR89" s="19">
        <f>CR84-CR88</f>
        <v/>
      </c>
      <c r="CS89" s="19">
        <f>CS84-CS88</f>
        <v/>
      </c>
      <c r="CT89" s="19">
        <f>CT84-CT88</f>
        <v/>
      </c>
      <c r="CU89" s="19">
        <f>CU84-CU88</f>
        <v/>
      </c>
      <c r="CV89" s="19">
        <f>CV84-CV88</f>
        <v/>
      </c>
      <c r="CW89" s="19">
        <f>CW84-CW88</f>
        <v/>
      </c>
      <c r="CX89" s="19">
        <f>CX84-CX88</f>
        <v/>
      </c>
      <c r="CY89" s="19">
        <f>CY84-CY88</f>
        <v/>
      </c>
      <c r="CZ89" s="19">
        <f>CZ84-CZ88</f>
        <v/>
      </c>
      <c r="DA89" s="19">
        <f>DA84-DA88</f>
        <v/>
      </c>
      <c r="DB89" s="19">
        <f>DB84-DB88</f>
        <v/>
      </c>
    </row>
    <row r="90">
      <c r="D90" t="inlineStr">
        <is>
          <t>Notes sculpting divisor (fixed point)</t>
        </is>
      </c>
      <c r="E90" t="inlineStr">
        <is>
          <t>x</t>
        </is>
      </c>
      <c r="F90" s="27">
        <f>IF(AND($F$25=1,$F$81&gt;0),IFERROR(IF($F$90&lt;0.5,MAX(Inputs!$F$9,SUMPRODUCT($J$13:$DB$13*$J$83:$DB$83*Time!$J$37:$DB$37*(1-$J$86:$DB$86))/($F$81-SUMPRODUCT($J$85:$DB$85*$J$83:$DB$83*$J$86:$DB$86))),0.5*$F$90+0.5*MAX(Inputs!$F$9,SUMPRODUCT($J$13:$DB$13*$J$83:$DB$83*Time!$J$37:$DB$37*(1-$J$86:$DB$86))/($F$81-SUMPRODUCT($J$85:$DB$85*$J$83:$DB$83*$J$86:$DB$86)))),Inputs!$F$168),Inputs!$F$168)</f>
        <v/>
      </c>
    </row>
    <row r="91">
      <c r="D91" t="inlineStr">
        <is>
          <t>Scheduled notes principal (applied)</t>
        </is>
      </c>
      <c r="E91" t="inlineStr">
        <is>
          <t>ARD m</t>
        </is>
      </c>
      <c r="G91" s="19">
        <f>SUM(J91:DB91)</f>
        <v/>
      </c>
      <c r="J91" s="19">
        <f>IF($F$25=1,J88,Inputs!J280)</f>
        <v/>
      </c>
      <c r="K91" s="19">
        <f>IF($F$25=1,K88,Inputs!K280)</f>
        <v/>
      </c>
      <c r="L91" s="19">
        <f>IF($F$25=1,L88,Inputs!L280)</f>
        <v/>
      </c>
      <c r="M91" s="19">
        <f>IF($F$25=1,M88,Inputs!M280)</f>
        <v/>
      </c>
      <c r="N91" s="19">
        <f>IF($F$25=1,N88,Inputs!N280)</f>
        <v/>
      </c>
      <c r="O91" s="19">
        <f>IF($F$25=1,O88,Inputs!O280)</f>
        <v/>
      </c>
      <c r="P91" s="19">
        <f>IF($F$25=1,P88,Inputs!P280)</f>
        <v/>
      </c>
      <c r="Q91" s="19">
        <f>IF($F$25=1,Q88,Inputs!Q280)</f>
        <v/>
      </c>
      <c r="R91" s="19">
        <f>IF($F$25=1,R88,Inputs!R280)</f>
        <v/>
      </c>
      <c r="S91" s="19">
        <f>IF($F$25=1,S88,Inputs!S280)</f>
        <v/>
      </c>
      <c r="T91" s="19">
        <f>IF($F$25=1,T88,Inputs!T280)</f>
        <v/>
      </c>
      <c r="U91" s="19">
        <f>IF($F$25=1,U88,Inputs!U280)</f>
        <v/>
      </c>
      <c r="V91" s="19">
        <f>IF($F$25=1,V88,Inputs!V280)</f>
        <v/>
      </c>
      <c r="W91" s="19">
        <f>IF($F$25=1,W88,Inputs!W280)</f>
        <v/>
      </c>
      <c r="X91" s="19">
        <f>IF($F$25=1,X88,Inputs!X280)</f>
        <v/>
      </c>
      <c r="Y91" s="19">
        <f>IF($F$25=1,Y88,Inputs!Y280)</f>
        <v/>
      </c>
      <c r="Z91" s="19">
        <f>IF($F$25=1,Z88,Inputs!Z280)</f>
        <v/>
      </c>
      <c r="AA91" s="19">
        <f>IF($F$25=1,AA88,Inputs!AA280)</f>
        <v/>
      </c>
      <c r="AB91" s="19">
        <f>IF($F$25=1,AB88,Inputs!AB280)</f>
        <v/>
      </c>
      <c r="AC91" s="19">
        <f>IF($F$25=1,AC88,Inputs!AC280)</f>
        <v/>
      </c>
      <c r="AD91" s="19">
        <f>IF($F$25=1,AD88,Inputs!AD280)</f>
        <v/>
      </c>
      <c r="AE91" s="19">
        <f>IF($F$25=1,AE88,Inputs!AE280)</f>
        <v/>
      </c>
      <c r="AF91" s="19">
        <f>IF($F$25=1,AF88,Inputs!AF280)</f>
        <v/>
      </c>
      <c r="AG91" s="19">
        <f>IF($F$25=1,AG88,Inputs!AG280)</f>
        <v/>
      </c>
      <c r="AH91" s="19">
        <f>IF($F$25=1,AH88,Inputs!AH280)</f>
        <v/>
      </c>
      <c r="AI91" s="19">
        <f>IF($F$25=1,AI88,Inputs!AI280)</f>
        <v/>
      </c>
      <c r="AJ91" s="19">
        <f>IF($F$25=1,AJ88,Inputs!AJ280)</f>
        <v/>
      </c>
      <c r="AK91" s="19">
        <f>IF($F$25=1,AK88,Inputs!AK280)</f>
        <v/>
      </c>
      <c r="AL91" s="19">
        <f>IF($F$25=1,AL88,Inputs!AL280)</f>
        <v/>
      </c>
      <c r="AM91" s="19">
        <f>IF($F$25=1,AM88,Inputs!AM280)</f>
        <v/>
      </c>
      <c r="AN91" s="19">
        <f>IF($F$25=1,AN88,Inputs!AN280)</f>
        <v/>
      </c>
      <c r="AO91" s="19">
        <f>IF($F$25=1,AO88,Inputs!AO280)</f>
        <v/>
      </c>
      <c r="AP91" s="19">
        <f>IF($F$25=1,AP88,Inputs!AP280)</f>
        <v/>
      </c>
      <c r="AQ91" s="19">
        <f>IF($F$25=1,AQ88,Inputs!AQ280)</f>
        <v/>
      </c>
      <c r="AR91" s="19">
        <f>IF($F$25=1,AR88,Inputs!AR280)</f>
        <v/>
      </c>
      <c r="AS91" s="19">
        <f>IF($F$25=1,AS88,Inputs!AS280)</f>
        <v/>
      </c>
      <c r="AT91" s="19">
        <f>IF($F$25=1,AT88,Inputs!AT280)</f>
        <v/>
      </c>
      <c r="AU91" s="19">
        <f>IF($F$25=1,AU88,Inputs!AU280)</f>
        <v/>
      </c>
      <c r="AV91" s="19">
        <f>IF($F$25=1,AV88,Inputs!AV280)</f>
        <v/>
      </c>
      <c r="AW91" s="19">
        <f>IF($F$25=1,AW88,Inputs!AW280)</f>
        <v/>
      </c>
      <c r="AX91" s="19">
        <f>IF($F$25=1,AX88,Inputs!AX280)</f>
        <v/>
      </c>
      <c r="AY91" s="19">
        <f>IF($F$25=1,AY88,Inputs!AY280)</f>
        <v/>
      </c>
      <c r="AZ91" s="19">
        <f>IF($F$25=1,AZ88,Inputs!AZ280)</f>
        <v/>
      </c>
      <c r="BA91" s="19">
        <f>IF($F$25=1,BA88,Inputs!BA280)</f>
        <v/>
      </c>
      <c r="BB91" s="19">
        <f>IF($F$25=1,BB88,Inputs!BB280)</f>
        <v/>
      </c>
      <c r="BC91" s="19">
        <f>IF($F$25=1,BC88,Inputs!BC280)</f>
        <v/>
      </c>
      <c r="BD91" s="19">
        <f>IF($F$25=1,BD88,Inputs!BD280)</f>
        <v/>
      </c>
      <c r="BE91" s="19">
        <f>IF($F$25=1,BE88,Inputs!BE280)</f>
        <v/>
      </c>
      <c r="BF91" s="19">
        <f>IF($F$25=1,BF88,Inputs!BF280)</f>
        <v/>
      </c>
      <c r="BG91" s="19">
        <f>IF($F$25=1,BG88,Inputs!BG280)</f>
        <v/>
      </c>
      <c r="BH91" s="19">
        <f>IF($F$25=1,BH88,Inputs!BH280)</f>
        <v/>
      </c>
      <c r="BI91" s="19">
        <f>IF($F$25=1,BI88,Inputs!BI280)</f>
        <v/>
      </c>
      <c r="BJ91" s="19">
        <f>IF($F$25=1,BJ88,Inputs!BJ280)</f>
        <v/>
      </c>
      <c r="BK91" s="19">
        <f>IF($F$25=1,BK88,Inputs!BK280)</f>
        <v/>
      </c>
      <c r="BL91" s="19">
        <f>IF($F$25=1,BL88,Inputs!BL280)</f>
        <v/>
      </c>
      <c r="BM91" s="19">
        <f>IF($F$25=1,BM88,Inputs!BM280)</f>
        <v/>
      </c>
      <c r="BN91" s="19">
        <f>IF($F$25=1,BN88,Inputs!BN280)</f>
        <v/>
      </c>
      <c r="BO91" s="19">
        <f>IF($F$25=1,BO88,Inputs!BO280)</f>
        <v/>
      </c>
      <c r="BP91" s="19">
        <f>IF($F$25=1,BP88,Inputs!BP280)</f>
        <v/>
      </c>
      <c r="BQ91" s="19">
        <f>IF($F$25=1,BQ88,Inputs!BQ280)</f>
        <v/>
      </c>
      <c r="BR91" s="19">
        <f>IF($F$25=1,BR88,Inputs!BR280)</f>
        <v/>
      </c>
      <c r="BS91" s="19">
        <f>IF($F$25=1,BS88,Inputs!BS280)</f>
        <v/>
      </c>
      <c r="BT91" s="19">
        <f>IF($F$25=1,BT88,Inputs!BT280)</f>
        <v/>
      </c>
      <c r="BU91" s="19">
        <f>IF($F$25=1,BU88,Inputs!BU280)</f>
        <v/>
      </c>
      <c r="BV91" s="19">
        <f>IF($F$25=1,BV88,Inputs!BV280)</f>
        <v/>
      </c>
      <c r="BW91" s="19">
        <f>IF($F$25=1,BW88,Inputs!BW280)</f>
        <v/>
      </c>
      <c r="BX91" s="19">
        <f>IF($F$25=1,BX88,Inputs!BX280)</f>
        <v/>
      </c>
      <c r="BY91" s="19">
        <f>IF($F$25=1,BY88,Inputs!BY280)</f>
        <v/>
      </c>
      <c r="BZ91" s="19">
        <f>IF($F$25=1,BZ88,Inputs!BZ280)</f>
        <v/>
      </c>
      <c r="CA91" s="19">
        <f>IF($F$25=1,CA88,Inputs!CA280)</f>
        <v/>
      </c>
      <c r="CB91" s="19">
        <f>IF($F$25=1,CB88,Inputs!CB280)</f>
        <v/>
      </c>
      <c r="CC91" s="19">
        <f>IF($F$25=1,CC88,Inputs!CC280)</f>
        <v/>
      </c>
      <c r="CD91" s="19">
        <f>IF($F$25=1,CD88,Inputs!CD280)</f>
        <v/>
      </c>
      <c r="CE91" s="19">
        <f>IF($F$25=1,CE88,Inputs!CE280)</f>
        <v/>
      </c>
      <c r="CF91" s="19">
        <f>IF($F$25=1,CF88,Inputs!CF280)</f>
        <v/>
      </c>
      <c r="CG91" s="19">
        <f>IF($F$25=1,CG88,Inputs!CG280)</f>
        <v/>
      </c>
      <c r="CH91" s="19">
        <f>IF($F$25=1,CH88,Inputs!CH280)</f>
        <v/>
      </c>
      <c r="CI91" s="19">
        <f>IF($F$25=1,CI88,Inputs!CI280)</f>
        <v/>
      </c>
      <c r="CJ91" s="19">
        <f>IF($F$25=1,CJ88,Inputs!CJ280)</f>
        <v/>
      </c>
      <c r="CK91" s="19">
        <f>IF($F$25=1,CK88,Inputs!CK280)</f>
        <v/>
      </c>
      <c r="CL91" s="19">
        <f>IF($F$25=1,CL88,Inputs!CL280)</f>
        <v/>
      </c>
      <c r="CM91" s="19">
        <f>IF($F$25=1,CM88,Inputs!CM280)</f>
        <v/>
      </c>
      <c r="CN91" s="19">
        <f>IF($F$25=1,CN88,Inputs!CN280)</f>
        <v/>
      </c>
      <c r="CO91" s="19">
        <f>IF($F$25=1,CO88,Inputs!CO280)</f>
        <v/>
      </c>
      <c r="CP91" s="19">
        <f>IF($F$25=1,CP88,Inputs!CP280)</f>
        <v/>
      </c>
      <c r="CQ91" s="19">
        <f>IF($F$25=1,CQ88,Inputs!CQ280)</f>
        <v/>
      </c>
      <c r="CR91" s="19">
        <f>IF($F$25=1,CR88,Inputs!CR280)</f>
        <v/>
      </c>
      <c r="CS91" s="19">
        <f>IF($F$25=1,CS88,Inputs!CS280)</f>
        <v/>
      </c>
      <c r="CT91" s="19">
        <f>IF($F$25=1,CT88,Inputs!CT280)</f>
        <v/>
      </c>
      <c r="CU91" s="19">
        <f>IF($F$25=1,CU88,Inputs!CU280)</f>
        <v/>
      </c>
      <c r="CV91" s="19">
        <f>IF($F$25=1,CV88,Inputs!CV280)</f>
        <v/>
      </c>
      <c r="CW91" s="19">
        <f>IF($F$25=1,CW88,Inputs!CW280)</f>
        <v/>
      </c>
      <c r="CX91" s="19">
        <f>IF($F$25=1,CX88,Inputs!CX280)</f>
        <v/>
      </c>
      <c r="CY91" s="19">
        <f>IF($F$25=1,CY88,Inputs!CY280)</f>
        <v/>
      </c>
      <c r="CZ91" s="19">
        <f>IF($F$25=1,CZ88,Inputs!CZ280)</f>
        <v/>
      </c>
      <c r="DA91" s="19">
        <f>IF($F$25=1,DA88,Inputs!DA280)</f>
        <v/>
      </c>
      <c r="DB91" s="19">
        <f>IF($F$25=1,DB88,Inputs!DB280)</f>
        <v/>
      </c>
    </row>
    <row r="92">
      <c r="D92" s="3" t="inlineStr">
        <is>
          <t>Restructured Senior Notes</t>
        </is>
      </c>
    </row>
    <row r="93">
      <c r="D93" t="inlineStr">
        <is>
          <t>Opening balance</t>
        </is>
      </c>
      <c r="E93" t="inlineStr">
        <is>
          <t>ARD m</t>
        </is>
      </c>
      <c r="J93" s="19">
        <f>I94</f>
        <v/>
      </c>
      <c r="K93" s="19">
        <f>J94</f>
        <v/>
      </c>
      <c r="L93" s="19">
        <f>K94</f>
        <v/>
      </c>
      <c r="M93" s="19">
        <f>L94</f>
        <v/>
      </c>
      <c r="N93" s="19">
        <f>M94</f>
        <v/>
      </c>
      <c r="O93" s="19">
        <f>N94</f>
        <v/>
      </c>
      <c r="P93" s="19">
        <f>O94</f>
        <v/>
      </c>
      <c r="Q93" s="19">
        <f>P94</f>
        <v/>
      </c>
      <c r="R93" s="19">
        <f>Q94</f>
        <v/>
      </c>
      <c r="S93" s="19">
        <f>R94</f>
        <v/>
      </c>
      <c r="T93" s="19">
        <f>S94</f>
        <v/>
      </c>
      <c r="U93" s="19">
        <f>T94</f>
        <v/>
      </c>
      <c r="V93" s="19">
        <f>U94</f>
        <v/>
      </c>
      <c r="W93" s="19">
        <f>V94</f>
        <v/>
      </c>
      <c r="X93" s="19">
        <f>W94</f>
        <v/>
      </c>
      <c r="Y93" s="19">
        <f>X94</f>
        <v/>
      </c>
      <c r="Z93" s="19">
        <f>Y94</f>
        <v/>
      </c>
      <c r="AA93" s="19">
        <f>Z94</f>
        <v/>
      </c>
      <c r="AB93" s="19">
        <f>AA94</f>
        <v/>
      </c>
      <c r="AC93" s="19">
        <f>AB94</f>
        <v/>
      </c>
      <c r="AD93" s="19">
        <f>AC94</f>
        <v/>
      </c>
      <c r="AE93" s="19">
        <f>AD94</f>
        <v/>
      </c>
      <c r="AF93" s="19">
        <f>AE94</f>
        <v/>
      </c>
      <c r="AG93" s="19">
        <f>AF94</f>
        <v/>
      </c>
      <c r="AH93" s="19">
        <f>AG94</f>
        <v/>
      </c>
      <c r="AI93" s="19">
        <f>AH94</f>
        <v/>
      </c>
      <c r="AJ93" s="19">
        <f>AI94</f>
        <v/>
      </c>
      <c r="AK93" s="19">
        <f>AJ94</f>
        <v/>
      </c>
      <c r="AL93" s="19">
        <f>AK94</f>
        <v/>
      </c>
      <c r="AM93" s="19">
        <f>AL94</f>
        <v/>
      </c>
      <c r="AN93" s="19">
        <f>AM94</f>
        <v/>
      </c>
      <c r="AO93" s="19">
        <f>AN94</f>
        <v/>
      </c>
      <c r="AP93" s="19">
        <f>AO94</f>
        <v/>
      </c>
      <c r="AQ93" s="19">
        <f>AP94</f>
        <v/>
      </c>
      <c r="AR93" s="19">
        <f>AQ94</f>
        <v/>
      </c>
      <c r="AS93" s="19">
        <f>AR94</f>
        <v/>
      </c>
      <c r="AT93" s="19">
        <f>AS94</f>
        <v/>
      </c>
      <c r="AU93" s="19">
        <f>AT94</f>
        <v/>
      </c>
      <c r="AV93" s="19">
        <f>AU94</f>
        <v/>
      </c>
      <c r="AW93" s="19">
        <f>AV94</f>
        <v/>
      </c>
      <c r="AX93" s="19">
        <f>AW94</f>
        <v/>
      </c>
      <c r="AY93" s="19">
        <f>AX94</f>
        <v/>
      </c>
      <c r="AZ93" s="19">
        <f>AY94</f>
        <v/>
      </c>
      <c r="BA93" s="19">
        <f>AZ94</f>
        <v/>
      </c>
      <c r="BB93" s="19">
        <f>BA94</f>
        <v/>
      </c>
      <c r="BC93" s="19">
        <f>BB94</f>
        <v/>
      </c>
      <c r="BD93" s="19">
        <f>BC94</f>
        <v/>
      </c>
      <c r="BE93" s="19">
        <f>BD94</f>
        <v/>
      </c>
      <c r="BF93" s="19">
        <f>BE94</f>
        <v/>
      </c>
      <c r="BG93" s="19">
        <f>BF94</f>
        <v/>
      </c>
      <c r="BH93" s="19">
        <f>BG94</f>
        <v/>
      </c>
      <c r="BI93" s="19">
        <f>BH94</f>
        <v/>
      </c>
      <c r="BJ93" s="19">
        <f>BI94</f>
        <v/>
      </c>
      <c r="BK93" s="19">
        <f>BJ94</f>
        <v/>
      </c>
      <c r="BL93" s="19">
        <f>BK94</f>
        <v/>
      </c>
      <c r="BM93" s="19">
        <f>BL94</f>
        <v/>
      </c>
      <c r="BN93" s="19">
        <f>BM94</f>
        <v/>
      </c>
      <c r="BO93" s="19">
        <f>BN94</f>
        <v/>
      </c>
      <c r="BP93" s="19">
        <f>BO94</f>
        <v/>
      </c>
      <c r="BQ93" s="19">
        <f>BP94</f>
        <v/>
      </c>
      <c r="BR93" s="19">
        <f>BQ94</f>
        <v/>
      </c>
      <c r="BS93" s="19">
        <f>BR94</f>
        <v/>
      </c>
      <c r="BT93" s="19">
        <f>BS94</f>
        <v/>
      </c>
      <c r="BU93" s="19">
        <f>BT94</f>
        <v/>
      </c>
      <c r="BV93" s="19">
        <f>BU94</f>
        <v/>
      </c>
      <c r="BW93" s="19">
        <f>BV94</f>
        <v/>
      </c>
      <c r="BX93" s="19">
        <f>BW94</f>
        <v/>
      </c>
      <c r="BY93" s="19">
        <f>BX94</f>
        <v/>
      </c>
      <c r="BZ93" s="19">
        <f>BY94</f>
        <v/>
      </c>
      <c r="CA93" s="19">
        <f>BZ94</f>
        <v/>
      </c>
      <c r="CB93" s="19">
        <f>CA94</f>
        <v/>
      </c>
      <c r="CC93" s="19">
        <f>CB94</f>
        <v/>
      </c>
      <c r="CD93" s="19">
        <f>CC94</f>
        <v/>
      </c>
      <c r="CE93" s="19">
        <f>CD94</f>
        <v/>
      </c>
      <c r="CF93" s="19">
        <f>CE94</f>
        <v/>
      </c>
      <c r="CG93" s="19">
        <f>CF94</f>
        <v/>
      </c>
      <c r="CH93" s="19">
        <f>CG94</f>
        <v/>
      </c>
      <c r="CI93" s="19">
        <f>CH94</f>
        <v/>
      </c>
      <c r="CJ93" s="19">
        <f>CI94</f>
        <v/>
      </c>
      <c r="CK93" s="19">
        <f>CJ94</f>
        <v/>
      </c>
      <c r="CL93" s="19">
        <f>CK94</f>
        <v/>
      </c>
      <c r="CM93" s="19">
        <f>CL94</f>
        <v/>
      </c>
      <c r="CN93" s="19">
        <f>CM94</f>
        <v/>
      </c>
      <c r="CO93" s="19">
        <f>CN94</f>
        <v/>
      </c>
      <c r="CP93" s="19">
        <f>CO94</f>
        <v/>
      </c>
      <c r="CQ93" s="19">
        <f>CP94</f>
        <v/>
      </c>
      <c r="CR93" s="19">
        <f>CQ94</f>
        <v/>
      </c>
      <c r="CS93" s="19">
        <f>CR94</f>
        <v/>
      </c>
      <c r="CT93" s="19">
        <f>CS94</f>
        <v/>
      </c>
      <c r="CU93" s="19">
        <f>CT94</f>
        <v/>
      </c>
      <c r="CV93" s="19">
        <f>CU94</f>
        <v/>
      </c>
      <c r="CW93" s="19">
        <f>CV94</f>
        <v/>
      </c>
      <c r="CX93" s="19">
        <f>CW94</f>
        <v/>
      </c>
      <c r="CY93" s="19">
        <f>CX94</f>
        <v/>
      </c>
      <c r="CZ93" s="19">
        <f>CY94</f>
        <v/>
      </c>
      <c r="DA93" s="19">
        <f>CZ94</f>
        <v/>
      </c>
      <c r="DB93" s="19">
        <f>DA94</f>
        <v/>
      </c>
    </row>
    <row r="94">
      <c r="D94" t="inlineStr">
        <is>
          <t>Closing balance</t>
        </is>
      </c>
      <c r="E94" t="inlineStr">
        <is>
          <t>ARD m</t>
        </is>
      </c>
      <c r="J94" s="19">
        <f>IF(Time!J35=1,J77,J93-Waterfall!J22-Waterfall!J38)</f>
        <v/>
      </c>
      <c r="K94" s="19">
        <f>IF(Time!K35=1,K77,K93-Waterfall!K22-Waterfall!K38)</f>
        <v/>
      </c>
      <c r="L94" s="19">
        <f>IF(Time!L35=1,L77,L93-Waterfall!L22-Waterfall!L38)</f>
        <v/>
      </c>
      <c r="M94" s="19">
        <f>IF(Time!M35=1,M77,M93-Waterfall!M22-Waterfall!M38)</f>
        <v/>
      </c>
      <c r="N94" s="19">
        <f>IF(Time!N35=1,N77,N93-Waterfall!N22-Waterfall!N38)</f>
        <v/>
      </c>
      <c r="O94" s="19">
        <f>IF(Time!O35=1,O77,O93-Waterfall!O22-Waterfall!O38)</f>
        <v/>
      </c>
      <c r="P94" s="19">
        <f>IF(Time!P35=1,P77,P93-Waterfall!P22-Waterfall!P38)</f>
        <v/>
      </c>
      <c r="Q94" s="19">
        <f>IF(Time!Q35=1,Q77,Q93-Waterfall!Q22-Waterfall!Q38)</f>
        <v/>
      </c>
      <c r="R94" s="19">
        <f>IF(Time!R35=1,R77,R93-Waterfall!R22-Waterfall!R38)</f>
        <v/>
      </c>
      <c r="S94" s="19">
        <f>IF(Time!S35=1,S77,S93-Waterfall!S22-Waterfall!S38)</f>
        <v/>
      </c>
      <c r="T94" s="19">
        <f>IF(Time!T35=1,T77,T93-Waterfall!T22-Waterfall!T38)</f>
        <v/>
      </c>
      <c r="U94" s="19">
        <f>IF(Time!U35=1,U77,U93-Waterfall!U22-Waterfall!U38)</f>
        <v/>
      </c>
      <c r="V94" s="19">
        <f>IF(Time!V35=1,V77,V93-Waterfall!V22-Waterfall!V38)</f>
        <v/>
      </c>
      <c r="W94" s="19">
        <f>IF(Time!W35=1,W77,W93-Waterfall!W22-Waterfall!W38)</f>
        <v/>
      </c>
      <c r="X94" s="19">
        <f>IF(Time!X35=1,X77,X93-Waterfall!X22-Waterfall!X38)</f>
        <v/>
      </c>
      <c r="Y94" s="19">
        <f>IF(Time!Y35=1,Y77,Y93-Waterfall!Y22-Waterfall!Y38)</f>
        <v/>
      </c>
      <c r="Z94" s="19">
        <f>IF(Time!Z35=1,Z77,Z93-Waterfall!Z22-Waterfall!Z38)</f>
        <v/>
      </c>
      <c r="AA94" s="19">
        <f>IF(Time!AA35=1,AA77,AA93-Waterfall!AA22-Waterfall!AA38)</f>
        <v/>
      </c>
      <c r="AB94" s="19">
        <f>IF(Time!AB35=1,AB77,AB93-Waterfall!AB22-Waterfall!AB38)</f>
        <v/>
      </c>
      <c r="AC94" s="19">
        <f>IF(Time!AC35=1,AC77,AC93-Waterfall!AC22-Waterfall!AC38)</f>
        <v/>
      </c>
      <c r="AD94" s="19">
        <f>IF(Time!AD35=1,AD77,AD93-Waterfall!AD22-Waterfall!AD38)</f>
        <v/>
      </c>
      <c r="AE94" s="19">
        <f>IF(Time!AE35=1,AE77,AE93-Waterfall!AE22-Waterfall!AE38)</f>
        <v/>
      </c>
      <c r="AF94" s="19">
        <f>IF(Time!AF35=1,AF77,AF93-Waterfall!AF22-Waterfall!AF38)</f>
        <v/>
      </c>
      <c r="AG94" s="19">
        <f>IF(Time!AG35=1,AG77,AG93-Waterfall!AG22-Waterfall!AG38)</f>
        <v/>
      </c>
      <c r="AH94" s="19">
        <f>IF(Time!AH35=1,AH77,AH93-Waterfall!AH22-Waterfall!AH38)</f>
        <v/>
      </c>
      <c r="AI94" s="19">
        <f>IF(Time!AI35=1,AI77,AI93-Waterfall!AI22-Waterfall!AI38)</f>
        <v/>
      </c>
      <c r="AJ94" s="19">
        <f>IF(Time!AJ35=1,AJ77,AJ93-Waterfall!AJ22-Waterfall!AJ38)</f>
        <v/>
      </c>
      <c r="AK94" s="19">
        <f>IF(Time!AK35=1,AK77,AK93-Waterfall!AK22-Waterfall!AK38)</f>
        <v/>
      </c>
      <c r="AL94" s="19">
        <f>IF(Time!AL35=1,AL77,AL93-Waterfall!AL22-Waterfall!AL38)</f>
        <v/>
      </c>
      <c r="AM94" s="19">
        <f>IF(Time!AM35=1,AM77,AM93-Waterfall!AM22-Waterfall!AM38)</f>
        <v/>
      </c>
      <c r="AN94" s="19">
        <f>IF(Time!AN35=1,AN77,AN93-Waterfall!AN22-Waterfall!AN38)</f>
        <v/>
      </c>
      <c r="AO94" s="19">
        <f>IF(Time!AO35=1,AO77,AO93-Waterfall!AO22-Waterfall!AO38)</f>
        <v/>
      </c>
      <c r="AP94" s="19">
        <f>IF(Time!AP35=1,AP77,AP93-Waterfall!AP22-Waterfall!AP38)</f>
        <v/>
      </c>
      <c r="AQ94" s="19">
        <f>IF(Time!AQ35=1,AQ77,AQ93-Waterfall!AQ22-Waterfall!AQ38)</f>
        <v/>
      </c>
      <c r="AR94" s="19">
        <f>IF(Time!AR35=1,AR77,AR93-Waterfall!AR22-Waterfall!AR38)</f>
        <v/>
      </c>
      <c r="AS94" s="19">
        <f>IF(Time!AS35=1,AS77,AS93-Waterfall!AS22-Waterfall!AS38)</f>
        <v/>
      </c>
      <c r="AT94" s="19">
        <f>IF(Time!AT35=1,AT77,AT93-Waterfall!AT22-Waterfall!AT38)</f>
        <v/>
      </c>
      <c r="AU94" s="19">
        <f>IF(Time!AU35=1,AU77,AU93-Waterfall!AU22-Waterfall!AU38)</f>
        <v/>
      </c>
      <c r="AV94" s="19">
        <f>IF(Time!AV35=1,AV77,AV93-Waterfall!AV22-Waterfall!AV38)</f>
        <v/>
      </c>
      <c r="AW94" s="19">
        <f>IF(Time!AW35=1,AW77,AW93-Waterfall!AW22-Waterfall!AW38)</f>
        <v/>
      </c>
      <c r="AX94" s="19">
        <f>IF(Time!AX35=1,AX77,AX93-Waterfall!AX22-Waterfall!AX38)</f>
        <v/>
      </c>
      <c r="AY94" s="19">
        <f>IF(Time!AY35=1,AY77,AY93-Waterfall!AY22-Waterfall!AY38)</f>
        <v/>
      </c>
      <c r="AZ94" s="19">
        <f>IF(Time!AZ35=1,AZ77,AZ93-Waterfall!AZ22-Waterfall!AZ38)</f>
        <v/>
      </c>
      <c r="BA94" s="19">
        <f>IF(Time!BA35=1,BA77,BA93-Waterfall!BA22-Waterfall!BA38)</f>
        <v/>
      </c>
      <c r="BB94" s="19">
        <f>IF(Time!BB35=1,BB77,BB93-Waterfall!BB22-Waterfall!BB38)</f>
        <v/>
      </c>
      <c r="BC94" s="19">
        <f>IF(Time!BC35=1,BC77,BC93-Waterfall!BC22-Waterfall!BC38)</f>
        <v/>
      </c>
      <c r="BD94" s="19">
        <f>IF(Time!BD35=1,BD77,BD93-Waterfall!BD22-Waterfall!BD38)</f>
        <v/>
      </c>
      <c r="BE94" s="19">
        <f>IF(Time!BE35=1,BE77,BE93-Waterfall!BE22-Waterfall!BE38)</f>
        <v/>
      </c>
      <c r="BF94" s="19">
        <f>IF(Time!BF35=1,BF77,BF93-Waterfall!BF22-Waterfall!BF38)</f>
        <v/>
      </c>
      <c r="BG94" s="19">
        <f>IF(Time!BG35=1,BG77,BG93-Waterfall!BG22-Waterfall!BG38)</f>
        <v/>
      </c>
      <c r="BH94" s="19">
        <f>IF(Time!BH35=1,BH77,BH93-Waterfall!BH22-Waterfall!BH38)</f>
        <v/>
      </c>
      <c r="BI94" s="19">
        <f>IF(Time!BI35=1,BI77,BI93-Waterfall!BI22-Waterfall!BI38)</f>
        <v/>
      </c>
      <c r="BJ94" s="19">
        <f>IF(Time!BJ35=1,BJ77,BJ93-Waterfall!BJ22-Waterfall!BJ38)</f>
        <v/>
      </c>
      <c r="BK94" s="19">
        <f>IF(Time!BK35=1,BK77,BK93-Waterfall!BK22-Waterfall!BK38)</f>
        <v/>
      </c>
      <c r="BL94" s="19">
        <f>IF(Time!BL35=1,BL77,BL93-Waterfall!BL22-Waterfall!BL38)</f>
        <v/>
      </c>
      <c r="BM94" s="19">
        <f>IF(Time!BM35=1,BM77,BM93-Waterfall!BM22-Waterfall!BM38)</f>
        <v/>
      </c>
      <c r="BN94" s="19">
        <f>IF(Time!BN35=1,BN77,BN93-Waterfall!BN22-Waterfall!BN38)</f>
        <v/>
      </c>
      <c r="BO94" s="19">
        <f>IF(Time!BO35=1,BO77,BO93-Waterfall!BO22-Waterfall!BO38)</f>
        <v/>
      </c>
      <c r="BP94" s="19">
        <f>IF(Time!BP35=1,BP77,BP93-Waterfall!BP22-Waterfall!BP38)</f>
        <v/>
      </c>
      <c r="BQ94" s="19">
        <f>IF(Time!BQ35=1,BQ77,BQ93-Waterfall!BQ22-Waterfall!BQ38)</f>
        <v/>
      </c>
      <c r="BR94" s="19">
        <f>IF(Time!BR35=1,BR77,BR93-Waterfall!BR22-Waterfall!BR38)</f>
        <v/>
      </c>
      <c r="BS94" s="19">
        <f>IF(Time!BS35=1,BS77,BS93-Waterfall!BS22-Waterfall!BS38)</f>
        <v/>
      </c>
      <c r="BT94" s="19">
        <f>IF(Time!BT35=1,BT77,BT93-Waterfall!BT22-Waterfall!BT38)</f>
        <v/>
      </c>
      <c r="BU94" s="19">
        <f>IF(Time!BU35=1,BU77,BU93-Waterfall!BU22-Waterfall!BU38)</f>
        <v/>
      </c>
      <c r="BV94" s="19">
        <f>IF(Time!BV35=1,BV77,BV93-Waterfall!BV22-Waterfall!BV38)</f>
        <v/>
      </c>
      <c r="BW94" s="19">
        <f>IF(Time!BW35=1,BW77,BW93-Waterfall!BW22-Waterfall!BW38)</f>
        <v/>
      </c>
      <c r="BX94" s="19">
        <f>IF(Time!BX35=1,BX77,BX93-Waterfall!BX22-Waterfall!BX38)</f>
        <v/>
      </c>
      <c r="BY94" s="19">
        <f>IF(Time!BY35=1,BY77,BY93-Waterfall!BY22-Waterfall!BY38)</f>
        <v/>
      </c>
      <c r="BZ94" s="19">
        <f>IF(Time!BZ35=1,BZ77,BZ93-Waterfall!BZ22-Waterfall!BZ38)</f>
        <v/>
      </c>
      <c r="CA94" s="19">
        <f>IF(Time!CA35=1,CA77,CA93-Waterfall!CA22-Waterfall!CA38)</f>
        <v/>
      </c>
      <c r="CB94" s="19">
        <f>IF(Time!CB35=1,CB77,CB93-Waterfall!CB22-Waterfall!CB38)</f>
        <v/>
      </c>
      <c r="CC94" s="19">
        <f>IF(Time!CC35=1,CC77,CC93-Waterfall!CC22-Waterfall!CC38)</f>
        <v/>
      </c>
      <c r="CD94" s="19">
        <f>IF(Time!CD35=1,CD77,CD93-Waterfall!CD22-Waterfall!CD38)</f>
        <v/>
      </c>
      <c r="CE94" s="19">
        <f>IF(Time!CE35=1,CE77,CE93-Waterfall!CE22-Waterfall!CE38)</f>
        <v/>
      </c>
      <c r="CF94" s="19">
        <f>IF(Time!CF35=1,CF77,CF93-Waterfall!CF22-Waterfall!CF38)</f>
        <v/>
      </c>
      <c r="CG94" s="19">
        <f>IF(Time!CG35=1,CG77,CG93-Waterfall!CG22-Waterfall!CG38)</f>
        <v/>
      </c>
      <c r="CH94" s="19">
        <f>IF(Time!CH35=1,CH77,CH93-Waterfall!CH22-Waterfall!CH38)</f>
        <v/>
      </c>
      <c r="CI94" s="19">
        <f>IF(Time!CI35=1,CI77,CI93-Waterfall!CI22-Waterfall!CI38)</f>
        <v/>
      </c>
      <c r="CJ94" s="19">
        <f>IF(Time!CJ35=1,CJ77,CJ93-Waterfall!CJ22-Waterfall!CJ38)</f>
        <v/>
      </c>
      <c r="CK94" s="19">
        <f>IF(Time!CK35=1,CK77,CK93-Waterfall!CK22-Waterfall!CK38)</f>
        <v/>
      </c>
      <c r="CL94" s="19">
        <f>IF(Time!CL35=1,CL77,CL93-Waterfall!CL22-Waterfall!CL38)</f>
        <v/>
      </c>
      <c r="CM94" s="19">
        <f>IF(Time!CM35=1,CM77,CM93-Waterfall!CM22-Waterfall!CM38)</f>
        <v/>
      </c>
      <c r="CN94" s="19">
        <f>IF(Time!CN35=1,CN77,CN93-Waterfall!CN22-Waterfall!CN38)</f>
        <v/>
      </c>
      <c r="CO94" s="19">
        <f>IF(Time!CO35=1,CO77,CO93-Waterfall!CO22-Waterfall!CO38)</f>
        <v/>
      </c>
      <c r="CP94" s="19">
        <f>IF(Time!CP35=1,CP77,CP93-Waterfall!CP22-Waterfall!CP38)</f>
        <v/>
      </c>
      <c r="CQ94" s="19">
        <f>IF(Time!CQ35=1,CQ77,CQ93-Waterfall!CQ22-Waterfall!CQ38)</f>
        <v/>
      </c>
      <c r="CR94" s="19">
        <f>IF(Time!CR35=1,CR77,CR93-Waterfall!CR22-Waterfall!CR38)</f>
        <v/>
      </c>
      <c r="CS94" s="19">
        <f>IF(Time!CS35=1,CS77,CS93-Waterfall!CS22-Waterfall!CS38)</f>
        <v/>
      </c>
      <c r="CT94" s="19">
        <f>IF(Time!CT35=1,CT77,CT93-Waterfall!CT22-Waterfall!CT38)</f>
        <v/>
      </c>
      <c r="CU94" s="19">
        <f>IF(Time!CU35=1,CU77,CU93-Waterfall!CU22-Waterfall!CU38)</f>
        <v/>
      </c>
      <c r="CV94" s="19">
        <f>IF(Time!CV35=1,CV77,CV93-Waterfall!CV22-Waterfall!CV38)</f>
        <v/>
      </c>
      <c r="CW94" s="19">
        <f>IF(Time!CW35=1,CW77,CW93-Waterfall!CW22-Waterfall!CW38)</f>
        <v/>
      </c>
      <c r="CX94" s="19">
        <f>IF(Time!CX35=1,CX77,CX93-Waterfall!CX22-Waterfall!CX38)</f>
        <v/>
      </c>
      <c r="CY94" s="19">
        <f>IF(Time!CY35=1,CY77,CY93-Waterfall!CY22-Waterfall!CY38)</f>
        <v/>
      </c>
      <c r="CZ94" s="19">
        <f>IF(Time!CZ35=1,CZ77,CZ93-Waterfall!CZ22-Waterfall!CZ38)</f>
        <v/>
      </c>
      <c r="DA94" s="19">
        <f>IF(Time!DA35=1,DA77,DA93-Waterfall!DA22-Waterfall!DA38)</f>
        <v/>
      </c>
      <c r="DB94" s="19">
        <f>IF(Time!DB35=1,DB77,DB93-Waterfall!DB22-Waterfall!DB38)</f>
        <v/>
      </c>
    </row>
    <row r="95">
      <c r="D95" s="3" t="inlineStr">
        <is>
          <t>NILO loan</t>
        </is>
      </c>
    </row>
    <row r="96">
      <c r="D96" t="inlineStr">
        <is>
          <t>Opening balance</t>
        </is>
      </c>
      <c r="E96" t="inlineStr">
        <is>
          <t>ARD m</t>
        </is>
      </c>
      <c r="J96" s="19">
        <f>I102</f>
        <v/>
      </c>
      <c r="K96" s="19">
        <f>J102</f>
        <v/>
      </c>
      <c r="L96" s="19">
        <f>K102</f>
        <v/>
      </c>
      <c r="M96" s="19">
        <f>L102</f>
        <v/>
      </c>
      <c r="N96" s="19">
        <f>M102</f>
        <v/>
      </c>
      <c r="O96" s="19">
        <f>N102</f>
        <v/>
      </c>
      <c r="P96" s="19">
        <f>O102</f>
        <v/>
      </c>
      <c r="Q96" s="19">
        <f>P102</f>
        <v/>
      </c>
      <c r="R96" s="19">
        <f>Q102</f>
        <v/>
      </c>
      <c r="S96" s="19">
        <f>R102</f>
        <v/>
      </c>
      <c r="T96" s="19">
        <f>S102</f>
        <v/>
      </c>
      <c r="U96" s="19">
        <f>T102</f>
        <v/>
      </c>
      <c r="V96" s="19">
        <f>U102</f>
        <v/>
      </c>
      <c r="W96" s="19">
        <f>V102</f>
        <v/>
      </c>
      <c r="X96" s="19">
        <f>W102</f>
        <v/>
      </c>
      <c r="Y96" s="19">
        <f>X102</f>
        <v/>
      </c>
      <c r="Z96" s="19">
        <f>Y102</f>
        <v/>
      </c>
      <c r="AA96" s="19">
        <f>Z102</f>
        <v/>
      </c>
      <c r="AB96" s="19">
        <f>AA102</f>
        <v/>
      </c>
      <c r="AC96" s="19">
        <f>AB102</f>
        <v/>
      </c>
      <c r="AD96" s="19">
        <f>AC102</f>
        <v/>
      </c>
      <c r="AE96" s="19">
        <f>AD102</f>
        <v/>
      </c>
      <c r="AF96" s="19">
        <f>AE102</f>
        <v/>
      </c>
      <c r="AG96" s="19">
        <f>AF102</f>
        <v/>
      </c>
      <c r="AH96" s="19">
        <f>AG102</f>
        <v/>
      </c>
      <c r="AI96" s="19">
        <f>AH102</f>
        <v/>
      </c>
      <c r="AJ96" s="19">
        <f>AI102</f>
        <v/>
      </c>
      <c r="AK96" s="19">
        <f>AJ102</f>
        <v/>
      </c>
      <c r="AL96" s="19">
        <f>AK102</f>
        <v/>
      </c>
      <c r="AM96" s="19">
        <f>AL102</f>
        <v/>
      </c>
      <c r="AN96" s="19">
        <f>AM102</f>
        <v/>
      </c>
      <c r="AO96" s="19">
        <f>AN102</f>
        <v/>
      </c>
      <c r="AP96" s="19">
        <f>AO102</f>
        <v/>
      </c>
      <c r="AQ96" s="19">
        <f>AP102</f>
        <v/>
      </c>
      <c r="AR96" s="19">
        <f>AQ102</f>
        <v/>
      </c>
      <c r="AS96" s="19">
        <f>AR102</f>
        <v/>
      </c>
      <c r="AT96" s="19">
        <f>AS102</f>
        <v/>
      </c>
      <c r="AU96" s="19">
        <f>AT102</f>
        <v/>
      </c>
      <c r="AV96" s="19">
        <f>AU102</f>
        <v/>
      </c>
      <c r="AW96" s="19">
        <f>AV102</f>
        <v/>
      </c>
      <c r="AX96" s="19">
        <f>AW102</f>
        <v/>
      </c>
      <c r="AY96" s="19">
        <f>AX102</f>
        <v/>
      </c>
      <c r="AZ96" s="19">
        <f>AY102</f>
        <v/>
      </c>
      <c r="BA96" s="19">
        <f>AZ102</f>
        <v/>
      </c>
      <c r="BB96" s="19">
        <f>BA102</f>
        <v/>
      </c>
      <c r="BC96" s="19">
        <f>BB102</f>
        <v/>
      </c>
      <c r="BD96" s="19">
        <f>BC102</f>
        <v/>
      </c>
      <c r="BE96" s="19">
        <f>BD102</f>
        <v/>
      </c>
      <c r="BF96" s="19">
        <f>BE102</f>
        <v/>
      </c>
      <c r="BG96" s="19">
        <f>BF102</f>
        <v/>
      </c>
      <c r="BH96" s="19">
        <f>BG102</f>
        <v/>
      </c>
      <c r="BI96" s="19">
        <f>BH102</f>
        <v/>
      </c>
      <c r="BJ96" s="19">
        <f>BI102</f>
        <v/>
      </c>
      <c r="BK96" s="19">
        <f>BJ102</f>
        <v/>
      </c>
      <c r="BL96" s="19">
        <f>BK102</f>
        <v/>
      </c>
      <c r="BM96" s="19">
        <f>BL102</f>
        <v/>
      </c>
      <c r="BN96" s="19">
        <f>BM102</f>
        <v/>
      </c>
      <c r="BO96" s="19">
        <f>BN102</f>
        <v/>
      </c>
      <c r="BP96" s="19">
        <f>BO102</f>
        <v/>
      </c>
      <c r="BQ96" s="19">
        <f>BP102</f>
        <v/>
      </c>
      <c r="BR96" s="19">
        <f>BQ102</f>
        <v/>
      </c>
      <c r="BS96" s="19">
        <f>BR102</f>
        <v/>
      </c>
      <c r="BT96" s="19">
        <f>BS102</f>
        <v/>
      </c>
      <c r="BU96" s="19">
        <f>BT102</f>
        <v/>
      </c>
      <c r="BV96" s="19">
        <f>BU102</f>
        <v/>
      </c>
      <c r="BW96" s="19">
        <f>BV102</f>
        <v/>
      </c>
      <c r="BX96" s="19">
        <f>BW102</f>
        <v/>
      </c>
      <c r="BY96" s="19">
        <f>BX102</f>
        <v/>
      </c>
      <c r="BZ96" s="19">
        <f>BY102</f>
        <v/>
      </c>
      <c r="CA96" s="19">
        <f>BZ102</f>
        <v/>
      </c>
      <c r="CB96" s="19">
        <f>CA102</f>
        <v/>
      </c>
      <c r="CC96" s="19">
        <f>CB102</f>
        <v/>
      </c>
      <c r="CD96" s="19">
        <f>CC102</f>
        <v/>
      </c>
      <c r="CE96" s="19">
        <f>CD102</f>
        <v/>
      </c>
      <c r="CF96" s="19">
        <f>CE102</f>
        <v/>
      </c>
      <c r="CG96" s="19">
        <f>CF102</f>
        <v/>
      </c>
      <c r="CH96" s="19">
        <f>CG102</f>
        <v/>
      </c>
      <c r="CI96" s="19">
        <f>CH102</f>
        <v/>
      </c>
      <c r="CJ96" s="19">
        <f>CI102</f>
        <v/>
      </c>
      <c r="CK96" s="19">
        <f>CJ102</f>
        <v/>
      </c>
      <c r="CL96" s="19">
        <f>CK102</f>
        <v/>
      </c>
      <c r="CM96" s="19">
        <f>CL102</f>
        <v/>
      </c>
      <c r="CN96" s="19">
        <f>CM102</f>
        <v/>
      </c>
      <c r="CO96" s="19">
        <f>CN102</f>
        <v/>
      </c>
      <c r="CP96" s="19">
        <f>CO102</f>
        <v/>
      </c>
      <c r="CQ96" s="19">
        <f>CP102</f>
        <v/>
      </c>
      <c r="CR96" s="19">
        <f>CQ102</f>
        <v/>
      </c>
      <c r="CS96" s="19">
        <f>CR102</f>
        <v/>
      </c>
      <c r="CT96" s="19">
        <f>CS102</f>
        <v/>
      </c>
      <c r="CU96" s="19">
        <f>CT102</f>
        <v/>
      </c>
      <c r="CV96" s="19">
        <f>CU102</f>
        <v/>
      </c>
      <c r="CW96" s="19">
        <f>CV102</f>
        <v/>
      </c>
      <c r="CX96" s="19">
        <f>CW102</f>
        <v/>
      </c>
      <c r="CY96" s="19">
        <f>CX102</f>
        <v/>
      </c>
      <c r="CZ96" s="19">
        <f>CY102</f>
        <v/>
      </c>
      <c r="DA96" s="19">
        <f>CZ102</f>
        <v/>
      </c>
      <c r="DB96" s="19">
        <f>DA102</f>
        <v/>
      </c>
    </row>
    <row r="97">
      <c r="D97" t="inlineStr">
        <is>
          <t>Interest accrued (cash and capitalized)</t>
        </is>
      </c>
      <c r="E97" t="inlineStr">
        <is>
          <t>ARD m</t>
        </is>
      </c>
      <c r="G97" s="19">
        <f>SUM(J97:DB97)</f>
        <v/>
      </c>
      <c r="J97" s="19">
        <f>J96*Time!J50*Time!J9/Inputs!$F$46</f>
        <v/>
      </c>
      <c r="K97" s="19">
        <f>K96*Time!K50*Time!K9/Inputs!$F$46</f>
        <v/>
      </c>
      <c r="L97" s="19">
        <f>L96*Time!L50*Time!L9/Inputs!$F$46</f>
        <v/>
      </c>
      <c r="M97" s="19">
        <f>M96*Time!M50*Time!M9/Inputs!$F$46</f>
        <v/>
      </c>
      <c r="N97" s="19">
        <f>N96*Time!N50*Time!N9/Inputs!$F$46</f>
        <v/>
      </c>
      <c r="O97" s="19">
        <f>O96*Time!O50*Time!O9/Inputs!$F$46</f>
        <v/>
      </c>
      <c r="P97" s="19">
        <f>P96*Time!P50*Time!P9/Inputs!$F$46</f>
        <v/>
      </c>
      <c r="Q97" s="19">
        <f>Q96*Time!Q50*Time!Q9/Inputs!$F$46</f>
        <v/>
      </c>
      <c r="R97" s="19">
        <f>R96*Time!R50*Time!R9/Inputs!$F$46</f>
        <v/>
      </c>
      <c r="S97" s="19">
        <f>S96*Time!S50*Time!S9/Inputs!$F$46</f>
        <v/>
      </c>
      <c r="T97" s="19">
        <f>T96*Time!T50*Time!T9/Inputs!$F$46</f>
        <v/>
      </c>
      <c r="U97" s="19">
        <f>U96*Time!U50*Time!U9/Inputs!$F$46</f>
        <v/>
      </c>
      <c r="V97" s="19">
        <f>V96*Time!V50*Time!V9/Inputs!$F$46</f>
        <v/>
      </c>
      <c r="W97" s="19">
        <f>W96*Time!W50*Time!W9/Inputs!$F$46</f>
        <v/>
      </c>
      <c r="X97" s="19">
        <f>X96*Time!X50*Time!X9/Inputs!$F$46</f>
        <v/>
      </c>
      <c r="Y97" s="19">
        <f>Y96*Time!Y50*Time!Y9/Inputs!$F$46</f>
        <v/>
      </c>
      <c r="Z97" s="19">
        <f>Z96*Time!Z50*Time!Z9/Inputs!$F$46</f>
        <v/>
      </c>
      <c r="AA97" s="19">
        <f>AA96*Time!AA50*Time!AA9/Inputs!$F$46</f>
        <v/>
      </c>
      <c r="AB97" s="19">
        <f>AB96*Time!AB50*Time!AB9/Inputs!$F$46</f>
        <v/>
      </c>
      <c r="AC97" s="19">
        <f>AC96*Time!AC50*Time!AC9/Inputs!$F$46</f>
        <v/>
      </c>
      <c r="AD97" s="19">
        <f>AD96*Time!AD50*Time!AD9/Inputs!$F$46</f>
        <v/>
      </c>
      <c r="AE97" s="19">
        <f>AE96*Time!AE50*Time!AE9/Inputs!$F$46</f>
        <v/>
      </c>
      <c r="AF97" s="19">
        <f>AF96*Time!AF50*Time!AF9/Inputs!$F$46</f>
        <v/>
      </c>
      <c r="AG97" s="19">
        <f>AG96*Time!AG50*Time!AG9/Inputs!$F$46</f>
        <v/>
      </c>
      <c r="AH97" s="19">
        <f>AH96*Time!AH50*Time!AH9/Inputs!$F$46</f>
        <v/>
      </c>
      <c r="AI97" s="19">
        <f>AI96*Time!AI50*Time!AI9/Inputs!$F$46</f>
        <v/>
      </c>
      <c r="AJ97" s="19">
        <f>AJ96*Time!AJ50*Time!AJ9/Inputs!$F$46</f>
        <v/>
      </c>
      <c r="AK97" s="19">
        <f>AK96*Time!AK50*Time!AK9/Inputs!$F$46</f>
        <v/>
      </c>
      <c r="AL97" s="19">
        <f>AL96*Time!AL50*Time!AL9/Inputs!$F$46</f>
        <v/>
      </c>
      <c r="AM97" s="19">
        <f>AM96*Time!AM50*Time!AM9/Inputs!$F$46</f>
        <v/>
      </c>
      <c r="AN97" s="19">
        <f>AN96*Time!AN50*Time!AN9/Inputs!$F$46</f>
        <v/>
      </c>
      <c r="AO97" s="19">
        <f>AO96*Time!AO50*Time!AO9/Inputs!$F$46</f>
        <v/>
      </c>
      <c r="AP97" s="19">
        <f>AP96*Time!AP50*Time!AP9/Inputs!$F$46</f>
        <v/>
      </c>
      <c r="AQ97" s="19">
        <f>AQ96*Time!AQ50*Time!AQ9/Inputs!$F$46</f>
        <v/>
      </c>
      <c r="AR97" s="19">
        <f>AR96*Time!AR50*Time!AR9/Inputs!$F$46</f>
        <v/>
      </c>
      <c r="AS97" s="19">
        <f>AS96*Time!AS50*Time!AS9/Inputs!$F$46</f>
        <v/>
      </c>
      <c r="AT97" s="19">
        <f>AT96*Time!AT50*Time!AT9/Inputs!$F$46</f>
        <v/>
      </c>
      <c r="AU97" s="19">
        <f>AU96*Time!AU50*Time!AU9/Inputs!$F$46</f>
        <v/>
      </c>
      <c r="AV97" s="19">
        <f>AV96*Time!AV50*Time!AV9/Inputs!$F$46</f>
        <v/>
      </c>
      <c r="AW97" s="19">
        <f>AW96*Time!AW50*Time!AW9/Inputs!$F$46</f>
        <v/>
      </c>
      <c r="AX97" s="19">
        <f>AX96*Time!AX50*Time!AX9/Inputs!$F$46</f>
        <v/>
      </c>
      <c r="AY97" s="19">
        <f>AY96*Time!AY50*Time!AY9/Inputs!$F$46</f>
        <v/>
      </c>
      <c r="AZ97" s="19">
        <f>AZ96*Time!AZ50*Time!AZ9/Inputs!$F$46</f>
        <v/>
      </c>
      <c r="BA97" s="19">
        <f>BA96*Time!BA50*Time!BA9/Inputs!$F$46</f>
        <v/>
      </c>
      <c r="BB97" s="19">
        <f>BB96*Time!BB50*Time!BB9/Inputs!$F$46</f>
        <v/>
      </c>
      <c r="BC97" s="19">
        <f>BC96*Time!BC50*Time!BC9/Inputs!$F$46</f>
        <v/>
      </c>
      <c r="BD97" s="19">
        <f>BD96*Time!BD50*Time!BD9/Inputs!$F$46</f>
        <v/>
      </c>
      <c r="BE97" s="19">
        <f>BE96*Time!BE50*Time!BE9/Inputs!$F$46</f>
        <v/>
      </c>
      <c r="BF97" s="19">
        <f>BF96*Time!BF50*Time!BF9/Inputs!$F$46</f>
        <v/>
      </c>
      <c r="BG97" s="19">
        <f>BG96*Time!BG50*Time!BG9/Inputs!$F$46</f>
        <v/>
      </c>
      <c r="BH97" s="19">
        <f>BH96*Time!BH50*Time!BH9/Inputs!$F$46</f>
        <v/>
      </c>
      <c r="BI97" s="19">
        <f>BI96*Time!BI50*Time!BI9/Inputs!$F$46</f>
        <v/>
      </c>
      <c r="BJ97" s="19">
        <f>BJ96*Time!BJ50*Time!BJ9/Inputs!$F$46</f>
        <v/>
      </c>
      <c r="BK97" s="19">
        <f>BK96*Time!BK50*Time!BK9/Inputs!$F$46</f>
        <v/>
      </c>
      <c r="BL97" s="19">
        <f>BL96*Time!BL50*Time!BL9/Inputs!$F$46</f>
        <v/>
      </c>
      <c r="BM97" s="19">
        <f>BM96*Time!BM50*Time!BM9/Inputs!$F$46</f>
        <v/>
      </c>
      <c r="BN97" s="19">
        <f>BN96*Time!BN50*Time!BN9/Inputs!$F$46</f>
        <v/>
      </c>
      <c r="BO97" s="19">
        <f>BO96*Time!BO50*Time!BO9/Inputs!$F$46</f>
        <v/>
      </c>
      <c r="BP97" s="19">
        <f>BP96*Time!BP50*Time!BP9/Inputs!$F$46</f>
        <v/>
      </c>
      <c r="BQ97" s="19">
        <f>BQ96*Time!BQ50*Time!BQ9/Inputs!$F$46</f>
        <v/>
      </c>
      <c r="BR97" s="19">
        <f>BR96*Time!BR50*Time!BR9/Inputs!$F$46</f>
        <v/>
      </c>
      <c r="BS97" s="19">
        <f>BS96*Time!BS50*Time!BS9/Inputs!$F$46</f>
        <v/>
      </c>
      <c r="BT97" s="19">
        <f>BT96*Time!BT50*Time!BT9/Inputs!$F$46</f>
        <v/>
      </c>
      <c r="BU97" s="19">
        <f>BU96*Time!BU50*Time!BU9/Inputs!$F$46</f>
        <v/>
      </c>
      <c r="BV97" s="19">
        <f>BV96*Time!BV50*Time!BV9/Inputs!$F$46</f>
        <v/>
      </c>
      <c r="BW97" s="19">
        <f>BW96*Time!BW50*Time!BW9/Inputs!$F$46</f>
        <v/>
      </c>
      <c r="BX97" s="19">
        <f>BX96*Time!BX50*Time!BX9/Inputs!$F$46</f>
        <v/>
      </c>
      <c r="BY97" s="19">
        <f>BY96*Time!BY50*Time!BY9/Inputs!$F$46</f>
        <v/>
      </c>
      <c r="BZ97" s="19">
        <f>BZ96*Time!BZ50*Time!BZ9/Inputs!$F$46</f>
        <v/>
      </c>
      <c r="CA97" s="19">
        <f>CA96*Time!CA50*Time!CA9/Inputs!$F$46</f>
        <v/>
      </c>
      <c r="CB97" s="19">
        <f>CB96*Time!CB50*Time!CB9/Inputs!$F$46</f>
        <v/>
      </c>
      <c r="CC97" s="19">
        <f>CC96*Time!CC50*Time!CC9/Inputs!$F$46</f>
        <v/>
      </c>
      <c r="CD97" s="19">
        <f>CD96*Time!CD50*Time!CD9/Inputs!$F$46</f>
        <v/>
      </c>
      <c r="CE97" s="19">
        <f>CE96*Time!CE50*Time!CE9/Inputs!$F$46</f>
        <v/>
      </c>
      <c r="CF97" s="19">
        <f>CF96*Time!CF50*Time!CF9/Inputs!$F$46</f>
        <v/>
      </c>
      <c r="CG97" s="19">
        <f>CG96*Time!CG50*Time!CG9/Inputs!$F$46</f>
        <v/>
      </c>
      <c r="CH97" s="19">
        <f>CH96*Time!CH50*Time!CH9/Inputs!$F$46</f>
        <v/>
      </c>
      <c r="CI97" s="19">
        <f>CI96*Time!CI50*Time!CI9/Inputs!$F$46</f>
        <v/>
      </c>
      <c r="CJ97" s="19">
        <f>CJ96*Time!CJ50*Time!CJ9/Inputs!$F$46</f>
        <v/>
      </c>
      <c r="CK97" s="19">
        <f>CK96*Time!CK50*Time!CK9/Inputs!$F$46</f>
        <v/>
      </c>
      <c r="CL97" s="19">
        <f>CL96*Time!CL50*Time!CL9/Inputs!$F$46</f>
        <v/>
      </c>
      <c r="CM97" s="19">
        <f>CM96*Time!CM50*Time!CM9/Inputs!$F$46</f>
        <v/>
      </c>
      <c r="CN97" s="19">
        <f>CN96*Time!CN50*Time!CN9/Inputs!$F$46</f>
        <v/>
      </c>
      <c r="CO97" s="19">
        <f>CO96*Time!CO50*Time!CO9/Inputs!$F$46</f>
        <v/>
      </c>
      <c r="CP97" s="19">
        <f>CP96*Time!CP50*Time!CP9/Inputs!$F$46</f>
        <v/>
      </c>
      <c r="CQ97" s="19">
        <f>CQ96*Time!CQ50*Time!CQ9/Inputs!$F$46</f>
        <v/>
      </c>
      <c r="CR97" s="19">
        <f>CR96*Time!CR50*Time!CR9/Inputs!$F$46</f>
        <v/>
      </c>
      <c r="CS97" s="19">
        <f>CS96*Time!CS50*Time!CS9/Inputs!$F$46</f>
        <v/>
      </c>
      <c r="CT97" s="19">
        <f>CT96*Time!CT50*Time!CT9/Inputs!$F$46</f>
        <v/>
      </c>
      <c r="CU97" s="19">
        <f>CU96*Time!CU50*Time!CU9/Inputs!$F$46</f>
        <v/>
      </c>
      <c r="CV97" s="19">
        <f>CV96*Time!CV50*Time!CV9/Inputs!$F$46</f>
        <v/>
      </c>
      <c r="CW97" s="19">
        <f>CW96*Time!CW50*Time!CW9/Inputs!$F$46</f>
        <v/>
      </c>
      <c r="CX97" s="19">
        <f>CX96*Time!CX50*Time!CX9/Inputs!$F$46</f>
        <v/>
      </c>
      <c r="CY97" s="19">
        <f>CY96*Time!CY50*Time!CY9/Inputs!$F$46</f>
        <v/>
      </c>
      <c r="CZ97" s="19">
        <f>CZ96*Time!CZ50*Time!CZ9/Inputs!$F$46</f>
        <v/>
      </c>
      <c r="DA97" s="19">
        <f>DA96*Time!DA50*Time!DA9/Inputs!$F$46</f>
        <v/>
      </c>
      <c r="DB97" s="19">
        <f>DB96*Time!DB50*Time!DB9/Inputs!$F$46</f>
        <v/>
      </c>
    </row>
    <row r="98">
      <c r="D98" t="inlineStr">
        <is>
          <t>Cash interest due</t>
        </is>
      </c>
      <c r="E98" t="inlineStr">
        <is>
          <t>ARD m</t>
        </is>
      </c>
      <c r="G98" s="19">
        <f>SUM(J98:DB98)</f>
        <v/>
      </c>
      <c r="J98" s="19">
        <f>J97*Time!J51*(1-Time!J20)</f>
        <v/>
      </c>
      <c r="K98" s="19">
        <f>K97*Time!K51*(1-Time!K20)</f>
        <v/>
      </c>
      <c r="L98" s="19">
        <f>L97*Time!L51*(1-Time!L20)</f>
        <v/>
      </c>
      <c r="M98" s="19">
        <f>M97*Time!M51*(1-Time!M20)</f>
        <v/>
      </c>
      <c r="N98" s="19">
        <f>N97*Time!N51*(1-Time!N20)</f>
        <v/>
      </c>
      <c r="O98" s="19">
        <f>O97*Time!O51*(1-Time!O20)</f>
        <v/>
      </c>
      <c r="P98" s="19">
        <f>P97*Time!P51*(1-Time!P20)</f>
        <v/>
      </c>
      <c r="Q98" s="19">
        <f>Q97*Time!Q51*(1-Time!Q20)</f>
        <v/>
      </c>
      <c r="R98" s="19">
        <f>R97*Time!R51*(1-Time!R20)</f>
        <v/>
      </c>
      <c r="S98" s="19">
        <f>S97*Time!S51*(1-Time!S20)</f>
        <v/>
      </c>
      <c r="T98" s="19">
        <f>T97*Time!T51*(1-Time!T20)</f>
        <v/>
      </c>
      <c r="U98" s="19">
        <f>U97*Time!U51*(1-Time!U20)</f>
        <v/>
      </c>
      <c r="V98" s="19">
        <f>V97*Time!V51*(1-Time!V20)</f>
        <v/>
      </c>
      <c r="W98" s="19">
        <f>W97*Time!W51*(1-Time!W20)</f>
        <v/>
      </c>
      <c r="X98" s="19">
        <f>X97*Time!X51*(1-Time!X20)</f>
        <v/>
      </c>
      <c r="Y98" s="19">
        <f>Y97*Time!Y51*(1-Time!Y20)</f>
        <v/>
      </c>
      <c r="Z98" s="19">
        <f>Z97*Time!Z51*(1-Time!Z20)</f>
        <v/>
      </c>
      <c r="AA98" s="19">
        <f>AA97*Time!AA51*(1-Time!AA20)</f>
        <v/>
      </c>
      <c r="AB98" s="19">
        <f>AB97*Time!AB51*(1-Time!AB20)</f>
        <v/>
      </c>
      <c r="AC98" s="19">
        <f>AC97*Time!AC51*(1-Time!AC20)</f>
        <v/>
      </c>
      <c r="AD98" s="19">
        <f>AD97*Time!AD51*(1-Time!AD20)</f>
        <v/>
      </c>
      <c r="AE98" s="19">
        <f>AE97*Time!AE51*(1-Time!AE20)</f>
        <v/>
      </c>
      <c r="AF98" s="19">
        <f>AF97*Time!AF51*(1-Time!AF20)</f>
        <v/>
      </c>
      <c r="AG98" s="19">
        <f>AG97*Time!AG51*(1-Time!AG20)</f>
        <v/>
      </c>
      <c r="AH98" s="19">
        <f>AH97*Time!AH51*(1-Time!AH20)</f>
        <v/>
      </c>
      <c r="AI98" s="19">
        <f>AI97*Time!AI51*(1-Time!AI20)</f>
        <v/>
      </c>
      <c r="AJ98" s="19">
        <f>AJ97*Time!AJ51*(1-Time!AJ20)</f>
        <v/>
      </c>
      <c r="AK98" s="19">
        <f>AK97*Time!AK51*(1-Time!AK20)</f>
        <v/>
      </c>
      <c r="AL98" s="19">
        <f>AL97*Time!AL51*(1-Time!AL20)</f>
        <v/>
      </c>
      <c r="AM98" s="19">
        <f>AM97*Time!AM51*(1-Time!AM20)</f>
        <v/>
      </c>
      <c r="AN98" s="19">
        <f>AN97*Time!AN51*(1-Time!AN20)</f>
        <v/>
      </c>
      <c r="AO98" s="19">
        <f>AO97*Time!AO51*(1-Time!AO20)</f>
        <v/>
      </c>
      <c r="AP98" s="19">
        <f>AP97*Time!AP51*(1-Time!AP20)</f>
        <v/>
      </c>
      <c r="AQ98" s="19">
        <f>AQ97*Time!AQ51*(1-Time!AQ20)</f>
        <v/>
      </c>
      <c r="AR98" s="19">
        <f>AR97*Time!AR51*(1-Time!AR20)</f>
        <v/>
      </c>
      <c r="AS98" s="19">
        <f>AS97*Time!AS51*(1-Time!AS20)</f>
        <v/>
      </c>
      <c r="AT98" s="19">
        <f>AT97*Time!AT51*(1-Time!AT20)</f>
        <v/>
      </c>
      <c r="AU98" s="19">
        <f>AU97*Time!AU51*(1-Time!AU20)</f>
        <v/>
      </c>
      <c r="AV98" s="19">
        <f>AV97*Time!AV51*(1-Time!AV20)</f>
        <v/>
      </c>
      <c r="AW98" s="19">
        <f>AW97*Time!AW51*(1-Time!AW20)</f>
        <v/>
      </c>
      <c r="AX98" s="19">
        <f>AX97*Time!AX51*(1-Time!AX20)</f>
        <v/>
      </c>
      <c r="AY98" s="19">
        <f>AY97*Time!AY51*(1-Time!AY20)</f>
        <v/>
      </c>
      <c r="AZ98" s="19">
        <f>AZ97*Time!AZ51*(1-Time!AZ20)</f>
        <v/>
      </c>
      <c r="BA98" s="19">
        <f>BA97*Time!BA51*(1-Time!BA20)</f>
        <v/>
      </c>
      <c r="BB98" s="19">
        <f>BB97*Time!BB51*(1-Time!BB20)</f>
        <v/>
      </c>
      <c r="BC98" s="19">
        <f>BC97*Time!BC51*(1-Time!BC20)</f>
        <v/>
      </c>
      <c r="BD98" s="19">
        <f>BD97*Time!BD51*(1-Time!BD20)</f>
        <v/>
      </c>
      <c r="BE98" s="19">
        <f>BE97*Time!BE51*(1-Time!BE20)</f>
        <v/>
      </c>
      <c r="BF98" s="19">
        <f>BF97*Time!BF51*(1-Time!BF20)</f>
        <v/>
      </c>
      <c r="BG98" s="19">
        <f>BG97*Time!BG51*(1-Time!BG20)</f>
        <v/>
      </c>
      <c r="BH98" s="19">
        <f>BH97*Time!BH51*(1-Time!BH20)</f>
        <v/>
      </c>
      <c r="BI98" s="19">
        <f>BI97*Time!BI51*(1-Time!BI20)</f>
        <v/>
      </c>
      <c r="BJ98" s="19">
        <f>BJ97*Time!BJ51*(1-Time!BJ20)</f>
        <v/>
      </c>
      <c r="BK98" s="19">
        <f>BK97*Time!BK51*(1-Time!BK20)</f>
        <v/>
      </c>
      <c r="BL98" s="19">
        <f>BL97*Time!BL51*(1-Time!BL20)</f>
        <v/>
      </c>
      <c r="BM98" s="19">
        <f>BM97*Time!BM51*(1-Time!BM20)</f>
        <v/>
      </c>
      <c r="BN98" s="19">
        <f>BN97*Time!BN51*(1-Time!BN20)</f>
        <v/>
      </c>
      <c r="BO98" s="19">
        <f>BO97*Time!BO51*(1-Time!BO20)</f>
        <v/>
      </c>
      <c r="BP98" s="19">
        <f>BP97*Time!BP51*(1-Time!BP20)</f>
        <v/>
      </c>
      <c r="BQ98" s="19">
        <f>BQ97*Time!BQ51*(1-Time!BQ20)</f>
        <v/>
      </c>
      <c r="BR98" s="19">
        <f>BR97*Time!BR51*(1-Time!BR20)</f>
        <v/>
      </c>
      <c r="BS98" s="19">
        <f>BS97*Time!BS51*(1-Time!BS20)</f>
        <v/>
      </c>
      <c r="BT98" s="19">
        <f>BT97*Time!BT51*(1-Time!BT20)</f>
        <v/>
      </c>
      <c r="BU98" s="19">
        <f>BU97*Time!BU51*(1-Time!BU20)</f>
        <v/>
      </c>
      <c r="BV98" s="19">
        <f>BV97*Time!BV51*(1-Time!BV20)</f>
        <v/>
      </c>
      <c r="BW98" s="19">
        <f>BW97*Time!BW51*(1-Time!BW20)</f>
        <v/>
      </c>
      <c r="BX98" s="19">
        <f>BX97*Time!BX51*(1-Time!BX20)</f>
        <v/>
      </c>
      <c r="BY98" s="19">
        <f>BY97*Time!BY51*(1-Time!BY20)</f>
        <v/>
      </c>
      <c r="BZ98" s="19">
        <f>BZ97*Time!BZ51*(1-Time!BZ20)</f>
        <v/>
      </c>
      <c r="CA98" s="19">
        <f>CA97*Time!CA51*(1-Time!CA20)</f>
        <v/>
      </c>
      <c r="CB98" s="19">
        <f>CB97*Time!CB51*(1-Time!CB20)</f>
        <v/>
      </c>
      <c r="CC98" s="19">
        <f>CC97*Time!CC51*(1-Time!CC20)</f>
        <v/>
      </c>
      <c r="CD98" s="19">
        <f>CD97*Time!CD51*(1-Time!CD20)</f>
        <v/>
      </c>
      <c r="CE98" s="19">
        <f>CE97*Time!CE51*(1-Time!CE20)</f>
        <v/>
      </c>
      <c r="CF98" s="19">
        <f>CF97*Time!CF51*(1-Time!CF20)</f>
        <v/>
      </c>
      <c r="CG98" s="19">
        <f>CG97*Time!CG51*(1-Time!CG20)</f>
        <v/>
      </c>
      <c r="CH98" s="19">
        <f>CH97*Time!CH51*(1-Time!CH20)</f>
        <v/>
      </c>
      <c r="CI98" s="19">
        <f>CI97*Time!CI51*(1-Time!CI20)</f>
        <v/>
      </c>
      <c r="CJ98" s="19">
        <f>CJ97*Time!CJ51*(1-Time!CJ20)</f>
        <v/>
      </c>
      <c r="CK98" s="19">
        <f>CK97*Time!CK51*(1-Time!CK20)</f>
        <v/>
      </c>
      <c r="CL98" s="19">
        <f>CL97*Time!CL51*(1-Time!CL20)</f>
        <v/>
      </c>
      <c r="CM98" s="19">
        <f>CM97*Time!CM51*(1-Time!CM20)</f>
        <v/>
      </c>
      <c r="CN98" s="19">
        <f>CN97*Time!CN51*(1-Time!CN20)</f>
        <v/>
      </c>
      <c r="CO98" s="19">
        <f>CO97*Time!CO51*(1-Time!CO20)</f>
        <v/>
      </c>
      <c r="CP98" s="19">
        <f>CP97*Time!CP51*(1-Time!CP20)</f>
        <v/>
      </c>
      <c r="CQ98" s="19">
        <f>CQ97*Time!CQ51*(1-Time!CQ20)</f>
        <v/>
      </c>
      <c r="CR98" s="19">
        <f>CR97*Time!CR51*(1-Time!CR20)</f>
        <v/>
      </c>
      <c r="CS98" s="19">
        <f>CS97*Time!CS51*(1-Time!CS20)</f>
        <v/>
      </c>
      <c r="CT98" s="19">
        <f>CT97*Time!CT51*(1-Time!CT20)</f>
        <v/>
      </c>
      <c r="CU98" s="19">
        <f>CU97*Time!CU51*(1-Time!CU20)</f>
        <v/>
      </c>
      <c r="CV98" s="19">
        <f>CV97*Time!CV51*(1-Time!CV20)</f>
        <v/>
      </c>
      <c r="CW98" s="19">
        <f>CW97*Time!CW51*(1-Time!CW20)</f>
        <v/>
      </c>
      <c r="CX98" s="19">
        <f>CX97*Time!CX51*(1-Time!CX20)</f>
        <v/>
      </c>
      <c r="CY98" s="19">
        <f>CY97*Time!CY51*(1-Time!CY20)</f>
        <v/>
      </c>
      <c r="CZ98" s="19">
        <f>CZ97*Time!CZ51*(1-Time!CZ20)</f>
        <v/>
      </c>
      <c r="DA98" s="19">
        <f>DA97*Time!DA51*(1-Time!DA20)</f>
        <v/>
      </c>
      <c r="DB98" s="19">
        <f>DB97*Time!DB51*(1-Time!DB20)</f>
        <v/>
      </c>
    </row>
    <row r="99">
      <c r="D99" t="inlineStr">
        <is>
          <t>Principal due</t>
        </is>
      </c>
      <c r="E99" t="inlineStr">
        <is>
          <t>ARD m</t>
        </is>
      </c>
      <c r="G99" s="19">
        <f>SUM(J99:DB99)</f>
        <v/>
      </c>
      <c r="J99" s="19">
        <f>MIN(J116,J96+J97-J98)*(1-Time!J20)</f>
        <v/>
      </c>
      <c r="K99" s="19">
        <f>MIN(K116,K96+K97-K98)*(1-Time!K20)</f>
        <v/>
      </c>
      <c r="L99" s="19">
        <f>MIN(L116,L96+L97-L98)*(1-Time!L20)</f>
        <v/>
      </c>
      <c r="M99" s="19">
        <f>MIN(M116,M96+M97-M98)*(1-Time!M20)</f>
        <v/>
      </c>
      <c r="N99" s="19">
        <f>MIN(N116,N96+N97-N98)*(1-Time!N20)</f>
        <v/>
      </c>
      <c r="O99" s="19">
        <f>MIN(O116,O96+O97-O98)*(1-Time!O20)</f>
        <v/>
      </c>
      <c r="P99" s="19">
        <f>MIN(P116,P96+P97-P98)*(1-Time!P20)</f>
        <v/>
      </c>
      <c r="Q99" s="19">
        <f>MIN(Q116,Q96+Q97-Q98)*(1-Time!Q20)</f>
        <v/>
      </c>
      <c r="R99" s="19">
        <f>MIN(R116,R96+R97-R98)*(1-Time!R20)</f>
        <v/>
      </c>
      <c r="S99" s="19">
        <f>MIN(S116,S96+S97-S98)*(1-Time!S20)</f>
        <v/>
      </c>
      <c r="T99" s="19">
        <f>MIN(T116,T96+T97-T98)*(1-Time!T20)</f>
        <v/>
      </c>
      <c r="U99" s="19">
        <f>MIN(U116,U96+U97-U98)*(1-Time!U20)</f>
        <v/>
      </c>
      <c r="V99" s="19">
        <f>MIN(V116,V96+V97-V98)*(1-Time!V20)</f>
        <v/>
      </c>
      <c r="W99" s="19">
        <f>MIN(W116,W96+W97-W98)*(1-Time!W20)</f>
        <v/>
      </c>
      <c r="X99" s="19">
        <f>MIN(X116,X96+X97-X98)*(1-Time!X20)</f>
        <v/>
      </c>
      <c r="Y99" s="19">
        <f>MIN(Y116,Y96+Y97-Y98)*(1-Time!Y20)</f>
        <v/>
      </c>
      <c r="Z99" s="19">
        <f>MIN(Z116,Z96+Z97-Z98)*(1-Time!Z20)</f>
        <v/>
      </c>
      <c r="AA99" s="19">
        <f>MIN(AA116,AA96+AA97-AA98)*(1-Time!AA20)</f>
        <v/>
      </c>
      <c r="AB99" s="19">
        <f>MIN(AB116,AB96+AB97-AB98)*(1-Time!AB20)</f>
        <v/>
      </c>
      <c r="AC99" s="19">
        <f>MIN(AC116,AC96+AC97-AC98)*(1-Time!AC20)</f>
        <v/>
      </c>
      <c r="AD99" s="19">
        <f>MIN(AD116,AD96+AD97-AD98)*(1-Time!AD20)</f>
        <v/>
      </c>
      <c r="AE99" s="19">
        <f>MIN(AE116,AE96+AE97-AE98)*(1-Time!AE20)</f>
        <v/>
      </c>
      <c r="AF99" s="19">
        <f>MIN(AF116,AF96+AF97-AF98)*(1-Time!AF20)</f>
        <v/>
      </c>
      <c r="AG99" s="19">
        <f>MIN(AG116,AG96+AG97-AG98)*(1-Time!AG20)</f>
        <v/>
      </c>
      <c r="AH99" s="19">
        <f>MIN(AH116,AH96+AH97-AH98)*(1-Time!AH20)</f>
        <v/>
      </c>
      <c r="AI99" s="19">
        <f>MIN(AI116,AI96+AI97-AI98)*(1-Time!AI20)</f>
        <v/>
      </c>
      <c r="AJ99" s="19">
        <f>MIN(AJ116,AJ96+AJ97-AJ98)*(1-Time!AJ20)</f>
        <v/>
      </c>
      <c r="AK99" s="19">
        <f>MIN(AK116,AK96+AK97-AK98)*(1-Time!AK20)</f>
        <v/>
      </c>
      <c r="AL99" s="19">
        <f>MIN(AL116,AL96+AL97-AL98)*(1-Time!AL20)</f>
        <v/>
      </c>
      <c r="AM99" s="19">
        <f>MIN(AM116,AM96+AM97-AM98)*(1-Time!AM20)</f>
        <v/>
      </c>
      <c r="AN99" s="19">
        <f>MIN(AN116,AN96+AN97-AN98)*(1-Time!AN20)</f>
        <v/>
      </c>
      <c r="AO99" s="19">
        <f>MIN(AO116,AO96+AO97-AO98)*(1-Time!AO20)</f>
        <v/>
      </c>
      <c r="AP99" s="19">
        <f>MIN(AP116,AP96+AP97-AP98)*(1-Time!AP20)</f>
        <v/>
      </c>
      <c r="AQ99" s="19">
        <f>MIN(AQ116,AQ96+AQ97-AQ98)*(1-Time!AQ20)</f>
        <v/>
      </c>
      <c r="AR99" s="19">
        <f>MIN(AR116,AR96+AR97-AR98)*(1-Time!AR20)</f>
        <v/>
      </c>
      <c r="AS99" s="19">
        <f>MIN(AS116,AS96+AS97-AS98)*(1-Time!AS20)</f>
        <v/>
      </c>
      <c r="AT99" s="19">
        <f>MIN(AT116,AT96+AT97-AT98)*(1-Time!AT20)</f>
        <v/>
      </c>
      <c r="AU99" s="19">
        <f>MIN(AU116,AU96+AU97-AU98)*(1-Time!AU20)</f>
        <v/>
      </c>
      <c r="AV99" s="19">
        <f>MIN(AV116,AV96+AV97-AV98)*(1-Time!AV20)</f>
        <v/>
      </c>
      <c r="AW99" s="19">
        <f>MIN(AW116,AW96+AW97-AW98)*(1-Time!AW20)</f>
        <v/>
      </c>
      <c r="AX99" s="19">
        <f>MIN(AX116,AX96+AX97-AX98)*(1-Time!AX20)</f>
        <v/>
      </c>
      <c r="AY99" s="19">
        <f>MIN(AY116,AY96+AY97-AY98)*(1-Time!AY20)</f>
        <v/>
      </c>
      <c r="AZ99" s="19">
        <f>MIN(AZ116,AZ96+AZ97-AZ98)*(1-Time!AZ20)</f>
        <v/>
      </c>
      <c r="BA99" s="19">
        <f>MIN(BA116,BA96+BA97-BA98)*(1-Time!BA20)</f>
        <v/>
      </c>
      <c r="BB99" s="19">
        <f>MIN(BB116,BB96+BB97-BB98)*(1-Time!BB20)</f>
        <v/>
      </c>
      <c r="BC99" s="19">
        <f>MIN(BC116,BC96+BC97-BC98)*(1-Time!BC20)</f>
        <v/>
      </c>
      <c r="BD99" s="19">
        <f>MIN(BD116,BD96+BD97-BD98)*(1-Time!BD20)</f>
        <v/>
      </c>
      <c r="BE99" s="19">
        <f>MIN(BE116,BE96+BE97-BE98)*(1-Time!BE20)</f>
        <v/>
      </c>
      <c r="BF99" s="19">
        <f>MIN(BF116,BF96+BF97-BF98)*(1-Time!BF20)</f>
        <v/>
      </c>
      <c r="BG99" s="19">
        <f>MIN(BG116,BG96+BG97-BG98)*(1-Time!BG20)</f>
        <v/>
      </c>
      <c r="BH99" s="19">
        <f>MIN(BH116,BH96+BH97-BH98)*(1-Time!BH20)</f>
        <v/>
      </c>
      <c r="BI99" s="19">
        <f>MIN(BI116,BI96+BI97-BI98)*(1-Time!BI20)</f>
        <v/>
      </c>
      <c r="BJ99" s="19">
        <f>MIN(BJ116,BJ96+BJ97-BJ98)*(1-Time!BJ20)</f>
        <v/>
      </c>
      <c r="BK99" s="19">
        <f>MIN(BK116,BK96+BK97-BK98)*(1-Time!BK20)</f>
        <v/>
      </c>
      <c r="BL99" s="19">
        <f>MIN(BL116,BL96+BL97-BL98)*(1-Time!BL20)</f>
        <v/>
      </c>
      <c r="BM99" s="19">
        <f>MIN(BM116,BM96+BM97-BM98)*(1-Time!BM20)</f>
        <v/>
      </c>
      <c r="BN99" s="19">
        <f>MIN(BN116,BN96+BN97-BN98)*(1-Time!BN20)</f>
        <v/>
      </c>
      <c r="BO99" s="19">
        <f>MIN(BO116,BO96+BO97-BO98)*(1-Time!BO20)</f>
        <v/>
      </c>
      <c r="BP99" s="19">
        <f>MIN(BP116,BP96+BP97-BP98)*(1-Time!BP20)</f>
        <v/>
      </c>
      <c r="BQ99" s="19">
        <f>MIN(BQ116,BQ96+BQ97-BQ98)*(1-Time!BQ20)</f>
        <v/>
      </c>
      <c r="BR99" s="19">
        <f>MIN(BR116,BR96+BR97-BR98)*(1-Time!BR20)</f>
        <v/>
      </c>
      <c r="BS99" s="19">
        <f>MIN(BS116,BS96+BS97-BS98)*(1-Time!BS20)</f>
        <v/>
      </c>
      <c r="BT99" s="19">
        <f>MIN(BT116,BT96+BT97-BT98)*(1-Time!BT20)</f>
        <v/>
      </c>
      <c r="BU99" s="19">
        <f>MIN(BU116,BU96+BU97-BU98)*(1-Time!BU20)</f>
        <v/>
      </c>
      <c r="BV99" s="19">
        <f>MIN(BV116,BV96+BV97-BV98)*(1-Time!BV20)</f>
        <v/>
      </c>
      <c r="BW99" s="19">
        <f>MIN(BW116,BW96+BW97-BW98)*(1-Time!BW20)</f>
        <v/>
      </c>
      <c r="BX99" s="19">
        <f>MIN(BX116,BX96+BX97-BX98)*(1-Time!BX20)</f>
        <v/>
      </c>
      <c r="BY99" s="19">
        <f>MIN(BY116,BY96+BY97-BY98)*(1-Time!BY20)</f>
        <v/>
      </c>
      <c r="BZ99" s="19">
        <f>MIN(BZ116,BZ96+BZ97-BZ98)*(1-Time!BZ20)</f>
        <v/>
      </c>
      <c r="CA99" s="19">
        <f>MIN(CA116,CA96+CA97-CA98)*(1-Time!CA20)</f>
        <v/>
      </c>
      <c r="CB99" s="19">
        <f>MIN(CB116,CB96+CB97-CB98)*(1-Time!CB20)</f>
        <v/>
      </c>
      <c r="CC99" s="19">
        <f>MIN(CC116,CC96+CC97-CC98)*(1-Time!CC20)</f>
        <v/>
      </c>
      <c r="CD99" s="19">
        <f>MIN(CD116,CD96+CD97-CD98)*(1-Time!CD20)</f>
        <v/>
      </c>
      <c r="CE99" s="19">
        <f>MIN(CE116,CE96+CE97-CE98)*(1-Time!CE20)</f>
        <v/>
      </c>
      <c r="CF99" s="19">
        <f>MIN(CF116,CF96+CF97-CF98)*(1-Time!CF20)</f>
        <v/>
      </c>
      <c r="CG99" s="19">
        <f>MIN(CG116,CG96+CG97-CG98)*(1-Time!CG20)</f>
        <v/>
      </c>
      <c r="CH99" s="19">
        <f>MIN(CH116,CH96+CH97-CH98)*(1-Time!CH20)</f>
        <v/>
      </c>
      <c r="CI99" s="19">
        <f>MIN(CI116,CI96+CI97-CI98)*(1-Time!CI20)</f>
        <v/>
      </c>
      <c r="CJ99" s="19">
        <f>MIN(CJ116,CJ96+CJ97-CJ98)*(1-Time!CJ20)</f>
        <v/>
      </c>
      <c r="CK99" s="19">
        <f>MIN(CK116,CK96+CK97-CK98)*(1-Time!CK20)</f>
        <v/>
      </c>
      <c r="CL99" s="19">
        <f>MIN(CL116,CL96+CL97-CL98)*(1-Time!CL20)</f>
        <v/>
      </c>
      <c r="CM99" s="19">
        <f>MIN(CM116,CM96+CM97-CM98)*(1-Time!CM20)</f>
        <v/>
      </c>
      <c r="CN99" s="19">
        <f>MIN(CN116,CN96+CN97-CN98)*(1-Time!CN20)</f>
        <v/>
      </c>
      <c r="CO99" s="19">
        <f>MIN(CO116,CO96+CO97-CO98)*(1-Time!CO20)</f>
        <v/>
      </c>
      <c r="CP99" s="19">
        <f>MIN(CP116,CP96+CP97-CP98)*(1-Time!CP20)</f>
        <v/>
      </c>
      <c r="CQ99" s="19">
        <f>MIN(CQ116,CQ96+CQ97-CQ98)*(1-Time!CQ20)</f>
        <v/>
      </c>
      <c r="CR99" s="19">
        <f>MIN(CR116,CR96+CR97-CR98)*(1-Time!CR20)</f>
        <v/>
      </c>
      <c r="CS99" s="19">
        <f>MIN(CS116,CS96+CS97-CS98)*(1-Time!CS20)</f>
        <v/>
      </c>
      <c r="CT99" s="19">
        <f>MIN(CT116,CT96+CT97-CT98)*(1-Time!CT20)</f>
        <v/>
      </c>
      <c r="CU99" s="19">
        <f>MIN(CU116,CU96+CU97-CU98)*(1-Time!CU20)</f>
        <v/>
      </c>
      <c r="CV99" s="19">
        <f>MIN(CV116,CV96+CV97-CV98)*(1-Time!CV20)</f>
        <v/>
      </c>
      <c r="CW99" s="19">
        <f>MIN(CW116,CW96+CW97-CW98)*(1-Time!CW20)</f>
        <v/>
      </c>
      <c r="CX99" s="19">
        <f>MIN(CX116,CX96+CX97-CX98)*(1-Time!CX20)</f>
        <v/>
      </c>
      <c r="CY99" s="19">
        <f>MIN(CY116,CY96+CY97-CY98)*(1-Time!CY20)</f>
        <v/>
      </c>
      <c r="CZ99" s="19">
        <f>MIN(CZ116,CZ96+CZ97-CZ98)*(1-Time!CZ20)</f>
        <v/>
      </c>
      <c r="DA99" s="19">
        <f>MIN(DA116,DA96+DA97-DA98)*(1-Time!DA20)</f>
        <v/>
      </c>
      <c r="DB99" s="19">
        <f>MIN(DB116,DB96+DB97-DB98)*(1-Time!DB20)</f>
        <v/>
      </c>
    </row>
    <row r="100">
      <c r="D100" t="inlineStr">
        <is>
          <t>Total due incl. shortfall brought forward</t>
        </is>
      </c>
      <c r="E100" t="inlineStr">
        <is>
          <t>ARD m</t>
        </is>
      </c>
      <c r="G100" s="19">
        <f>SUM(J100:DB100)</f>
        <v/>
      </c>
      <c r="J100" s="19">
        <f>J98+J99+I101</f>
        <v/>
      </c>
      <c r="K100" s="19">
        <f>K98+K99+J101</f>
        <v/>
      </c>
      <c r="L100" s="19">
        <f>L98+L99+K101</f>
        <v/>
      </c>
      <c r="M100" s="19">
        <f>M98+M99+L101</f>
        <v/>
      </c>
      <c r="N100" s="19">
        <f>N98+N99+M101</f>
        <v/>
      </c>
      <c r="O100" s="19">
        <f>O98+O99+N101</f>
        <v/>
      </c>
      <c r="P100" s="19">
        <f>P98+P99+O101</f>
        <v/>
      </c>
      <c r="Q100" s="19">
        <f>Q98+Q99+P101</f>
        <v/>
      </c>
      <c r="R100" s="19">
        <f>R98+R99+Q101</f>
        <v/>
      </c>
      <c r="S100" s="19">
        <f>S98+S99+R101</f>
        <v/>
      </c>
      <c r="T100" s="19">
        <f>T98+T99+S101</f>
        <v/>
      </c>
      <c r="U100" s="19">
        <f>U98+U99+T101</f>
        <v/>
      </c>
      <c r="V100" s="19">
        <f>V98+V99+U101</f>
        <v/>
      </c>
      <c r="W100" s="19">
        <f>W98+W99+V101</f>
        <v/>
      </c>
      <c r="X100" s="19">
        <f>X98+X99+W101</f>
        <v/>
      </c>
      <c r="Y100" s="19">
        <f>Y98+Y99+X101</f>
        <v/>
      </c>
      <c r="Z100" s="19">
        <f>Z98+Z99+Y101</f>
        <v/>
      </c>
      <c r="AA100" s="19">
        <f>AA98+AA99+Z101</f>
        <v/>
      </c>
      <c r="AB100" s="19">
        <f>AB98+AB99+AA101</f>
        <v/>
      </c>
      <c r="AC100" s="19">
        <f>AC98+AC99+AB101</f>
        <v/>
      </c>
      <c r="AD100" s="19">
        <f>AD98+AD99+AC101</f>
        <v/>
      </c>
      <c r="AE100" s="19">
        <f>AE98+AE99+AD101</f>
        <v/>
      </c>
      <c r="AF100" s="19">
        <f>AF98+AF99+AE101</f>
        <v/>
      </c>
      <c r="AG100" s="19">
        <f>AG98+AG99+AF101</f>
        <v/>
      </c>
      <c r="AH100" s="19">
        <f>AH98+AH99+AG101</f>
        <v/>
      </c>
      <c r="AI100" s="19">
        <f>AI98+AI99+AH101</f>
        <v/>
      </c>
      <c r="AJ100" s="19">
        <f>AJ98+AJ99+AI101</f>
        <v/>
      </c>
      <c r="AK100" s="19">
        <f>AK98+AK99+AJ101</f>
        <v/>
      </c>
      <c r="AL100" s="19">
        <f>AL98+AL99+AK101</f>
        <v/>
      </c>
      <c r="AM100" s="19">
        <f>AM98+AM99+AL101</f>
        <v/>
      </c>
      <c r="AN100" s="19">
        <f>AN98+AN99+AM101</f>
        <v/>
      </c>
      <c r="AO100" s="19">
        <f>AO98+AO99+AN101</f>
        <v/>
      </c>
      <c r="AP100" s="19">
        <f>AP98+AP99+AO101</f>
        <v/>
      </c>
      <c r="AQ100" s="19">
        <f>AQ98+AQ99+AP101</f>
        <v/>
      </c>
      <c r="AR100" s="19">
        <f>AR98+AR99+AQ101</f>
        <v/>
      </c>
      <c r="AS100" s="19">
        <f>AS98+AS99+AR101</f>
        <v/>
      </c>
      <c r="AT100" s="19">
        <f>AT98+AT99+AS101</f>
        <v/>
      </c>
      <c r="AU100" s="19">
        <f>AU98+AU99+AT101</f>
        <v/>
      </c>
      <c r="AV100" s="19">
        <f>AV98+AV99+AU101</f>
        <v/>
      </c>
      <c r="AW100" s="19">
        <f>AW98+AW99+AV101</f>
        <v/>
      </c>
      <c r="AX100" s="19">
        <f>AX98+AX99+AW101</f>
        <v/>
      </c>
      <c r="AY100" s="19">
        <f>AY98+AY99+AX101</f>
        <v/>
      </c>
      <c r="AZ100" s="19">
        <f>AZ98+AZ99+AY101</f>
        <v/>
      </c>
      <c r="BA100" s="19">
        <f>BA98+BA99+AZ101</f>
        <v/>
      </c>
      <c r="BB100" s="19">
        <f>BB98+BB99+BA101</f>
        <v/>
      </c>
      <c r="BC100" s="19">
        <f>BC98+BC99+BB101</f>
        <v/>
      </c>
      <c r="BD100" s="19">
        <f>BD98+BD99+BC101</f>
        <v/>
      </c>
      <c r="BE100" s="19">
        <f>BE98+BE99+BD101</f>
        <v/>
      </c>
      <c r="BF100" s="19">
        <f>BF98+BF99+BE101</f>
        <v/>
      </c>
      <c r="BG100" s="19">
        <f>BG98+BG99+BF101</f>
        <v/>
      </c>
      <c r="BH100" s="19">
        <f>BH98+BH99+BG101</f>
        <v/>
      </c>
      <c r="BI100" s="19">
        <f>BI98+BI99+BH101</f>
        <v/>
      </c>
      <c r="BJ100" s="19">
        <f>BJ98+BJ99+BI101</f>
        <v/>
      </c>
      <c r="BK100" s="19">
        <f>BK98+BK99+BJ101</f>
        <v/>
      </c>
      <c r="BL100" s="19">
        <f>BL98+BL99+BK101</f>
        <v/>
      </c>
      <c r="BM100" s="19">
        <f>BM98+BM99+BL101</f>
        <v/>
      </c>
      <c r="BN100" s="19">
        <f>BN98+BN99+BM101</f>
        <v/>
      </c>
      <c r="BO100" s="19">
        <f>BO98+BO99+BN101</f>
        <v/>
      </c>
      <c r="BP100" s="19">
        <f>BP98+BP99+BO101</f>
        <v/>
      </c>
      <c r="BQ100" s="19">
        <f>BQ98+BQ99+BP101</f>
        <v/>
      </c>
      <c r="BR100" s="19">
        <f>BR98+BR99+BQ101</f>
        <v/>
      </c>
      <c r="BS100" s="19">
        <f>BS98+BS99+BR101</f>
        <v/>
      </c>
      <c r="BT100" s="19">
        <f>BT98+BT99+BS101</f>
        <v/>
      </c>
      <c r="BU100" s="19">
        <f>BU98+BU99+BT101</f>
        <v/>
      </c>
      <c r="BV100" s="19">
        <f>BV98+BV99+BU101</f>
        <v/>
      </c>
      <c r="BW100" s="19">
        <f>BW98+BW99+BV101</f>
        <v/>
      </c>
      <c r="BX100" s="19">
        <f>BX98+BX99+BW101</f>
        <v/>
      </c>
      <c r="BY100" s="19">
        <f>BY98+BY99+BX101</f>
        <v/>
      </c>
      <c r="BZ100" s="19">
        <f>BZ98+BZ99+BY101</f>
        <v/>
      </c>
      <c r="CA100" s="19">
        <f>CA98+CA99+BZ101</f>
        <v/>
      </c>
      <c r="CB100" s="19">
        <f>CB98+CB99+CA101</f>
        <v/>
      </c>
      <c r="CC100" s="19">
        <f>CC98+CC99+CB101</f>
        <v/>
      </c>
      <c r="CD100" s="19">
        <f>CD98+CD99+CC101</f>
        <v/>
      </c>
      <c r="CE100" s="19">
        <f>CE98+CE99+CD101</f>
        <v/>
      </c>
      <c r="CF100" s="19">
        <f>CF98+CF99+CE101</f>
        <v/>
      </c>
      <c r="CG100" s="19">
        <f>CG98+CG99+CF101</f>
        <v/>
      </c>
      <c r="CH100" s="19">
        <f>CH98+CH99+CG101</f>
        <v/>
      </c>
      <c r="CI100" s="19">
        <f>CI98+CI99+CH101</f>
        <v/>
      </c>
      <c r="CJ100" s="19">
        <f>CJ98+CJ99+CI101</f>
        <v/>
      </c>
      <c r="CK100" s="19">
        <f>CK98+CK99+CJ101</f>
        <v/>
      </c>
      <c r="CL100" s="19">
        <f>CL98+CL99+CK101</f>
        <v/>
      </c>
      <c r="CM100" s="19">
        <f>CM98+CM99+CL101</f>
        <v/>
      </c>
      <c r="CN100" s="19">
        <f>CN98+CN99+CM101</f>
        <v/>
      </c>
      <c r="CO100" s="19">
        <f>CO98+CO99+CN101</f>
        <v/>
      </c>
      <c r="CP100" s="19">
        <f>CP98+CP99+CO101</f>
        <v/>
      </c>
      <c r="CQ100" s="19">
        <f>CQ98+CQ99+CP101</f>
        <v/>
      </c>
      <c r="CR100" s="19">
        <f>CR98+CR99+CQ101</f>
        <v/>
      </c>
      <c r="CS100" s="19">
        <f>CS98+CS99+CR101</f>
        <v/>
      </c>
      <c r="CT100" s="19">
        <f>CT98+CT99+CS101</f>
        <v/>
      </c>
      <c r="CU100" s="19">
        <f>CU98+CU99+CT101</f>
        <v/>
      </c>
      <c r="CV100" s="19">
        <f>CV98+CV99+CU101</f>
        <v/>
      </c>
      <c r="CW100" s="19">
        <f>CW98+CW99+CV101</f>
        <v/>
      </c>
      <c r="CX100" s="19">
        <f>CX98+CX99+CW101</f>
        <v/>
      </c>
      <c r="CY100" s="19">
        <f>CY98+CY99+CX101</f>
        <v/>
      </c>
      <c r="CZ100" s="19">
        <f>CZ98+CZ99+CY101</f>
        <v/>
      </c>
      <c r="DA100" s="19">
        <f>DA98+DA99+CZ101</f>
        <v/>
      </c>
      <c r="DB100" s="19">
        <f>DB98+DB99+DA101</f>
        <v/>
      </c>
    </row>
    <row r="101">
      <c r="D101" t="inlineStr">
        <is>
          <t>Shortfall carried forward</t>
        </is>
      </c>
      <c r="E101" t="inlineStr">
        <is>
          <t>ARD m</t>
        </is>
      </c>
      <c r="J101" s="19">
        <f>J100-Waterfall!J35</f>
        <v/>
      </c>
      <c r="K101" s="19">
        <f>K100-Waterfall!K35</f>
        <v/>
      </c>
      <c r="L101" s="19">
        <f>L100-Waterfall!L35</f>
        <v/>
      </c>
      <c r="M101" s="19">
        <f>M100-Waterfall!M35</f>
        <v/>
      </c>
      <c r="N101" s="19">
        <f>N100-Waterfall!N35</f>
        <v/>
      </c>
      <c r="O101" s="19">
        <f>O100-Waterfall!O35</f>
        <v/>
      </c>
      <c r="P101" s="19">
        <f>P100-Waterfall!P35</f>
        <v/>
      </c>
      <c r="Q101" s="19">
        <f>Q100-Waterfall!Q35</f>
        <v/>
      </c>
      <c r="R101" s="19">
        <f>R100-Waterfall!R35</f>
        <v/>
      </c>
      <c r="S101" s="19">
        <f>S100-Waterfall!S35</f>
        <v/>
      </c>
      <c r="T101" s="19">
        <f>T100-Waterfall!T35</f>
        <v/>
      </c>
      <c r="U101" s="19">
        <f>U100-Waterfall!U35</f>
        <v/>
      </c>
      <c r="V101" s="19">
        <f>V100-Waterfall!V35</f>
        <v/>
      </c>
      <c r="W101" s="19">
        <f>W100-Waterfall!W35</f>
        <v/>
      </c>
      <c r="X101" s="19">
        <f>X100-Waterfall!X35</f>
        <v/>
      </c>
      <c r="Y101" s="19">
        <f>Y100-Waterfall!Y35</f>
        <v/>
      </c>
      <c r="Z101" s="19">
        <f>Z100-Waterfall!Z35</f>
        <v/>
      </c>
      <c r="AA101" s="19">
        <f>AA100-Waterfall!AA35</f>
        <v/>
      </c>
      <c r="AB101" s="19">
        <f>AB100-Waterfall!AB35</f>
        <v/>
      </c>
      <c r="AC101" s="19">
        <f>AC100-Waterfall!AC35</f>
        <v/>
      </c>
      <c r="AD101" s="19">
        <f>AD100-Waterfall!AD35</f>
        <v/>
      </c>
      <c r="AE101" s="19">
        <f>AE100-Waterfall!AE35</f>
        <v/>
      </c>
      <c r="AF101" s="19">
        <f>AF100-Waterfall!AF35</f>
        <v/>
      </c>
      <c r="AG101" s="19">
        <f>AG100-Waterfall!AG35</f>
        <v/>
      </c>
      <c r="AH101" s="19">
        <f>AH100-Waterfall!AH35</f>
        <v/>
      </c>
      <c r="AI101" s="19">
        <f>AI100-Waterfall!AI35</f>
        <v/>
      </c>
      <c r="AJ101" s="19">
        <f>AJ100-Waterfall!AJ35</f>
        <v/>
      </c>
      <c r="AK101" s="19">
        <f>AK100-Waterfall!AK35</f>
        <v/>
      </c>
      <c r="AL101" s="19">
        <f>AL100-Waterfall!AL35</f>
        <v/>
      </c>
      <c r="AM101" s="19">
        <f>AM100-Waterfall!AM35</f>
        <v/>
      </c>
      <c r="AN101" s="19">
        <f>AN100-Waterfall!AN35</f>
        <v/>
      </c>
      <c r="AO101" s="19">
        <f>AO100-Waterfall!AO35</f>
        <v/>
      </c>
      <c r="AP101" s="19">
        <f>AP100-Waterfall!AP35</f>
        <v/>
      </c>
      <c r="AQ101" s="19">
        <f>AQ100-Waterfall!AQ35</f>
        <v/>
      </c>
      <c r="AR101" s="19">
        <f>AR100-Waterfall!AR35</f>
        <v/>
      </c>
      <c r="AS101" s="19">
        <f>AS100-Waterfall!AS35</f>
        <v/>
      </c>
      <c r="AT101" s="19">
        <f>AT100-Waterfall!AT35</f>
        <v/>
      </c>
      <c r="AU101" s="19">
        <f>AU100-Waterfall!AU35</f>
        <v/>
      </c>
      <c r="AV101" s="19">
        <f>AV100-Waterfall!AV35</f>
        <v/>
      </c>
      <c r="AW101" s="19">
        <f>AW100-Waterfall!AW35</f>
        <v/>
      </c>
      <c r="AX101" s="19">
        <f>AX100-Waterfall!AX35</f>
        <v/>
      </c>
      <c r="AY101" s="19">
        <f>AY100-Waterfall!AY35</f>
        <v/>
      </c>
      <c r="AZ101" s="19">
        <f>AZ100-Waterfall!AZ35</f>
        <v/>
      </c>
      <c r="BA101" s="19">
        <f>BA100-Waterfall!BA35</f>
        <v/>
      </c>
      <c r="BB101" s="19">
        <f>BB100-Waterfall!BB35</f>
        <v/>
      </c>
      <c r="BC101" s="19">
        <f>BC100-Waterfall!BC35</f>
        <v/>
      </c>
      <c r="BD101" s="19">
        <f>BD100-Waterfall!BD35</f>
        <v/>
      </c>
      <c r="BE101" s="19">
        <f>BE100-Waterfall!BE35</f>
        <v/>
      </c>
      <c r="BF101" s="19">
        <f>BF100-Waterfall!BF35</f>
        <v/>
      </c>
      <c r="BG101" s="19">
        <f>BG100-Waterfall!BG35</f>
        <v/>
      </c>
      <c r="BH101" s="19">
        <f>BH100-Waterfall!BH35</f>
        <v/>
      </c>
      <c r="BI101" s="19">
        <f>BI100-Waterfall!BI35</f>
        <v/>
      </c>
      <c r="BJ101" s="19">
        <f>BJ100-Waterfall!BJ35</f>
        <v/>
      </c>
      <c r="BK101" s="19">
        <f>BK100-Waterfall!BK35</f>
        <v/>
      </c>
      <c r="BL101" s="19">
        <f>BL100-Waterfall!BL35</f>
        <v/>
      </c>
      <c r="BM101" s="19">
        <f>BM100-Waterfall!BM35</f>
        <v/>
      </c>
      <c r="BN101" s="19">
        <f>BN100-Waterfall!BN35</f>
        <v/>
      </c>
      <c r="BO101" s="19">
        <f>BO100-Waterfall!BO35</f>
        <v/>
      </c>
      <c r="BP101" s="19">
        <f>BP100-Waterfall!BP35</f>
        <v/>
      </c>
      <c r="BQ101" s="19">
        <f>BQ100-Waterfall!BQ35</f>
        <v/>
      </c>
      <c r="BR101" s="19">
        <f>BR100-Waterfall!BR35</f>
        <v/>
      </c>
      <c r="BS101" s="19">
        <f>BS100-Waterfall!BS35</f>
        <v/>
      </c>
      <c r="BT101" s="19">
        <f>BT100-Waterfall!BT35</f>
        <v/>
      </c>
      <c r="BU101" s="19">
        <f>BU100-Waterfall!BU35</f>
        <v/>
      </c>
      <c r="BV101" s="19">
        <f>BV100-Waterfall!BV35</f>
        <v/>
      </c>
      <c r="BW101" s="19">
        <f>BW100-Waterfall!BW35</f>
        <v/>
      </c>
      <c r="BX101" s="19">
        <f>BX100-Waterfall!BX35</f>
        <v/>
      </c>
      <c r="BY101" s="19">
        <f>BY100-Waterfall!BY35</f>
        <v/>
      </c>
      <c r="BZ101" s="19">
        <f>BZ100-Waterfall!BZ35</f>
        <v/>
      </c>
      <c r="CA101" s="19">
        <f>CA100-Waterfall!CA35</f>
        <v/>
      </c>
      <c r="CB101" s="19">
        <f>CB100-Waterfall!CB35</f>
        <v/>
      </c>
      <c r="CC101" s="19">
        <f>CC100-Waterfall!CC35</f>
        <v/>
      </c>
      <c r="CD101" s="19">
        <f>CD100-Waterfall!CD35</f>
        <v/>
      </c>
      <c r="CE101" s="19">
        <f>CE100-Waterfall!CE35</f>
        <v/>
      </c>
      <c r="CF101" s="19">
        <f>CF100-Waterfall!CF35</f>
        <v/>
      </c>
      <c r="CG101" s="19">
        <f>CG100-Waterfall!CG35</f>
        <v/>
      </c>
      <c r="CH101" s="19">
        <f>CH100-Waterfall!CH35</f>
        <v/>
      </c>
      <c r="CI101" s="19">
        <f>CI100-Waterfall!CI35</f>
        <v/>
      </c>
      <c r="CJ101" s="19">
        <f>CJ100-Waterfall!CJ35</f>
        <v/>
      </c>
      <c r="CK101" s="19">
        <f>CK100-Waterfall!CK35</f>
        <v/>
      </c>
      <c r="CL101" s="19">
        <f>CL100-Waterfall!CL35</f>
        <v/>
      </c>
      <c r="CM101" s="19">
        <f>CM100-Waterfall!CM35</f>
        <v/>
      </c>
      <c r="CN101" s="19">
        <f>CN100-Waterfall!CN35</f>
        <v/>
      </c>
      <c r="CO101" s="19">
        <f>CO100-Waterfall!CO35</f>
        <v/>
      </c>
      <c r="CP101" s="19">
        <f>CP100-Waterfall!CP35</f>
        <v/>
      </c>
      <c r="CQ101" s="19">
        <f>CQ100-Waterfall!CQ35</f>
        <v/>
      </c>
      <c r="CR101" s="19">
        <f>CR100-Waterfall!CR35</f>
        <v/>
      </c>
      <c r="CS101" s="19">
        <f>CS100-Waterfall!CS35</f>
        <v/>
      </c>
      <c r="CT101" s="19">
        <f>CT100-Waterfall!CT35</f>
        <v/>
      </c>
      <c r="CU101" s="19">
        <f>CU100-Waterfall!CU35</f>
        <v/>
      </c>
      <c r="CV101" s="19">
        <f>CV100-Waterfall!CV35</f>
        <v/>
      </c>
      <c r="CW101" s="19">
        <f>CW100-Waterfall!CW35</f>
        <v/>
      </c>
      <c r="CX101" s="19">
        <f>CX100-Waterfall!CX35</f>
        <v/>
      </c>
      <c r="CY101" s="19">
        <f>CY100-Waterfall!CY35</f>
        <v/>
      </c>
      <c r="CZ101" s="19">
        <f>CZ100-Waterfall!CZ35</f>
        <v/>
      </c>
      <c r="DA101" s="19">
        <f>DA100-Waterfall!DA35</f>
        <v/>
      </c>
      <c r="DB101" s="19">
        <f>DB100-Waterfall!DB35</f>
        <v/>
      </c>
    </row>
    <row r="102">
      <c r="D102" t="inlineStr">
        <is>
          <t>Closing balance</t>
        </is>
      </c>
      <c r="E102" t="inlineStr">
        <is>
          <t>ARD m</t>
        </is>
      </c>
      <c r="J102" s="19">
        <f>IF(Time!J20=1,J96+Funding!J34+J97,J96+J97-Waterfall!J35)</f>
        <v/>
      </c>
      <c r="K102" s="19">
        <f>IF(Time!K20=1,K96+Funding!K34+K97,K96+K97-Waterfall!K35)</f>
        <v/>
      </c>
      <c r="L102" s="19">
        <f>IF(Time!L20=1,L96+Funding!L34+L97,L96+L97-Waterfall!L35)</f>
        <v/>
      </c>
      <c r="M102" s="19">
        <f>IF(Time!M20=1,M96+Funding!M34+M97,M96+M97-Waterfall!M35)</f>
        <v/>
      </c>
      <c r="N102" s="19">
        <f>IF(Time!N20=1,N96+Funding!N34+N97,N96+N97-Waterfall!N35)</f>
        <v/>
      </c>
      <c r="O102" s="19">
        <f>IF(Time!O20=1,O96+Funding!O34+O97,O96+O97-Waterfall!O35)</f>
        <v/>
      </c>
      <c r="P102" s="19">
        <f>IF(Time!P20=1,P96+Funding!P34+P97,P96+P97-Waterfall!P35)</f>
        <v/>
      </c>
      <c r="Q102" s="19">
        <f>IF(Time!Q20=1,Q96+Funding!Q34+Q97,Q96+Q97-Waterfall!Q35)</f>
        <v/>
      </c>
      <c r="R102" s="19">
        <f>IF(Time!R20=1,R96+Funding!R34+R97,R96+R97-Waterfall!R35)</f>
        <v/>
      </c>
      <c r="S102" s="19">
        <f>IF(Time!S20=1,S96+Funding!S34+S97,S96+S97-Waterfall!S35)</f>
        <v/>
      </c>
      <c r="T102" s="19">
        <f>IF(Time!T20=1,T96+Funding!T34+T97,T96+T97-Waterfall!T35)</f>
        <v/>
      </c>
      <c r="U102" s="19">
        <f>IF(Time!U20=1,U96+Funding!U34+U97,U96+U97-Waterfall!U35)</f>
        <v/>
      </c>
      <c r="V102" s="19">
        <f>IF(Time!V20=1,V96+Funding!V34+V97,V96+V97-Waterfall!V35)</f>
        <v/>
      </c>
      <c r="W102" s="19">
        <f>IF(Time!W20=1,W96+Funding!W34+W97,W96+W97-Waterfall!W35)</f>
        <v/>
      </c>
      <c r="X102" s="19">
        <f>IF(Time!X20=1,X96+Funding!X34+X97,X96+X97-Waterfall!X35)</f>
        <v/>
      </c>
      <c r="Y102" s="19">
        <f>IF(Time!Y20=1,Y96+Funding!Y34+Y97,Y96+Y97-Waterfall!Y35)</f>
        <v/>
      </c>
      <c r="Z102" s="19">
        <f>IF(Time!Z20=1,Z96+Funding!Z34+Z97,Z96+Z97-Waterfall!Z35)</f>
        <v/>
      </c>
      <c r="AA102" s="19">
        <f>IF(Time!AA20=1,AA96+Funding!AA34+AA97,AA96+AA97-Waterfall!AA35)</f>
        <v/>
      </c>
      <c r="AB102" s="19">
        <f>IF(Time!AB20=1,AB96+Funding!AB34+AB97,AB96+AB97-Waterfall!AB35)</f>
        <v/>
      </c>
      <c r="AC102" s="19">
        <f>IF(Time!AC20=1,AC96+Funding!AC34+AC97,AC96+AC97-Waterfall!AC35)</f>
        <v/>
      </c>
      <c r="AD102" s="19">
        <f>IF(Time!AD20=1,AD96+Funding!AD34+AD97,AD96+AD97-Waterfall!AD35)</f>
        <v/>
      </c>
      <c r="AE102" s="19">
        <f>IF(Time!AE20=1,AE96+Funding!AE34+AE97,AE96+AE97-Waterfall!AE35)</f>
        <v/>
      </c>
      <c r="AF102" s="19">
        <f>IF(Time!AF20=1,AF96+Funding!AF34+AF97,AF96+AF97-Waterfall!AF35)</f>
        <v/>
      </c>
      <c r="AG102" s="19">
        <f>IF(Time!AG20=1,AG96+Funding!AG34+AG97,AG96+AG97-Waterfall!AG35)</f>
        <v/>
      </c>
      <c r="AH102" s="19">
        <f>IF(Time!AH20=1,AH96+Funding!AH34+AH97,AH96+AH97-Waterfall!AH35)</f>
        <v/>
      </c>
      <c r="AI102" s="19">
        <f>IF(Time!AI20=1,AI96+Funding!AI34+AI97,AI96+AI97-Waterfall!AI35)</f>
        <v/>
      </c>
      <c r="AJ102" s="19">
        <f>IF(Time!AJ20=1,AJ96+Funding!AJ34+AJ97,AJ96+AJ97-Waterfall!AJ35)</f>
        <v/>
      </c>
      <c r="AK102" s="19">
        <f>IF(Time!AK20=1,AK96+Funding!AK34+AK97,AK96+AK97-Waterfall!AK35)</f>
        <v/>
      </c>
      <c r="AL102" s="19">
        <f>IF(Time!AL20=1,AL96+Funding!AL34+AL97,AL96+AL97-Waterfall!AL35)</f>
        <v/>
      </c>
      <c r="AM102" s="19">
        <f>IF(Time!AM20=1,AM96+Funding!AM34+AM97,AM96+AM97-Waterfall!AM35)</f>
        <v/>
      </c>
      <c r="AN102" s="19">
        <f>IF(Time!AN20=1,AN96+Funding!AN34+AN97,AN96+AN97-Waterfall!AN35)</f>
        <v/>
      </c>
      <c r="AO102" s="19">
        <f>IF(Time!AO20=1,AO96+Funding!AO34+AO97,AO96+AO97-Waterfall!AO35)</f>
        <v/>
      </c>
      <c r="AP102" s="19">
        <f>IF(Time!AP20=1,AP96+Funding!AP34+AP97,AP96+AP97-Waterfall!AP35)</f>
        <v/>
      </c>
      <c r="AQ102" s="19">
        <f>IF(Time!AQ20=1,AQ96+Funding!AQ34+AQ97,AQ96+AQ97-Waterfall!AQ35)</f>
        <v/>
      </c>
      <c r="AR102" s="19">
        <f>IF(Time!AR20=1,AR96+Funding!AR34+AR97,AR96+AR97-Waterfall!AR35)</f>
        <v/>
      </c>
      <c r="AS102" s="19">
        <f>IF(Time!AS20=1,AS96+Funding!AS34+AS97,AS96+AS97-Waterfall!AS35)</f>
        <v/>
      </c>
      <c r="AT102" s="19">
        <f>IF(Time!AT20=1,AT96+Funding!AT34+AT97,AT96+AT97-Waterfall!AT35)</f>
        <v/>
      </c>
      <c r="AU102" s="19">
        <f>IF(Time!AU20=1,AU96+Funding!AU34+AU97,AU96+AU97-Waterfall!AU35)</f>
        <v/>
      </c>
      <c r="AV102" s="19">
        <f>IF(Time!AV20=1,AV96+Funding!AV34+AV97,AV96+AV97-Waterfall!AV35)</f>
        <v/>
      </c>
      <c r="AW102" s="19">
        <f>IF(Time!AW20=1,AW96+Funding!AW34+AW97,AW96+AW97-Waterfall!AW35)</f>
        <v/>
      </c>
      <c r="AX102" s="19">
        <f>IF(Time!AX20=1,AX96+Funding!AX34+AX97,AX96+AX97-Waterfall!AX35)</f>
        <v/>
      </c>
      <c r="AY102" s="19">
        <f>IF(Time!AY20=1,AY96+Funding!AY34+AY97,AY96+AY97-Waterfall!AY35)</f>
        <v/>
      </c>
      <c r="AZ102" s="19">
        <f>IF(Time!AZ20=1,AZ96+Funding!AZ34+AZ97,AZ96+AZ97-Waterfall!AZ35)</f>
        <v/>
      </c>
      <c r="BA102" s="19">
        <f>IF(Time!BA20=1,BA96+Funding!BA34+BA97,BA96+BA97-Waterfall!BA35)</f>
        <v/>
      </c>
      <c r="BB102" s="19">
        <f>IF(Time!BB20=1,BB96+Funding!BB34+BB97,BB96+BB97-Waterfall!BB35)</f>
        <v/>
      </c>
      <c r="BC102" s="19">
        <f>IF(Time!BC20=1,BC96+Funding!BC34+BC97,BC96+BC97-Waterfall!BC35)</f>
        <v/>
      </c>
      <c r="BD102" s="19">
        <f>IF(Time!BD20=1,BD96+Funding!BD34+BD97,BD96+BD97-Waterfall!BD35)</f>
        <v/>
      </c>
      <c r="BE102" s="19">
        <f>IF(Time!BE20=1,BE96+Funding!BE34+BE97,BE96+BE97-Waterfall!BE35)</f>
        <v/>
      </c>
      <c r="BF102" s="19">
        <f>IF(Time!BF20=1,BF96+Funding!BF34+BF97,BF96+BF97-Waterfall!BF35)</f>
        <v/>
      </c>
      <c r="BG102" s="19">
        <f>IF(Time!BG20=1,BG96+Funding!BG34+BG97,BG96+BG97-Waterfall!BG35)</f>
        <v/>
      </c>
      <c r="BH102" s="19">
        <f>IF(Time!BH20=1,BH96+Funding!BH34+BH97,BH96+BH97-Waterfall!BH35)</f>
        <v/>
      </c>
      <c r="BI102" s="19">
        <f>IF(Time!BI20=1,BI96+Funding!BI34+BI97,BI96+BI97-Waterfall!BI35)</f>
        <v/>
      </c>
      <c r="BJ102" s="19">
        <f>IF(Time!BJ20=1,BJ96+Funding!BJ34+BJ97,BJ96+BJ97-Waterfall!BJ35)</f>
        <v/>
      </c>
      <c r="BK102" s="19">
        <f>IF(Time!BK20=1,BK96+Funding!BK34+BK97,BK96+BK97-Waterfall!BK35)</f>
        <v/>
      </c>
      <c r="BL102" s="19">
        <f>IF(Time!BL20=1,BL96+Funding!BL34+BL97,BL96+BL97-Waterfall!BL35)</f>
        <v/>
      </c>
      <c r="BM102" s="19">
        <f>IF(Time!BM20=1,BM96+Funding!BM34+BM97,BM96+BM97-Waterfall!BM35)</f>
        <v/>
      </c>
      <c r="BN102" s="19">
        <f>IF(Time!BN20=1,BN96+Funding!BN34+BN97,BN96+BN97-Waterfall!BN35)</f>
        <v/>
      </c>
      <c r="BO102" s="19">
        <f>IF(Time!BO20=1,BO96+Funding!BO34+BO97,BO96+BO97-Waterfall!BO35)</f>
        <v/>
      </c>
      <c r="BP102" s="19">
        <f>IF(Time!BP20=1,BP96+Funding!BP34+BP97,BP96+BP97-Waterfall!BP35)</f>
        <v/>
      </c>
      <c r="BQ102" s="19">
        <f>IF(Time!BQ20=1,BQ96+Funding!BQ34+BQ97,BQ96+BQ97-Waterfall!BQ35)</f>
        <v/>
      </c>
      <c r="BR102" s="19">
        <f>IF(Time!BR20=1,BR96+Funding!BR34+BR97,BR96+BR97-Waterfall!BR35)</f>
        <v/>
      </c>
      <c r="BS102" s="19">
        <f>IF(Time!BS20=1,BS96+Funding!BS34+BS97,BS96+BS97-Waterfall!BS35)</f>
        <v/>
      </c>
      <c r="BT102" s="19">
        <f>IF(Time!BT20=1,BT96+Funding!BT34+BT97,BT96+BT97-Waterfall!BT35)</f>
        <v/>
      </c>
      <c r="BU102" s="19">
        <f>IF(Time!BU20=1,BU96+Funding!BU34+BU97,BU96+BU97-Waterfall!BU35)</f>
        <v/>
      </c>
      <c r="BV102" s="19">
        <f>IF(Time!BV20=1,BV96+Funding!BV34+BV97,BV96+BV97-Waterfall!BV35)</f>
        <v/>
      </c>
      <c r="BW102" s="19">
        <f>IF(Time!BW20=1,BW96+Funding!BW34+BW97,BW96+BW97-Waterfall!BW35)</f>
        <v/>
      </c>
      <c r="BX102" s="19">
        <f>IF(Time!BX20=1,BX96+Funding!BX34+BX97,BX96+BX97-Waterfall!BX35)</f>
        <v/>
      </c>
      <c r="BY102" s="19">
        <f>IF(Time!BY20=1,BY96+Funding!BY34+BY97,BY96+BY97-Waterfall!BY35)</f>
        <v/>
      </c>
      <c r="BZ102" s="19">
        <f>IF(Time!BZ20=1,BZ96+Funding!BZ34+BZ97,BZ96+BZ97-Waterfall!BZ35)</f>
        <v/>
      </c>
      <c r="CA102" s="19">
        <f>IF(Time!CA20=1,CA96+Funding!CA34+CA97,CA96+CA97-Waterfall!CA35)</f>
        <v/>
      </c>
      <c r="CB102" s="19">
        <f>IF(Time!CB20=1,CB96+Funding!CB34+CB97,CB96+CB97-Waterfall!CB35)</f>
        <v/>
      </c>
      <c r="CC102" s="19">
        <f>IF(Time!CC20=1,CC96+Funding!CC34+CC97,CC96+CC97-Waterfall!CC35)</f>
        <v/>
      </c>
      <c r="CD102" s="19">
        <f>IF(Time!CD20=1,CD96+Funding!CD34+CD97,CD96+CD97-Waterfall!CD35)</f>
        <v/>
      </c>
      <c r="CE102" s="19">
        <f>IF(Time!CE20=1,CE96+Funding!CE34+CE97,CE96+CE97-Waterfall!CE35)</f>
        <v/>
      </c>
      <c r="CF102" s="19">
        <f>IF(Time!CF20=1,CF96+Funding!CF34+CF97,CF96+CF97-Waterfall!CF35)</f>
        <v/>
      </c>
      <c r="CG102" s="19">
        <f>IF(Time!CG20=1,CG96+Funding!CG34+CG97,CG96+CG97-Waterfall!CG35)</f>
        <v/>
      </c>
      <c r="CH102" s="19">
        <f>IF(Time!CH20=1,CH96+Funding!CH34+CH97,CH96+CH97-Waterfall!CH35)</f>
        <v/>
      </c>
      <c r="CI102" s="19">
        <f>IF(Time!CI20=1,CI96+Funding!CI34+CI97,CI96+CI97-Waterfall!CI35)</f>
        <v/>
      </c>
      <c r="CJ102" s="19">
        <f>IF(Time!CJ20=1,CJ96+Funding!CJ34+CJ97,CJ96+CJ97-Waterfall!CJ35)</f>
        <v/>
      </c>
      <c r="CK102" s="19">
        <f>IF(Time!CK20=1,CK96+Funding!CK34+CK97,CK96+CK97-Waterfall!CK35)</f>
        <v/>
      </c>
      <c r="CL102" s="19">
        <f>IF(Time!CL20=1,CL96+Funding!CL34+CL97,CL96+CL97-Waterfall!CL35)</f>
        <v/>
      </c>
      <c r="CM102" s="19">
        <f>IF(Time!CM20=1,CM96+Funding!CM34+CM97,CM96+CM97-Waterfall!CM35)</f>
        <v/>
      </c>
      <c r="CN102" s="19">
        <f>IF(Time!CN20=1,CN96+Funding!CN34+CN97,CN96+CN97-Waterfall!CN35)</f>
        <v/>
      </c>
      <c r="CO102" s="19">
        <f>IF(Time!CO20=1,CO96+Funding!CO34+CO97,CO96+CO97-Waterfall!CO35)</f>
        <v/>
      </c>
      <c r="CP102" s="19">
        <f>IF(Time!CP20=1,CP96+Funding!CP34+CP97,CP96+CP97-Waterfall!CP35)</f>
        <v/>
      </c>
      <c r="CQ102" s="19">
        <f>IF(Time!CQ20=1,CQ96+Funding!CQ34+CQ97,CQ96+CQ97-Waterfall!CQ35)</f>
        <v/>
      </c>
      <c r="CR102" s="19">
        <f>IF(Time!CR20=1,CR96+Funding!CR34+CR97,CR96+CR97-Waterfall!CR35)</f>
        <v/>
      </c>
      <c r="CS102" s="19">
        <f>IF(Time!CS20=1,CS96+Funding!CS34+CS97,CS96+CS97-Waterfall!CS35)</f>
        <v/>
      </c>
      <c r="CT102" s="19">
        <f>IF(Time!CT20=1,CT96+Funding!CT34+CT97,CT96+CT97-Waterfall!CT35)</f>
        <v/>
      </c>
      <c r="CU102" s="19">
        <f>IF(Time!CU20=1,CU96+Funding!CU34+CU97,CU96+CU97-Waterfall!CU35)</f>
        <v/>
      </c>
      <c r="CV102" s="19">
        <f>IF(Time!CV20=1,CV96+Funding!CV34+CV97,CV96+CV97-Waterfall!CV35)</f>
        <v/>
      </c>
      <c r="CW102" s="19">
        <f>IF(Time!CW20=1,CW96+Funding!CW34+CW97,CW96+CW97-Waterfall!CW35)</f>
        <v/>
      </c>
      <c r="CX102" s="19">
        <f>IF(Time!CX20=1,CX96+Funding!CX34+CX97,CX96+CX97-Waterfall!CX35)</f>
        <v/>
      </c>
      <c r="CY102" s="19">
        <f>IF(Time!CY20=1,CY96+Funding!CY34+CY97,CY96+CY97-Waterfall!CY35)</f>
        <v/>
      </c>
      <c r="CZ102" s="19">
        <f>IF(Time!CZ20=1,CZ96+Funding!CZ34+CZ97,CZ96+CZ97-Waterfall!CZ35)</f>
        <v/>
      </c>
      <c r="DA102" s="19">
        <f>IF(Time!DA20=1,DA96+Funding!DA34+DA97,DA96+DA97-Waterfall!DA35)</f>
        <v/>
      </c>
      <c r="DB102" s="19">
        <f>IF(Time!DB20=1,DB96+Funding!DB34+DB97,DB96+DB97-Waterfall!DB35)</f>
        <v/>
      </c>
    </row>
    <row r="103">
      <c r="D103" s="3" t="inlineStr">
        <is>
          <t>NILO sculpting on CFADS after senior debt service (live in Scenarios 2 and 5)</t>
        </is>
      </c>
    </row>
    <row r="104">
      <c r="D104" t="inlineStr">
        <is>
          <t>CFADS after scheduled senior or notes debt service</t>
        </is>
      </c>
      <c r="E104" t="inlineStr">
        <is>
          <t>ARD m</t>
        </is>
      </c>
      <c r="G104" s="19">
        <f>SUM(J104:DB104)</f>
        <v/>
      </c>
      <c r="J104" s="19">
        <f>J13-IF(Inputs!$F$216=1,J87,J34-J39)</f>
        <v/>
      </c>
      <c r="K104" s="19">
        <f>K13-IF(Inputs!$F$216=1,K87,K34-K39)</f>
        <v/>
      </c>
      <c r="L104" s="19">
        <f>L13-IF(Inputs!$F$216=1,L87,L34-L39)</f>
        <v/>
      </c>
      <c r="M104" s="19">
        <f>M13-IF(Inputs!$F$216=1,M87,M34-M39)</f>
        <v/>
      </c>
      <c r="N104" s="19">
        <f>N13-IF(Inputs!$F$216=1,N87,N34-N39)</f>
        <v/>
      </c>
      <c r="O104" s="19">
        <f>O13-IF(Inputs!$F$216=1,O87,O34-O39)</f>
        <v/>
      </c>
      <c r="P104" s="19">
        <f>P13-IF(Inputs!$F$216=1,P87,P34-P39)</f>
        <v/>
      </c>
      <c r="Q104" s="19">
        <f>Q13-IF(Inputs!$F$216=1,Q87,Q34-Q39)</f>
        <v/>
      </c>
      <c r="R104" s="19">
        <f>R13-IF(Inputs!$F$216=1,R87,R34-R39)</f>
        <v/>
      </c>
      <c r="S104" s="19">
        <f>S13-IF(Inputs!$F$216=1,S87,S34-S39)</f>
        <v/>
      </c>
      <c r="T104" s="19">
        <f>T13-IF(Inputs!$F$216=1,T87,T34-T39)</f>
        <v/>
      </c>
      <c r="U104" s="19">
        <f>U13-IF(Inputs!$F$216=1,U87,U34-U39)</f>
        <v/>
      </c>
      <c r="V104" s="19">
        <f>V13-IF(Inputs!$F$216=1,V87,V34-V39)</f>
        <v/>
      </c>
      <c r="W104" s="19">
        <f>W13-IF(Inputs!$F$216=1,W87,W34-W39)</f>
        <v/>
      </c>
      <c r="X104" s="19">
        <f>X13-IF(Inputs!$F$216=1,X87,X34-X39)</f>
        <v/>
      </c>
      <c r="Y104" s="19">
        <f>Y13-IF(Inputs!$F$216=1,Y87,Y34-Y39)</f>
        <v/>
      </c>
      <c r="Z104" s="19">
        <f>Z13-IF(Inputs!$F$216=1,Z87,Z34-Z39)</f>
        <v/>
      </c>
      <c r="AA104" s="19">
        <f>AA13-IF(Inputs!$F$216=1,AA87,AA34-AA39)</f>
        <v/>
      </c>
      <c r="AB104" s="19">
        <f>AB13-IF(Inputs!$F$216=1,AB87,AB34-AB39)</f>
        <v/>
      </c>
      <c r="AC104" s="19">
        <f>AC13-IF(Inputs!$F$216=1,AC87,AC34-AC39)</f>
        <v/>
      </c>
      <c r="AD104" s="19">
        <f>AD13-IF(Inputs!$F$216=1,AD87,AD34-AD39)</f>
        <v/>
      </c>
      <c r="AE104" s="19">
        <f>AE13-IF(Inputs!$F$216=1,AE87,AE34-AE39)</f>
        <v/>
      </c>
      <c r="AF104" s="19">
        <f>AF13-IF(Inputs!$F$216=1,AF87,AF34-AF39)</f>
        <v/>
      </c>
      <c r="AG104" s="19">
        <f>AG13-IF(Inputs!$F$216=1,AG87,AG34-AG39)</f>
        <v/>
      </c>
      <c r="AH104" s="19">
        <f>AH13-IF(Inputs!$F$216=1,AH87,AH34-AH39)</f>
        <v/>
      </c>
      <c r="AI104" s="19">
        <f>AI13-IF(Inputs!$F$216=1,AI87,AI34-AI39)</f>
        <v/>
      </c>
      <c r="AJ104" s="19">
        <f>AJ13-IF(Inputs!$F$216=1,AJ87,AJ34-AJ39)</f>
        <v/>
      </c>
      <c r="AK104" s="19">
        <f>AK13-IF(Inputs!$F$216=1,AK87,AK34-AK39)</f>
        <v/>
      </c>
      <c r="AL104" s="19">
        <f>AL13-IF(Inputs!$F$216=1,AL87,AL34-AL39)</f>
        <v/>
      </c>
      <c r="AM104" s="19">
        <f>AM13-IF(Inputs!$F$216=1,AM87,AM34-AM39)</f>
        <v/>
      </c>
      <c r="AN104" s="19">
        <f>AN13-IF(Inputs!$F$216=1,AN87,AN34-AN39)</f>
        <v/>
      </c>
      <c r="AO104" s="19">
        <f>AO13-IF(Inputs!$F$216=1,AO87,AO34-AO39)</f>
        <v/>
      </c>
      <c r="AP104" s="19">
        <f>AP13-IF(Inputs!$F$216=1,AP87,AP34-AP39)</f>
        <v/>
      </c>
      <c r="AQ104" s="19">
        <f>AQ13-IF(Inputs!$F$216=1,AQ87,AQ34-AQ39)</f>
        <v/>
      </c>
      <c r="AR104" s="19">
        <f>AR13-IF(Inputs!$F$216=1,AR87,AR34-AR39)</f>
        <v/>
      </c>
      <c r="AS104" s="19">
        <f>AS13-IF(Inputs!$F$216=1,AS87,AS34-AS39)</f>
        <v/>
      </c>
      <c r="AT104" s="19">
        <f>AT13-IF(Inputs!$F$216=1,AT87,AT34-AT39)</f>
        <v/>
      </c>
      <c r="AU104" s="19">
        <f>AU13-IF(Inputs!$F$216=1,AU87,AU34-AU39)</f>
        <v/>
      </c>
      <c r="AV104" s="19">
        <f>AV13-IF(Inputs!$F$216=1,AV87,AV34-AV39)</f>
        <v/>
      </c>
      <c r="AW104" s="19">
        <f>AW13-IF(Inputs!$F$216=1,AW87,AW34-AW39)</f>
        <v/>
      </c>
      <c r="AX104" s="19">
        <f>AX13-IF(Inputs!$F$216=1,AX87,AX34-AX39)</f>
        <v/>
      </c>
      <c r="AY104" s="19">
        <f>AY13-IF(Inputs!$F$216=1,AY87,AY34-AY39)</f>
        <v/>
      </c>
      <c r="AZ104" s="19">
        <f>AZ13-IF(Inputs!$F$216=1,AZ87,AZ34-AZ39)</f>
        <v/>
      </c>
      <c r="BA104" s="19">
        <f>BA13-IF(Inputs!$F$216=1,BA87,BA34-BA39)</f>
        <v/>
      </c>
      <c r="BB104" s="19">
        <f>BB13-IF(Inputs!$F$216=1,BB87,BB34-BB39)</f>
        <v/>
      </c>
      <c r="BC104" s="19">
        <f>BC13-IF(Inputs!$F$216=1,BC87,BC34-BC39)</f>
        <v/>
      </c>
      <c r="BD104" s="19">
        <f>BD13-IF(Inputs!$F$216=1,BD87,BD34-BD39)</f>
        <v/>
      </c>
      <c r="BE104" s="19">
        <f>BE13-IF(Inputs!$F$216=1,BE87,BE34-BE39)</f>
        <v/>
      </c>
      <c r="BF104" s="19">
        <f>BF13-IF(Inputs!$F$216=1,BF87,BF34-BF39)</f>
        <v/>
      </c>
      <c r="BG104" s="19">
        <f>BG13-IF(Inputs!$F$216=1,BG87,BG34-BG39)</f>
        <v/>
      </c>
      <c r="BH104" s="19">
        <f>BH13-IF(Inputs!$F$216=1,BH87,BH34-BH39)</f>
        <v/>
      </c>
      <c r="BI104" s="19">
        <f>BI13-IF(Inputs!$F$216=1,BI87,BI34-BI39)</f>
        <v/>
      </c>
      <c r="BJ104" s="19">
        <f>BJ13-IF(Inputs!$F$216=1,BJ87,BJ34-BJ39)</f>
        <v/>
      </c>
      <c r="BK104" s="19">
        <f>BK13-IF(Inputs!$F$216=1,BK87,BK34-BK39)</f>
        <v/>
      </c>
      <c r="BL104" s="19">
        <f>BL13-IF(Inputs!$F$216=1,BL87,BL34-BL39)</f>
        <v/>
      </c>
      <c r="BM104" s="19">
        <f>BM13-IF(Inputs!$F$216=1,BM87,BM34-BM39)</f>
        <v/>
      </c>
      <c r="BN104" s="19">
        <f>BN13-IF(Inputs!$F$216=1,BN87,BN34-BN39)</f>
        <v/>
      </c>
      <c r="BO104" s="19">
        <f>BO13-IF(Inputs!$F$216=1,BO87,BO34-BO39)</f>
        <v/>
      </c>
      <c r="BP104" s="19">
        <f>BP13-IF(Inputs!$F$216=1,BP87,BP34-BP39)</f>
        <v/>
      </c>
      <c r="BQ104" s="19">
        <f>BQ13-IF(Inputs!$F$216=1,BQ87,BQ34-BQ39)</f>
        <v/>
      </c>
      <c r="BR104" s="19">
        <f>BR13-IF(Inputs!$F$216=1,BR87,BR34-BR39)</f>
        <v/>
      </c>
      <c r="BS104" s="19">
        <f>BS13-IF(Inputs!$F$216=1,BS87,BS34-BS39)</f>
        <v/>
      </c>
      <c r="BT104" s="19">
        <f>BT13-IF(Inputs!$F$216=1,BT87,BT34-BT39)</f>
        <v/>
      </c>
      <c r="BU104" s="19">
        <f>BU13-IF(Inputs!$F$216=1,BU87,BU34-BU39)</f>
        <v/>
      </c>
      <c r="BV104" s="19">
        <f>BV13-IF(Inputs!$F$216=1,BV87,BV34-BV39)</f>
        <v/>
      </c>
      <c r="BW104" s="19">
        <f>BW13-IF(Inputs!$F$216=1,BW87,BW34-BW39)</f>
        <v/>
      </c>
      <c r="BX104" s="19">
        <f>BX13-IF(Inputs!$F$216=1,BX87,BX34-BX39)</f>
        <v/>
      </c>
      <c r="BY104" s="19">
        <f>BY13-IF(Inputs!$F$216=1,BY87,BY34-BY39)</f>
        <v/>
      </c>
      <c r="BZ104" s="19">
        <f>BZ13-IF(Inputs!$F$216=1,BZ87,BZ34-BZ39)</f>
        <v/>
      </c>
      <c r="CA104" s="19">
        <f>CA13-IF(Inputs!$F$216=1,CA87,CA34-CA39)</f>
        <v/>
      </c>
      <c r="CB104" s="19">
        <f>CB13-IF(Inputs!$F$216=1,CB87,CB34-CB39)</f>
        <v/>
      </c>
      <c r="CC104" s="19">
        <f>CC13-IF(Inputs!$F$216=1,CC87,CC34-CC39)</f>
        <v/>
      </c>
      <c r="CD104" s="19">
        <f>CD13-IF(Inputs!$F$216=1,CD87,CD34-CD39)</f>
        <v/>
      </c>
      <c r="CE104" s="19">
        <f>CE13-IF(Inputs!$F$216=1,CE87,CE34-CE39)</f>
        <v/>
      </c>
      <c r="CF104" s="19">
        <f>CF13-IF(Inputs!$F$216=1,CF87,CF34-CF39)</f>
        <v/>
      </c>
      <c r="CG104" s="19">
        <f>CG13-IF(Inputs!$F$216=1,CG87,CG34-CG39)</f>
        <v/>
      </c>
      <c r="CH104" s="19">
        <f>CH13-IF(Inputs!$F$216=1,CH87,CH34-CH39)</f>
        <v/>
      </c>
      <c r="CI104" s="19">
        <f>CI13-IF(Inputs!$F$216=1,CI87,CI34-CI39)</f>
        <v/>
      </c>
      <c r="CJ104" s="19">
        <f>CJ13-IF(Inputs!$F$216=1,CJ87,CJ34-CJ39)</f>
        <v/>
      </c>
      <c r="CK104" s="19">
        <f>CK13-IF(Inputs!$F$216=1,CK87,CK34-CK39)</f>
        <v/>
      </c>
      <c r="CL104" s="19">
        <f>CL13-IF(Inputs!$F$216=1,CL87,CL34-CL39)</f>
        <v/>
      </c>
      <c r="CM104" s="19">
        <f>CM13-IF(Inputs!$F$216=1,CM87,CM34-CM39)</f>
        <v/>
      </c>
      <c r="CN104" s="19">
        <f>CN13-IF(Inputs!$F$216=1,CN87,CN34-CN39)</f>
        <v/>
      </c>
      <c r="CO104" s="19">
        <f>CO13-IF(Inputs!$F$216=1,CO87,CO34-CO39)</f>
        <v/>
      </c>
      <c r="CP104" s="19">
        <f>CP13-IF(Inputs!$F$216=1,CP87,CP34-CP39)</f>
        <v/>
      </c>
      <c r="CQ104" s="19">
        <f>CQ13-IF(Inputs!$F$216=1,CQ87,CQ34-CQ39)</f>
        <v/>
      </c>
      <c r="CR104" s="19">
        <f>CR13-IF(Inputs!$F$216=1,CR87,CR34-CR39)</f>
        <v/>
      </c>
      <c r="CS104" s="19">
        <f>CS13-IF(Inputs!$F$216=1,CS87,CS34-CS39)</f>
        <v/>
      </c>
      <c r="CT104" s="19">
        <f>CT13-IF(Inputs!$F$216=1,CT87,CT34-CT39)</f>
        <v/>
      </c>
      <c r="CU104" s="19">
        <f>CU13-IF(Inputs!$F$216=1,CU87,CU34-CU39)</f>
        <v/>
      </c>
      <c r="CV104" s="19">
        <f>CV13-IF(Inputs!$F$216=1,CV87,CV34-CV39)</f>
        <v/>
      </c>
      <c r="CW104" s="19">
        <f>CW13-IF(Inputs!$F$216=1,CW87,CW34-CW39)</f>
        <v/>
      </c>
      <c r="CX104" s="19">
        <f>CX13-IF(Inputs!$F$216=1,CX87,CX34-CX39)</f>
        <v/>
      </c>
      <c r="CY104" s="19">
        <f>CY13-IF(Inputs!$F$216=1,CY87,CY34-CY39)</f>
        <v/>
      </c>
      <c r="CZ104" s="19">
        <f>CZ13-IF(Inputs!$F$216=1,CZ87,CZ34-CZ39)</f>
        <v/>
      </c>
      <c r="DA104" s="19">
        <f>DA13-IF(Inputs!$F$216=1,DA87,DA34-DA39)</f>
        <v/>
      </c>
      <c r="DB104" s="19">
        <f>DB13-IF(Inputs!$F$216=1,DB87,DB34-DB39)</f>
        <v/>
      </c>
    </row>
    <row r="105">
      <c r="D105" t="inlineStr">
        <is>
          <t>Discount factor at the NILO rate</t>
        </is>
      </c>
      <c r="E105" t="inlineStr">
        <is>
          <t>factor</t>
        </is>
      </c>
      <c r="J105" s="27">
        <f>IF(Time!J47=1,IF(Time!I47=1,I105,1)/(1+Time!J50*Time!J9/Inputs!$F$46),0)</f>
        <v/>
      </c>
      <c r="K105" s="27">
        <f>IF(Time!K47=1,IF(Time!J47=1,J105,1)/(1+Time!K50*Time!K9/Inputs!$F$46),0)</f>
        <v/>
      </c>
      <c r="L105" s="27">
        <f>IF(Time!L47=1,IF(Time!K47=1,K105,1)/(1+Time!L50*Time!L9/Inputs!$F$46),0)</f>
        <v/>
      </c>
      <c r="M105" s="27">
        <f>IF(Time!M47=1,IF(Time!L47=1,L105,1)/(1+Time!M50*Time!M9/Inputs!$F$46),0)</f>
        <v/>
      </c>
      <c r="N105" s="27">
        <f>IF(Time!N47=1,IF(Time!M47=1,M105,1)/(1+Time!N50*Time!N9/Inputs!$F$46),0)</f>
        <v/>
      </c>
      <c r="O105" s="27">
        <f>IF(Time!O47=1,IF(Time!N47=1,N105,1)/(1+Time!O50*Time!O9/Inputs!$F$46),0)</f>
        <v/>
      </c>
      <c r="P105" s="27">
        <f>IF(Time!P47=1,IF(Time!O47=1,O105,1)/(1+Time!P50*Time!P9/Inputs!$F$46),0)</f>
        <v/>
      </c>
      <c r="Q105" s="27">
        <f>IF(Time!Q47=1,IF(Time!P47=1,P105,1)/(1+Time!Q50*Time!Q9/Inputs!$F$46),0)</f>
        <v/>
      </c>
      <c r="R105" s="27">
        <f>IF(Time!R47=1,IF(Time!Q47=1,Q105,1)/(1+Time!R50*Time!R9/Inputs!$F$46),0)</f>
        <v/>
      </c>
      <c r="S105" s="27">
        <f>IF(Time!S47=1,IF(Time!R47=1,R105,1)/(1+Time!S50*Time!S9/Inputs!$F$46),0)</f>
        <v/>
      </c>
      <c r="T105" s="27">
        <f>IF(Time!T47=1,IF(Time!S47=1,S105,1)/(1+Time!T50*Time!T9/Inputs!$F$46),0)</f>
        <v/>
      </c>
      <c r="U105" s="27">
        <f>IF(Time!U47=1,IF(Time!T47=1,T105,1)/(1+Time!U50*Time!U9/Inputs!$F$46),0)</f>
        <v/>
      </c>
      <c r="V105" s="27">
        <f>IF(Time!V47=1,IF(Time!U47=1,U105,1)/(1+Time!V50*Time!V9/Inputs!$F$46),0)</f>
        <v/>
      </c>
      <c r="W105" s="27">
        <f>IF(Time!W47=1,IF(Time!V47=1,V105,1)/(1+Time!W50*Time!W9/Inputs!$F$46),0)</f>
        <v/>
      </c>
      <c r="X105" s="27">
        <f>IF(Time!X47=1,IF(Time!W47=1,W105,1)/(1+Time!X50*Time!X9/Inputs!$F$46),0)</f>
        <v/>
      </c>
      <c r="Y105" s="27">
        <f>IF(Time!Y47=1,IF(Time!X47=1,X105,1)/(1+Time!Y50*Time!Y9/Inputs!$F$46),0)</f>
        <v/>
      </c>
      <c r="Z105" s="27">
        <f>IF(Time!Z47=1,IF(Time!Y47=1,Y105,1)/(1+Time!Z50*Time!Z9/Inputs!$F$46),0)</f>
        <v/>
      </c>
      <c r="AA105" s="27">
        <f>IF(Time!AA47=1,IF(Time!Z47=1,Z105,1)/(1+Time!AA50*Time!AA9/Inputs!$F$46),0)</f>
        <v/>
      </c>
      <c r="AB105" s="27">
        <f>IF(Time!AB47=1,IF(Time!AA47=1,AA105,1)/(1+Time!AB50*Time!AB9/Inputs!$F$46),0)</f>
        <v/>
      </c>
      <c r="AC105" s="27">
        <f>IF(Time!AC47=1,IF(Time!AB47=1,AB105,1)/(1+Time!AC50*Time!AC9/Inputs!$F$46),0)</f>
        <v/>
      </c>
      <c r="AD105" s="27">
        <f>IF(Time!AD47=1,IF(Time!AC47=1,AC105,1)/(1+Time!AD50*Time!AD9/Inputs!$F$46),0)</f>
        <v/>
      </c>
      <c r="AE105" s="27">
        <f>IF(Time!AE47=1,IF(Time!AD47=1,AD105,1)/(1+Time!AE50*Time!AE9/Inputs!$F$46),0)</f>
        <v/>
      </c>
      <c r="AF105" s="27">
        <f>IF(Time!AF47=1,IF(Time!AE47=1,AE105,1)/(1+Time!AF50*Time!AF9/Inputs!$F$46),0)</f>
        <v/>
      </c>
      <c r="AG105" s="27">
        <f>IF(Time!AG47=1,IF(Time!AF47=1,AF105,1)/(1+Time!AG50*Time!AG9/Inputs!$F$46),0)</f>
        <v/>
      </c>
      <c r="AH105" s="27">
        <f>IF(Time!AH47=1,IF(Time!AG47=1,AG105,1)/(1+Time!AH50*Time!AH9/Inputs!$F$46),0)</f>
        <v/>
      </c>
      <c r="AI105" s="27">
        <f>IF(Time!AI47=1,IF(Time!AH47=1,AH105,1)/(1+Time!AI50*Time!AI9/Inputs!$F$46),0)</f>
        <v/>
      </c>
      <c r="AJ105" s="27">
        <f>IF(Time!AJ47=1,IF(Time!AI47=1,AI105,1)/(1+Time!AJ50*Time!AJ9/Inputs!$F$46),0)</f>
        <v/>
      </c>
      <c r="AK105" s="27">
        <f>IF(Time!AK47=1,IF(Time!AJ47=1,AJ105,1)/(1+Time!AK50*Time!AK9/Inputs!$F$46),0)</f>
        <v/>
      </c>
      <c r="AL105" s="27">
        <f>IF(Time!AL47=1,IF(Time!AK47=1,AK105,1)/(1+Time!AL50*Time!AL9/Inputs!$F$46),0)</f>
        <v/>
      </c>
      <c r="AM105" s="27">
        <f>IF(Time!AM47=1,IF(Time!AL47=1,AL105,1)/(1+Time!AM50*Time!AM9/Inputs!$F$46),0)</f>
        <v/>
      </c>
      <c r="AN105" s="27">
        <f>IF(Time!AN47=1,IF(Time!AM47=1,AM105,1)/(1+Time!AN50*Time!AN9/Inputs!$F$46),0)</f>
        <v/>
      </c>
      <c r="AO105" s="27">
        <f>IF(Time!AO47=1,IF(Time!AN47=1,AN105,1)/(1+Time!AO50*Time!AO9/Inputs!$F$46),0)</f>
        <v/>
      </c>
      <c r="AP105" s="27">
        <f>IF(Time!AP47=1,IF(Time!AO47=1,AO105,1)/(1+Time!AP50*Time!AP9/Inputs!$F$46),0)</f>
        <v/>
      </c>
      <c r="AQ105" s="27">
        <f>IF(Time!AQ47=1,IF(Time!AP47=1,AP105,1)/(1+Time!AQ50*Time!AQ9/Inputs!$F$46),0)</f>
        <v/>
      </c>
      <c r="AR105" s="27">
        <f>IF(Time!AR47=1,IF(Time!AQ47=1,AQ105,1)/(1+Time!AR50*Time!AR9/Inputs!$F$46),0)</f>
        <v/>
      </c>
      <c r="AS105" s="27">
        <f>IF(Time!AS47=1,IF(Time!AR47=1,AR105,1)/(1+Time!AS50*Time!AS9/Inputs!$F$46),0)</f>
        <v/>
      </c>
      <c r="AT105" s="27">
        <f>IF(Time!AT47=1,IF(Time!AS47=1,AS105,1)/(1+Time!AT50*Time!AT9/Inputs!$F$46),0)</f>
        <v/>
      </c>
      <c r="AU105" s="27">
        <f>IF(Time!AU47=1,IF(Time!AT47=1,AT105,1)/(1+Time!AU50*Time!AU9/Inputs!$F$46),0)</f>
        <v/>
      </c>
      <c r="AV105" s="27">
        <f>IF(Time!AV47=1,IF(Time!AU47=1,AU105,1)/(1+Time!AV50*Time!AV9/Inputs!$F$46),0)</f>
        <v/>
      </c>
      <c r="AW105" s="27">
        <f>IF(Time!AW47=1,IF(Time!AV47=1,AV105,1)/(1+Time!AW50*Time!AW9/Inputs!$F$46),0)</f>
        <v/>
      </c>
      <c r="AX105" s="27">
        <f>IF(Time!AX47=1,IF(Time!AW47=1,AW105,1)/(1+Time!AX50*Time!AX9/Inputs!$F$46),0)</f>
        <v/>
      </c>
      <c r="AY105" s="27">
        <f>IF(Time!AY47=1,IF(Time!AX47=1,AX105,1)/(1+Time!AY50*Time!AY9/Inputs!$F$46),0)</f>
        <v/>
      </c>
      <c r="AZ105" s="27">
        <f>IF(Time!AZ47=1,IF(Time!AY47=1,AY105,1)/(1+Time!AZ50*Time!AZ9/Inputs!$F$46),0)</f>
        <v/>
      </c>
      <c r="BA105" s="27">
        <f>IF(Time!BA47=1,IF(Time!AZ47=1,AZ105,1)/(1+Time!BA50*Time!BA9/Inputs!$F$46),0)</f>
        <v/>
      </c>
      <c r="BB105" s="27">
        <f>IF(Time!BB47=1,IF(Time!BA47=1,BA105,1)/(1+Time!BB50*Time!BB9/Inputs!$F$46),0)</f>
        <v/>
      </c>
      <c r="BC105" s="27">
        <f>IF(Time!BC47=1,IF(Time!BB47=1,BB105,1)/(1+Time!BC50*Time!BC9/Inputs!$F$46),0)</f>
        <v/>
      </c>
      <c r="BD105" s="27">
        <f>IF(Time!BD47=1,IF(Time!BC47=1,BC105,1)/(1+Time!BD50*Time!BD9/Inputs!$F$46),0)</f>
        <v/>
      </c>
      <c r="BE105" s="27">
        <f>IF(Time!BE47=1,IF(Time!BD47=1,BD105,1)/(1+Time!BE50*Time!BE9/Inputs!$F$46),0)</f>
        <v/>
      </c>
      <c r="BF105" s="27">
        <f>IF(Time!BF47=1,IF(Time!BE47=1,BE105,1)/(1+Time!BF50*Time!BF9/Inputs!$F$46),0)</f>
        <v/>
      </c>
      <c r="BG105" s="27">
        <f>IF(Time!BG47=1,IF(Time!BF47=1,BF105,1)/(1+Time!BG50*Time!BG9/Inputs!$F$46),0)</f>
        <v/>
      </c>
      <c r="BH105" s="27">
        <f>IF(Time!BH47=1,IF(Time!BG47=1,BG105,1)/(1+Time!BH50*Time!BH9/Inputs!$F$46),0)</f>
        <v/>
      </c>
      <c r="BI105" s="27">
        <f>IF(Time!BI47=1,IF(Time!BH47=1,BH105,1)/(1+Time!BI50*Time!BI9/Inputs!$F$46),0)</f>
        <v/>
      </c>
      <c r="BJ105" s="27">
        <f>IF(Time!BJ47=1,IF(Time!BI47=1,BI105,1)/(1+Time!BJ50*Time!BJ9/Inputs!$F$46),0)</f>
        <v/>
      </c>
      <c r="BK105" s="27">
        <f>IF(Time!BK47=1,IF(Time!BJ47=1,BJ105,1)/(1+Time!BK50*Time!BK9/Inputs!$F$46),0)</f>
        <v/>
      </c>
      <c r="BL105" s="27">
        <f>IF(Time!BL47=1,IF(Time!BK47=1,BK105,1)/(1+Time!BL50*Time!BL9/Inputs!$F$46),0)</f>
        <v/>
      </c>
      <c r="BM105" s="27">
        <f>IF(Time!BM47=1,IF(Time!BL47=1,BL105,1)/(1+Time!BM50*Time!BM9/Inputs!$F$46),0)</f>
        <v/>
      </c>
      <c r="BN105" s="27">
        <f>IF(Time!BN47=1,IF(Time!BM47=1,BM105,1)/(1+Time!BN50*Time!BN9/Inputs!$F$46),0)</f>
        <v/>
      </c>
      <c r="BO105" s="27">
        <f>IF(Time!BO47=1,IF(Time!BN47=1,BN105,1)/(1+Time!BO50*Time!BO9/Inputs!$F$46),0)</f>
        <v/>
      </c>
      <c r="BP105" s="27">
        <f>IF(Time!BP47=1,IF(Time!BO47=1,BO105,1)/(1+Time!BP50*Time!BP9/Inputs!$F$46),0)</f>
        <v/>
      </c>
      <c r="BQ105" s="27">
        <f>IF(Time!BQ47=1,IF(Time!BP47=1,BP105,1)/(1+Time!BQ50*Time!BQ9/Inputs!$F$46),0)</f>
        <v/>
      </c>
      <c r="BR105" s="27">
        <f>IF(Time!BR47=1,IF(Time!BQ47=1,BQ105,1)/(1+Time!BR50*Time!BR9/Inputs!$F$46),0)</f>
        <v/>
      </c>
      <c r="BS105" s="27">
        <f>IF(Time!BS47=1,IF(Time!BR47=1,BR105,1)/(1+Time!BS50*Time!BS9/Inputs!$F$46),0)</f>
        <v/>
      </c>
      <c r="BT105" s="27">
        <f>IF(Time!BT47=1,IF(Time!BS47=1,BS105,1)/(1+Time!BT50*Time!BT9/Inputs!$F$46),0)</f>
        <v/>
      </c>
      <c r="BU105" s="27">
        <f>IF(Time!BU47=1,IF(Time!BT47=1,BT105,1)/(1+Time!BU50*Time!BU9/Inputs!$F$46),0)</f>
        <v/>
      </c>
      <c r="BV105" s="27">
        <f>IF(Time!BV47=1,IF(Time!BU47=1,BU105,1)/(1+Time!BV50*Time!BV9/Inputs!$F$46),0)</f>
        <v/>
      </c>
      <c r="BW105" s="27">
        <f>IF(Time!BW47=1,IF(Time!BV47=1,BV105,1)/(1+Time!BW50*Time!BW9/Inputs!$F$46),0)</f>
        <v/>
      </c>
      <c r="BX105" s="27">
        <f>IF(Time!BX47=1,IF(Time!BW47=1,BW105,1)/(1+Time!BX50*Time!BX9/Inputs!$F$46),0)</f>
        <v/>
      </c>
      <c r="BY105" s="27">
        <f>IF(Time!BY47=1,IF(Time!BX47=1,BX105,1)/(1+Time!BY50*Time!BY9/Inputs!$F$46),0)</f>
        <v/>
      </c>
      <c r="BZ105" s="27">
        <f>IF(Time!BZ47=1,IF(Time!BY47=1,BY105,1)/(1+Time!BZ50*Time!BZ9/Inputs!$F$46),0)</f>
        <v/>
      </c>
      <c r="CA105" s="27">
        <f>IF(Time!CA47=1,IF(Time!BZ47=1,BZ105,1)/(1+Time!CA50*Time!CA9/Inputs!$F$46),0)</f>
        <v/>
      </c>
      <c r="CB105" s="27">
        <f>IF(Time!CB47=1,IF(Time!CA47=1,CA105,1)/(1+Time!CB50*Time!CB9/Inputs!$F$46),0)</f>
        <v/>
      </c>
      <c r="CC105" s="27">
        <f>IF(Time!CC47=1,IF(Time!CB47=1,CB105,1)/(1+Time!CC50*Time!CC9/Inputs!$F$46),0)</f>
        <v/>
      </c>
      <c r="CD105" s="27">
        <f>IF(Time!CD47=1,IF(Time!CC47=1,CC105,1)/(1+Time!CD50*Time!CD9/Inputs!$F$46),0)</f>
        <v/>
      </c>
      <c r="CE105" s="27">
        <f>IF(Time!CE47=1,IF(Time!CD47=1,CD105,1)/(1+Time!CE50*Time!CE9/Inputs!$F$46),0)</f>
        <v/>
      </c>
      <c r="CF105" s="27">
        <f>IF(Time!CF47=1,IF(Time!CE47=1,CE105,1)/(1+Time!CF50*Time!CF9/Inputs!$F$46),0)</f>
        <v/>
      </c>
      <c r="CG105" s="27">
        <f>IF(Time!CG47=1,IF(Time!CF47=1,CF105,1)/(1+Time!CG50*Time!CG9/Inputs!$F$46),0)</f>
        <v/>
      </c>
      <c r="CH105" s="27">
        <f>IF(Time!CH47=1,IF(Time!CG47=1,CG105,1)/(1+Time!CH50*Time!CH9/Inputs!$F$46),0)</f>
        <v/>
      </c>
      <c r="CI105" s="27">
        <f>IF(Time!CI47=1,IF(Time!CH47=1,CH105,1)/(1+Time!CI50*Time!CI9/Inputs!$F$46),0)</f>
        <v/>
      </c>
      <c r="CJ105" s="27">
        <f>IF(Time!CJ47=1,IF(Time!CI47=1,CI105,1)/(1+Time!CJ50*Time!CJ9/Inputs!$F$46),0)</f>
        <v/>
      </c>
      <c r="CK105" s="27">
        <f>IF(Time!CK47=1,IF(Time!CJ47=1,CJ105,1)/(1+Time!CK50*Time!CK9/Inputs!$F$46),0)</f>
        <v/>
      </c>
      <c r="CL105" s="27">
        <f>IF(Time!CL47=1,IF(Time!CK47=1,CK105,1)/(1+Time!CL50*Time!CL9/Inputs!$F$46),0)</f>
        <v/>
      </c>
      <c r="CM105" s="27">
        <f>IF(Time!CM47=1,IF(Time!CL47=1,CL105,1)/(1+Time!CM50*Time!CM9/Inputs!$F$46),0)</f>
        <v/>
      </c>
      <c r="CN105" s="27">
        <f>IF(Time!CN47=1,IF(Time!CM47=1,CM105,1)/(1+Time!CN50*Time!CN9/Inputs!$F$46),0)</f>
        <v/>
      </c>
      <c r="CO105" s="27">
        <f>IF(Time!CO47=1,IF(Time!CN47=1,CN105,1)/(1+Time!CO50*Time!CO9/Inputs!$F$46),0)</f>
        <v/>
      </c>
      <c r="CP105" s="27">
        <f>IF(Time!CP47=1,IF(Time!CO47=1,CO105,1)/(1+Time!CP50*Time!CP9/Inputs!$F$46),0)</f>
        <v/>
      </c>
      <c r="CQ105" s="27">
        <f>IF(Time!CQ47=1,IF(Time!CP47=1,CP105,1)/(1+Time!CQ50*Time!CQ9/Inputs!$F$46),0)</f>
        <v/>
      </c>
      <c r="CR105" s="27">
        <f>IF(Time!CR47=1,IF(Time!CQ47=1,CQ105,1)/(1+Time!CR50*Time!CR9/Inputs!$F$46),0)</f>
        <v/>
      </c>
      <c r="CS105" s="27">
        <f>IF(Time!CS47=1,IF(Time!CR47=1,CR105,1)/(1+Time!CS50*Time!CS9/Inputs!$F$46),0)</f>
        <v/>
      </c>
      <c r="CT105" s="27">
        <f>IF(Time!CT47=1,IF(Time!CS47=1,CS105,1)/(1+Time!CT50*Time!CT9/Inputs!$F$46),0)</f>
        <v/>
      </c>
      <c r="CU105" s="27">
        <f>IF(Time!CU47=1,IF(Time!CT47=1,CT105,1)/(1+Time!CU50*Time!CU9/Inputs!$F$46),0)</f>
        <v/>
      </c>
      <c r="CV105" s="27">
        <f>IF(Time!CV47=1,IF(Time!CU47=1,CU105,1)/(1+Time!CV50*Time!CV9/Inputs!$F$46),0)</f>
        <v/>
      </c>
      <c r="CW105" s="27">
        <f>IF(Time!CW47=1,IF(Time!CV47=1,CV105,1)/(1+Time!CW50*Time!CW9/Inputs!$F$46),0)</f>
        <v/>
      </c>
      <c r="CX105" s="27">
        <f>IF(Time!CX47=1,IF(Time!CW47=1,CW105,1)/(1+Time!CX50*Time!CX9/Inputs!$F$46),0)</f>
        <v/>
      </c>
      <c r="CY105" s="27">
        <f>IF(Time!CY47=1,IF(Time!CX47=1,CX105,1)/(1+Time!CY50*Time!CY9/Inputs!$F$46),0)</f>
        <v/>
      </c>
      <c r="CZ105" s="27">
        <f>IF(Time!CZ47=1,IF(Time!CY47=1,CY105,1)/(1+Time!CZ50*Time!CZ9/Inputs!$F$46),0)</f>
        <v/>
      </c>
      <c r="DA105" s="27">
        <f>IF(Time!DA47=1,IF(Time!CZ47=1,CZ105,1)/(1+Time!DA50*Time!DA9/Inputs!$F$46),0)</f>
        <v/>
      </c>
      <c r="DB105" s="27">
        <f>IF(Time!DB47=1,IF(Time!DA47=1,DA105,1)/(1+Time!DB50*Time!DB9/Inputs!$F$46),0)</f>
        <v/>
      </c>
    </row>
    <row r="106">
      <c r="D106" t="inlineStr">
        <is>
          <t>Scheduled NILO balance: opening</t>
        </is>
      </c>
      <c r="E106" t="inlineStr">
        <is>
          <t>ARD m</t>
        </is>
      </c>
      <c r="J106" s="19">
        <f>IF(Time!J49=1,I102,I112)</f>
        <v/>
      </c>
      <c r="K106" s="19">
        <f>IF(Time!K49=1,J102,J112)</f>
        <v/>
      </c>
      <c r="L106" s="19">
        <f>IF(Time!L49=1,K102,K112)</f>
        <v/>
      </c>
      <c r="M106" s="19">
        <f>IF(Time!M49=1,L102,L112)</f>
        <v/>
      </c>
      <c r="N106" s="19">
        <f>IF(Time!N49=1,M102,M112)</f>
        <v/>
      </c>
      <c r="O106" s="19">
        <f>IF(Time!O49=1,N102,N112)</f>
        <v/>
      </c>
      <c r="P106" s="19">
        <f>IF(Time!P49=1,O102,O112)</f>
        <v/>
      </c>
      <c r="Q106" s="19">
        <f>IF(Time!Q49=1,P102,P112)</f>
        <v/>
      </c>
      <c r="R106" s="19">
        <f>IF(Time!R49=1,Q102,Q112)</f>
        <v/>
      </c>
      <c r="S106" s="19">
        <f>IF(Time!S49=1,R102,R112)</f>
        <v/>
      </c>
      <c r="T106" s="19">
        <f>IF(Time!T49=1,S102,S112)</f>
        <v/>
      </c>
      <c r="U106" s="19">
        <f>IF(Time!U49=1,T102,T112)</f>
        <v/>
      </c>
      <c r="V106" s="19">
        <f>IF(Time!V49=1,U102,U112)</f>
        <v/>
      </c>
      <c r="W106" s="19">
        <f>IF(Time!W49=1,V102,V112)</f>
        <v/>
      </c>
      <c r="X106" s="19">
        <f>IF(Time!X49=1,W102,W112)</f>
        <v/>
      </c>
      <c r="Y106" s="19">
        <f>IF(Time!Y49=1,X102,X112)</f>
        <v/>
      </c>
      <c r="Z106" s="19">
        <f>IF(Time!Z49=1,Y102,Y112)</f>
        <v/>
      </c>
      <c r="AA106" s="19">
        <f>IF(Time!AA49=1,Z102,Z112)</f>
        <v/>
      </c>
      <c r="AB106" s="19">
        <f>IF(Time!AB49=1,AA102,AA112)</f>
        <v/>
      </c>
      <c r="AC106" s="19">
        <f>IF(Time!AC49=1,AB102,AB112)</f>
        <v/>
      </c>
      <c r="AD106" s="19">
        <f>IF(Time!AD49=1,AC102,AC112)</f>
        <v/>
      </c>
      <c r="AE106" s="19">
        <f>IF(Time!AE49=1,AD102,AD112)</f>
        <v/>
      </c>
      <c r="AF106" s="19">
        <f>IF(Time!AF49=1,AE102,AE112)</f>
        <v/>
      </c>
      <c r="AG106" s="19">
        <f>IF(Time!AG49=1,AF102,AF112)</f>
        <v/>
      </c>
      <c r="AH106" s="19">
        <f>IF(Time!AH49=1,AG102,AG112)</f>
        <v/>
      </c>
      <c r="AI106" s="19">
        <f>IF(Time!AI49=1,AH102,AH112)</f>
        <v/>
      </c>
      <c r="AJ106" s="19">
        <f>IF(Time!AJ49=1,AI102,AI112)</f>
        <v/>
      </c>
      <c r="AK106" s="19">
        <f>IF(Time!AK49=1,AJ102,AJ112)</f>
        <v/>
      </c>
      <c r="AL106" s="19">
        <f>IF(Time!AL49=1,AK102,AK112)</f>
        <v/>
      </c>
      <c r="AM106" s="19">
        <f>IF(Time!AM49=1,AL102,AL112)</f>
        <v/>
      </c>
      <c r="AN106" s="19">
        <f>IF(Time!AN49=1,AM102,AM112)</f>
        <v/>
      </c>
      <c r="AO106" s="19">
        <f>IF(Time!AO49=1,AN102,AN112)</f>
        <v/>
      </c>
      <c r="AP106" s="19">
        <f>IF(Time!AP49=1,AO102,AO112)</f>
        <v/>
      </c>
      <c r="AQ106" s="19">
        <f>IF(Time!AQ49=1,AP102,AP112)</f>
        <v/>
      </c>
      <c r="AR106" s="19">
        <f>IF(Time!AR49=1,AQ102,AQ112)</f>
        <v/>
      </c>
      <c r="AS106" s="19">
        <f>IF(Time!AS49=1,AR102,AR112)</f>
        <v/>
      </c>
      <c r="AT106" s="19">
        <f>IF(Time!AT49=1,AS102,AS112)</f>
        <v/>
      </c>
      <c r="AU106" s="19">
        <f>IF(Time!AU49=1,AT102,AT112)</f>
        <v/>
      </c>
      <c r="AV106" s="19">
        <f>IF(Time!AV49=1,AU102,AU112)</f>
        <v/>
      </c>
      <c r="AW106" s="19">
        <f>IF(Time!AW49=1,AV102,AV112)</f>
        <v/>
      </c>
      <c r="AX106" s="19">
        <f>IF(Time!AX49=1,AW102,AW112)</f>
        <v/>
      </c>
      <c r="AY106" s="19">
        <f>IF(Time!AY49=1,AX102,AX112)</f>
        <v/>
      </c>
      <c r="AZ106" s="19">
        <f>IF(Time!AZ49=1,AY102,AY112)</f>
        <v/>
      </c>
      <c r="BA106" s="19">
        <f>IF(Time!BA49=1,AZ102,AZ112)</f>
        <v/>
      </c>
      <c r="BB106" s="19">
        <f>IF(Time!BB49=1,BA102,BA112)</f>
        <v/>
      </c>
      <c r="BC106" s="19">
        <f>IF(Time!BC49=1,BB102,BB112)</f>
        <v/>
      </c>
      <c r="BD106" s="19">
        <f>IF(Time!BD49=1,BC102,BC112)</f>
        <v/>
      </c>
      <c r="BE106" s="19">
        <f>IF(Time!BE49=1,BD102,BD112)</f>
        <v/>
      </c>
      <c r="BF106" s="19">
        <f>IF(Time!BF49=1,BE102,BE112)</f>
        <v/>
      </c>
      <c r="BG106" s="19">
        <f>IF(Time!BG49=1,BF102,BF112)</f>
        <v/>
      </c>
      <c r="BH106" s="19">
        <f>IF(Time!BH49=1,BG102,BG112)</f>
        <v/>
      </c>
      <c r="BI106" s="19">
        <f>IF(Time!BI49=1,BH102,BH112)</f>
        <v/>
      </c>
      <c r="BJ106" s="19">
        <f>IF(Time!BJ49=1,BI102,BI112)</f>
        <v/>
      </c>
      <c r="BK106" s="19">
        <f>IF(Time!BK49=1,BJ102,BJ112)</f>
        <v/>
      </c>
      <c r="BL106" s="19">
        <f>IF(Time!BL49=1,BK102,BK112)</f>
        <v/>
      </c>
      <c r="BM106" s="19">
        <f>IF(Time!BM49=1,BL102,BL112)</f>
        <v/>
      </c>
      <c r="BN106" s="19">
        <f>IF(Time!BN49=1,BM102,BM112)</f>
        <v/>
      </c>
      <c r="BO106" s="19">
        <f>IF(Time!BO49=1,BN102,BN112)</f>
        <v/>
      </c>
      <c r="BP106" s="19">
        <f>IF(Time!BP49=1,BO102,BO112)</f>
        <v/>
      </c>
      <c r="BQ106" s="19">
        <f>IF(Time!BQ49=1,BP102,BP112)</f>
        <v/>
      </c>
      <c r="BR106" s="19">
        <f>IF(Time!BR49=1,BQ102,BQ112)</f>
        <v/>
      </c>
      <c r="BS106" s="19">
        <f>IF(Time!BS49=1,BR102,BR112)</f>
        <v/>
      </c>
      <c r="BT106" s="19">
        <f>IF(Time!BT49=1,BS102,BS112)</f>
        <v/>
      </c>
      <c r="BU106" s="19">
        <f>IF(Time!BU49=1,BT102,BT112)</f>
        <v/>
      </c>
      <c r="BV106" s="19">
        <f>IF(Time!BV49=1,BU102,BU112)</f>
        <v/>
      </c>
      <c r="BW106" s="19">
        <f>IF(Time!BW49=1,BV102,BV112)</f>
        <v/>
      </c>
      <c r="BX106" s="19">
        <f>IF(Time!BX49=1,BW102,BW112)</f>
        <v/>
      </c>
      <c r="BY106" s="19">
        <f>IF(Time!BY49=1,BX102,BX112)</f>
        <v/>
      </c>
      <c r="BZ106" s="19">
        <f>IF(Time!BZ49=1,BY102,BY112)</f>
        <v/>
      </c>
      <c r="CA106" s="19">
        <f>IF(Time!CA49=1,BZ102,BZ112)</f>
        <v/>
      </c>
      <c r="CB106" s="19">
        <f>IF(Time!CB49=1,CA102,CA112)</f>
        <v/>
      </c>
      <c r="CC106" s="19">
        <f>IF(Time!CC49=1,CB102,CB112)</f>
        <v/>
      </c>
      <c r="CD106" s="19">
        <f>IF(Time!CD49=1,CC102,CC112)</f>
        <v/>
      </c>
      <c r="CE106" s="19">
        <f>IF(Time!CE49=1,CD102,CD112)</f>
        <v/>
      </c>
      <c r="CF106" s="19">
        <f>IF(Time!CF49=1,CE102,CE112)</f>
        <v/>
      </c>
      <c r="CG106" s="19">
        <f>IF(Time!CG49=1,CF102,CF112)</f>
        <v/>
      </c>
      <c r="CH106" s="19">
        <f>IF(Time!CH49=1,CG102,CG112)</f>
        <v/>
      </c>
      <c r="CI106" s="19">
        <f>IF(Time!CI49=1,CH102,CH112)</f>
        <v/>
      </c>
      <c r="CJ106" s="19">
        <f>IF(Time!CJ49=1,CI102,CI112)</f>
        <v/>
      </c>
      <c r="CK106" s="19">
        <f>IF(Time!CK49=1,CJ102,CJ112)</f>
        <v/>
      </c>
      <c r="CL106" s="19">
        <f>IF(Time!CL49=1,CK102,CK112)</f>
        <v/>
      </c>
      <c r="CM106" s="19">
        <f>IF(Time!CM49=1,CL102,CL112)</f>
        <v/>
      </c>
      <c r="CN106" s="19">
        <f>IF(Time!CN49=1,CM102,CM112)</f>
        <v/>
      </c>
      <c r="CO106" s="19">
        <f>IF(Time!CO49=1,CN102,CN112)</f>
        <v/>
      </c>
      <c r="CP106" s="19">
        <f>IF(Time!CP49=1,CO102,CO112)</f>
        <v/>
      </c>
      <c r="CQ106" s="19">
        <f>IF(Time!CQ49=1,CP102,CP112)</f>
        <v/>
      </c>
      <c r="CR106" s="19">
        <f>IF(Time!CR49=1,CQ102,CQ112)</f>
        <v/>
      </c>
      <c r="CS106" s="19">
        <f>IF(Time!CS49=1,CR102,CR112)</f>
        <v/>
      </c>
      <c r="CT106" s="19">
        <f>IF(Time!CT49=1,CS102,CS112)</f>
        <v/>
      </c>
      <c r="CU106" s="19">
        <f>IF(Time!CU49=1,CT102,CT112)</f>
        <v/>
      </c>
      <c r="CV106" s="19">
        <f>IF(Time!CV49=1,CU102,CU112)</f>
        <v/>
      </c>
      <c r="CW106" s="19">
        <f>IF(Time!CW49=1,CV102,CV112)</f>
        <v/>
      </c>
      <c r="CX106" s="19">
        <f>IF(Time!CX49=1,CW102,CW112)</f>
        <v/>
      </c>
      <c r="CY106" s="19">
        <f>IF(Time!CY49=1,CX102,CX112)</f>
        <v/>
      </c>
      <c r="CZ106" s="19">
        <f>IF(Time!CZ49=1,CY102,CY112)</f>
        <v/>
      </c>
      <c r="DA106" s="19">
        <f>IF(Time!DA49=1,CZ102,CZ112)</f>
        <v/>
      </c>
      <c r="DB106" s="19">
        <f>IF(Time!DB49=1,DA102,DA112)</f>
        <v/>
      </c>
    </row>
    <row r="107">
      <c r="D107" t="inlineStr">
        <is>
          <t>Scheduled interest accrued</t>
        </is>
      </c>
      <c r="E107" t="inlineStr">
        <is>
          <t>ARD m</t>
        </is>
      </c>
      <c r="G107" s="19">
        <f>SUM(J107:DB107)</f>
        <v/>
      </c>
      <c r="J107" s="19">
        <f>J106*Time!J50*Time!J9/Inputs!$F$46</f>
        <v/>
      </c>
      <c r="K107" s="19">
        <f>K106*Time!K50*Time!K9/Inputs!$F$46</f>
        <v/>
      </c>
      <c r="L107" s="19">
        <f>L106*Time!L50*Time!L9/Inputs!$F$46</f>
        <v/>
      </c>
      <c r="M107" s="19">
        <f>M106*Time!M50*Time!M9/Inputs!$F$46</f>
        <v/>
      </c>
      <c r="N107" s="19">
        <f>N106*Time!N50*Time!N9/Inputs!$F$46</f>
        <v/>
      </c>
      <c r="O107" s="19">
        <f>O106*Time!O50*Time!O9/Inputs!$F$46</f>
        <v/>
      </c>
      <c r="P107" s="19">
        <f>P106*Time!P50*Time!P9/Inputs!$F$46</f>
        <v/>
      </c>
      <c r="Q107" s="19">
        <f>Q106*Time!Q50*Time!Q9/Inputs!$F$46</f>
        <v/>
      </c>
      <c r="R107" s="19">
        <f>R106*Time!R50*Time!R9/Inputs!$F$46</f>
        <v/>
      </c>
      <c r="S107" s="19">
        <f>S106*Time!S50*Time!S9/Inputs!$F$46</f>
        <v/>
      </c>
      <c r="T107" s="19">
        <f>T106*Time!T50*Time!T9/Inputs!$F$46</f>
        <v/>
      </c>
      <c r="U107" s="19">
        <f>U106*Time!U50*Time!U9/Inputs!$F$46</f>
        <v/>
      </c>
      <c r="V107" s="19">
        <f>V106*Time!V50*Time!V9/Inputs!$F$46</f>
        <v/>
      </c>
      <c r="W107" s="19">
        <f>W106*Time!W50*Time!W9/Inputs!$F$46</f>
        <v/>
      </c>
      <c r="X107" s="19">
        <f>X106*Time!X50*Time!X9/Inputs!$F$46</f>
        <v/>
      </c>
      <c r="Y107" s="19">
        <f>Y106*Time!Y50*Time!Y9/Inputs!$F$46</f>
        <v/>
      </c>
      <c r="Z107" s="19">
        <f>Z106*Time!Z50*Time!Z9/Inputs!$F$46</f>
        <v/>
      </c>
      <c r="AA107" s="19">
        <f>AA106*Time!AA50*Time!AA9/Inputs!$F$46</f>
        <v/>
      </c>
      <c r="AB107" s="19">
        <f>AB106*Time!AB50*Time!AB9/Inputs!$F$46</f>
        <v/>
      </c>
      <c r="AC107" s="19">
        <f>AC106*Time!AC50*Time!AC9/Inputs!$F$46</f>
        <v/>
      </c>
      <c r="AD107" s="19">
        <f>AD106*Time!AD50*Time!AD9/Inputs!$F$46</f>
        <v/>
      </c>
      <c r="AE107" s="19">
        <f>AE106*Time!AE50*Time!AE9/Inputs!$F$46</f>
        <v/>
      </c>
      <c r="AF107" s="19">
        <f>AF106*Time!AF50*Time!AF9/Inputs!$F$46</f>
        <v/>
      </c>
      <c r="AG107" s="19">
        <f>AG106*Time!AG50*Time!AG9/Inputs!$F$46</f>
        <v/>
      </c>
      <c r="AH107" s="19">
        <f>AH106*Time!AH50*Time!AH9/Inputs!$F$46</f>
        <v/>
      </c>
      <c r="AI107" s="19">
        <f>AI106*Time!AI50*Time!AI9/Inputs!$F$46</f>
        <v/>
      </c>
      <c r="AJ107" s="19">
        <f>AJ106*Time!AJ50*Time!AJ9/Inputs!$F$46</f>
        <v/>
      </c>
      <c r="AK107" s="19">
        <f>AK106*Time!AK50*Time!AK9/Inputs!$F$46</f>
        <v/>
      </c>
      <c r="AL107" s="19">
        <f>AL106*Time!AL50*Time!AL9/Inputs!$F$46</f>
        <v/>
      </c>
      <c r="AM107" s="19">
        <f>AM106*Time!AM50*Time!AM9/Inputs!$F$46</f>
        <v/>
      </c>
      <c r="AN107" s="19">
        <f>AN106*Time!AN50*Time!AN9/Inputs!$F$46</f>
        <v/>
      </c>
      <c r="AO107" s="19">
        <f>AO106*Time!AO50*Time!AO9/Inputs!$F$46</f>
        <v/>
      </c>
      <c r="AP107" s="19">
        <f>AP106*Time!AP50*Time!AP9/Inputs!$F$46</f>
        <v/>
      </c>
      <c r="AQ107" s="19">
        <f>AQ106*Time!AQ50*Time!AQ9/Inputs!$F$46</f>
        <v/>
      </c>
      <c r="AR107" s="19">
        <f>AR106*Time!AR50*Time!AR9/Inputs!$F$46</f>
        <v/>
      </c>
      <c r="AS107" s="19">
        <f>AS106*Time!AS50*Time!AS9/Inputs!$F$46</f>
        <v/>
      </c>
      <c r="AT107" s="19">
        <f>AT106*Time!AT50*Time!AT9/Inputs!$F$46</f>
        <v/>
      </c>
      <c r="AU107" s="19">
        <f>AU106*Time!AU50*Time!AU9/Inputs!$F$46</f>
        <v/>
      </c>
      <c r="AV107" s="19">
        <f>AV106*Time!AV50*Time!AV9/Inputs!$F$46</f>
        <v/>
      </c>
      <c r="AW107" s="19">
        <f>AW106*Time!AW50*Time!AW9/Inputs!$F$46</f>
        <v/>
      </c>
      <c r="AX107" s="19">
        <f>AX106*Time!AX50*Time!AX9/Inputs!$F$46</f>
        <v/>
      </c>
      <c r="AY107" s="19">
        <f>AY106*Time!AY50*Time!AY9/Inputs!$F$46</f>
        <v/>
      </c>
      <c r="AZ107" s="19">
        <f>AZ106*Time!AZ50*Time!AZ9/Inputs!$F$46</f>
        <v/>
      </c>
      <c r="BA107" s="19">
        <f>BA106*Time!BA50*Time!BA9/Inputs!$F$46</f>
        <v/>
      </c>
      <c r="BB107" s="19">
        <f>BB106*Time!BB50*Time!BB9/Inputs!$F$46</f>
        <v/>
      </c>
      <c r="BC107" s="19">
        <f>BC106*Time!BC50*Time!BC9/Inputs!$F$46</f>
        <v/>
      </c>
      <c r="BD107" s="19">
        <f>BD106*Time!BD50*Time!BD9/Inputs!$F$46</f>
        <v/>
      </c>
      <c r="BE107" s="19">
        <f>BE106*Time!BE50*Time!BE9/Inputs!$F$46</f>
        <v/>
      </c>
      <c r="BF107" s="19">
        <f>BF106*Time!BF50*Time!BF9/Inputs!$F$46</f>
        <v/>
      </c>
      <c r="BG107" s="19">
        <f>BG106*Time!BG50*Time!BG9/Inputs!$F$46</f>
        <v/>
      </c>
      <c r="BH107" s="19">
        <f>BH106*Time!BH50*Time!BH9/Inputs!$F$46</f>
        <v/>
      </c>
      <c r="BI107" s="19">
        <f>BI106*Time!BI50*Time!BI9/Inputs!$F$46</f>
        <v/>
      </c>
      <c r="BJ107" s="19">
        <f>BJ106*Time!BJ50*Time!BJ9/Inputs!$F$46</f>
        <v/>
      </c>
      <c r="BK107" s="19">
        <f>BK106*Time!BK50*Time!BK9/Inputs!$F$46</f>
        <v/>
      </c>
      <c r="BL107" s="19">
        <f>BL106*Time!BL50*Time!BL9/Inputs!$F$46</f>
        <v/>
      </c>
      <c r="BM107" s="19">
        <f>BM106*Time!BM50*Time!BM9/Inputs!$F$46</f>
        <v/>
      </c>
      <c r="BN107" s="19">
        <f>BN106*Time!BN50*Time!BN9/Inputs!$F$46</f>
        <v/>
      </c>
      <c r="BO107" s="19">
        <f>BO106*Time!BO50*Time!BO9/Inputs!$F$46</f>
        <v/>
      </c>
      <c r="BP107" s="19">
        <f>BP106*Time!BP50*Time!BP9/Inputs!$F$46</f>
        <v/>
      </c>
      <c r="BQ107" s="19">
        <f>BQ106*Time!BQ50*Time!BQ9/Inputs!$F$46</f>
        <v/>
      </c>
      <c r="BR107" s="19">
        <f>BR106*Time!BR50*Time!BR9/Inputs!$F$46</f>
        <v/>
      </c>
      <c r="BS107" s="19">
        <f>BS106*Time!BS50*Time!BS9/Inputs!$F$46</f>
        <v/>
      </c>
      <c r="BT107" s="19">
        <f>BT106*Time!BT50*Time!BT9/Inputs!$F$46</f>
        <v/>
      </c>
      <c r="BU107" s="19">
        <f>BU106*Time!BU50*Time!BU9/Inputs!$F$46</f>
        <v/>
      </c>
      <c r="BV107" s="19">
        <f>BV106*Time!BV50*Time!BV9/Inputs!$F$46</f>
        <v/>
      </c>
      <c r="BW107" s="19">
        <f>BW106*Time!BW50*Time!BW9/Inputs!$F$46</f>
        <v/>
      </c>
      <c r="BX107" s="19">
        <f>BX106*Time!BX50*Time!BX9/Inputs!$F$46</f>
        <v/>
      </c>
      <c r="BY107" s="19">
        <f>BY106*Time!BY50*Time!BY9/Inputs!$F$46</f>
        <v/>
      </c>
      <c r="BZ107" s="19">
        <f>BZ106*Time!BZ50*Time!BZ9/Inputs!$F$46</f>
        <v/>
      </c>
      <c r="CA107" s="19">
        <f>CA106*Time!CA50*Time!CA9/Inputs!$F$46</f>
        <v/>
      </c>
      <c r="CB107" s="19">
        <f>CB106*Time!CB50*Time!CB9/Inputs!$F$46</f>
        <v/>
      </c>
      <c r="CC107" s="19">
        <f>CC106*Time!CC50*Time!CC9/Inputs!$F$46</f>
        <v/>
      </c>
      <c r="CD107" s="19">
        <f>CD106*Time!CD50*Time!CD9/Inputs!$F$46</f>
        <v/>
      </c>
      <c r="CE107" s="19">
        <f>CE106*Time!CE50*Time!CE9/Inputs!$F$46</f>
        <v/>
      </c>
      <c r="CF107" s="19">
        <f>CF106*Time!CF50*Time!CF9/Inputs!$F$46</f>
        <v/>
      </c>
      <c r="CG107" s="19">
        <f>CG106*Time!CG50*Time!CG9/Inputs!$F$46</f>
        <v/>
      </c>
      <c r="CH107" s="19">
        <f>CH106*Time!CH50*Time!CH9/Inputs!$F$46</f>
        <v/>
      </c>
      <c r="CI107" s="19">
        <f>CI106*Time!CI50*Time!CI9/Inputs!$F$46</f>
        <v/>
      </c>
      <c r="CJ107" s="19">
        <f>CJ106*Time!CJ50*Time!CJ9/Inputs!$F$46</f>
        <v/>
      </c>
      <c r="CK107" s="19">
        <f>CK106*Time!CK50*Time!CK9/Inputs!$F$46</f>
        <v/>
      </c>
      <c r="CL107" s="19">
        <f>CL106*Time!CL50*Time!CL9/Inputs!$F$46</f>
        <v/>
      </c>
      <c r="CM107" s="19">
        <f>CM106*Time!CM50*Time!CM9/Inputs!$F$46</f>
        <v/>
      </c>
      <c r="CN107" s="19">
        <f>CN106*Time!CN50*Time!CN9/Inputs!$F$46</f>
        <v/>
      </c>
      <c r="CO107" s="19">
        <f>CO106*Time!CO50*Time!CO9/Inputs!$F$46</f>
        <v/>
      </c>
      <c r="CP107" s="19">
        <f>CP106*Time!CP50*Time!CP9/Inputs!$F$46</f>
        <v/>
      </c>
      <c r="CQ107" s="19">
        <f>CQ106*Time!CQ50*Time!CQ9/Inputs!$F$46</f>
        <v/>
      </c>
      <c r="CR107" s="19">
        <f>CR106*Time!CR50*Time!CR9/Inputs!$F$46</f>
        <v/>
      </c>
      <c r="CS107" s="19">
        <f>CS106*Time!CS50*Time!CS9/Inputs!$F$46</f>
        <v/>
      </c>
      <c r="CT107" s="19">
        <f>CT106*Time!CT50*Time!CT9/Inputs!$F$46</f>
        <v/>
      </c>
      <c r="CU107" s="19">
        <f>CU106*Time!CU50*Time!CU9/Inputs!$F$46</f>
        <v/>
      </c>
      <c r="CV107" s="19">
        <f>CV106*Time!CV50*Time!CV9/Inputs!$F$46</f>
        <v/>
      </c>
      <c r="CW107" s="19">
        <f>CW106*Time!CW50*Time!CW9/Inputs!$F$46</f>
        <v/>
      </c>
      <c r="CX107" s="19">
        <f>CX106*Time!CX50*Time!CX9/Inputs!$F$46</f>
        <v/>
      </c>
      <c r="CY107" s="19">
        <f>CY106*Time!CY50*Time!CY9/Inputs!$F$46</f>
        <v/>
      </c>
      <c r="CZ107" s="19">
        <f>CZ106*Time!CZ50*Time!CZ9/Inputs!$F$46</f>
        <v/>
      </c>
      <c r="DA107" s="19">
        <f>DA106*Time!DA50*Time!DA9/Inputs!$F$46</f>
        <v/>
      </c>
      <c r="DB107" s="19">
        <f>DB106*Time!DB50*Time!DB9/Inputs!$F$46</f>
        <v/>
      </c>
    </row>
    <row r="108">
      <c r="D108" t="inlineStr">
        <is>
          <t>Scheduled cash interest</t>
        </is>
      </c>
      <c r="E108" t="inlineStr">
        <is>
          <t>ARD m</t>
        </is>
      </c>
      <c r="G108" s="19">
        <f>SUM(J108:DB108)</f>
        <v/>
      </c>
      <c r="J108" s="19">
        <f>J107*Time!J51</f>
        <v/>
      </c>
      <c r="K108" s="19">
        <f>K107*Time!K51</f>
        <v/>
      </c>
      <c r="L108" s="19">
        <f>L107*Time!L51</f>
        <v/>
      </c>
      <c r="M108" s="19">
        <f>M107*Time!M51</f>
        <v/>
      </c>
      <c r="N108" s="19">
        <f>N107*Time!N51</f>
        <v/>
      </c>
      <c r="O108" s="19">
        <f>O107*Time!O51</f>
        <v/>
      </c>
      <c r="P108" s="19">
        <f>P107*Time!P51</f>
        <v/>
      </c>
      <c r="Q108" s="19">
        <f>Q107*Time!Q51</f>
        <v/>
      </c>
      <c r="R108" s="19">
        <f>R107*Time!R51</f>
        <v/>
      </c>
      <c r="S108" s="19">
        <f>S107*Time!S51</f>
        <v/>
      </c>
      <c r="T108" s="19">
        <f>T107*Time!T51</f>
        <v/>
      </c>
      <c r="U108" s="19">
        <f>U107*Time!U51</f>
        <v/>
      </c>
      <c r="V108" s="19">
        <f>V107*Time!V51</f>
        <v/>
      </c>
      <c r="W108" s="19">
        <f>W107*Time!W51</f>
        <v/>
      </c>
      <c r="X108" s="19">
        <f>X107*Time!X51</f>
        <v/>
      </c>
      <c r="Y108" s="19">
        <f>Y107*Time!Y51</f>
        <v/>
      </c>
      <c r="Z108" s="19">
        <f>Z107*Time!Z51</f>
        <v/>
      </c>
      <c r="AA108" s="19">
        <f>AA107*Time!AA51</f>
        <v/>
      </c>
      <c r="AB108" s="19">
        <f>AB107*Time!AB51</f>
        <v/>
      </c>
      <c r="AC108" s="19">
        <f>AC107*Time!AC51</f>
        <v/>
      </c>
      <c r="AD108" s="19">
        <f>AD107*Time!AD51</f>
        <v/>
      </c>
      <c r="AE108" s="19">
        <f>AE107*Time!AE51</f>
        <v/>
      </c>
      <c r="AF108" s="19">
        <f>AF107*Time!AF51</f>
        <v/>
      </c>
      <c r="AG108" s="19">
        <f>AG107*Time!AG51</f>
        <v/>
      </c>
      <c r="AH108" s="19">
        <f>AH107*Time!AH51</f>
        <v/>
      </c>
      <c r="AI108" s="19">
        <f>AI107*Time!AI51</f>
        <v/>
      </c>
      <c r="AJ108" s="19">
        <f>AJ107*Time!AJ51</f>
        <v/>
      </c>
      <c r="AK108" s="19">
        <f>AK107*Time!AK51</f>
        <v/>
      </c>
      <c r="AL108" s="19">
        <f>AL107*Time!AL51</f>
        <v/>
      </c>
      <c r="AM108" s="19">
        <f>AM107*Time!AM51</f>
        <v/>
      </c>
      <c r="AN108" s="19">
        <f>AN107*Time!AN51</f>
        <v/>
      </c>
      <c r="AO108" s="19">
        <f>AO107*Time!AO51</f>
        <v/>
      </c>
      <c r="AP108" s="19">
        <f>AP107*Time!AP51</f>
        <v/>
      </c>
      <c r="AQ108" s="19">
        <f>AQ107*Time!AQ51</f>
        <v/>
      </c>
      <c r="AR108" s="19">
        <f>AR107*Time!AR51</f>
        <v/>
      </c>
      <c r="AS108" s="19">
        <f>AS107*Time!AS51</f>
        <v/>
      </c>
      <c r="AT108" s="19">
        <f>AT107*Time!AT51</f>
        <v/>
      </c>
      <c r="AU108" s="19">
        <f>AU107*Time!AU51</f>
        <v/>
      </c>
      <c r="AV108" s="19">
        <f>AV107*Time!AV51</f>
        <v/>
      </c>
      <c r="AW108" s="19">
        <f>AW107*Time!AW51</f>
        <v/>
      </c>
      <c r="AX108" s="19">
        <f>AX107*Time!AX51</f>
        <v/>
      </c>
      <c r="AY108" s="19">
        <f>AY107*Time!AY51</f>
        <v/>
      </c>
      <c r="AZ108" s="19">
        <f>AZ107*Time!AZ51</f>
        <v/>
      </c>
      <c r="BA108" s="19">
        <f>BA107*Time!BA51</f>
        <v/>
      </c>
      <c r="BB108" s="19">
        <f>BB107*Time!BB51</f>
        <v/>
      </c>
      <c r="BC108" s="19">
        <f>BC107*Time!BC51</f>
        <v/>
      </c>
      <c r="BD108" s="19">
        <f>BD107*Time!BD51</f>
        <v/>
      </c>
      <c r="BE108" s="19">
        <f>BE107*Time!BE51</f>
        <v/>
      </c>
      <c r="BF108" s="19">
        <f>BF107*Time!BF51</f>
        <v/>
      </c>
      <c r="BG108" s="19">
        <f>BG107*Time!BG51</f>
        <v/>
      </c>
      <c r="BH108" s="19">
        <f>BH107*Time!BH51</f>
        <v/>
      </c>
      <c r="BI108" s="19">
        <f>BI107*Time!BI51</f>
        <v/>
      </c>
      <c r="BJ108" s="19">
        <f>BJ107*Time!BJ51</f>
        <v/>
      </c>
      <c r="BK108" s="19">
        <f>BK107*Time!BK51</f>
        <v/>
      </c>
      <c r="BL108" s="19">
        <f>BL107*Time!BL51</f>
        <v/>
      </c>
      <c r="BM108" s="19">
        <f>BM107*Time!BM51</f>
        <v/>
      </c>
      <c r="BN108" s="19">
        <f>BN107*Time!BN51</f>
        <v/>
      </c>
      <c r="BO108" s="19">
        <f>BO107*Time!BO51</f>
        <v/>
      </c>
      <c r="BP108" s="19">
        <f>BP107*Time!BP51</f>
        <v/>
      </c>
      <c r="BQ108" s="19">
        <f>BQ107*Time!BQ51</f>
        <v/>
      </c>
      <c r="BR108" s="19">
        <f>BR107*Time!BR51</f>
        <v/>
      </c>
      <c r="BS108" s="19">
        <f>BS107*Time!BS51</f>
        <v/>
      </c>
      <c r="BT108" s="19">
        <f>BT107*Time!BT51</f>
        <v/>
      </c>
      <c r="BU108" s="19">
        <f>BU107*Time!BU51</f>
        <v/>
      </c>
      <c r="BV108" s="19">
        <f>BV107*Time!BV51</f>
        <v/>
      </c>
      <c r="BW108" s="19">
        <f>BW107*Time!BW51</f>
        <v/>
      </c>
      <c r="BX108" s="19">
        <f>BX107*Time!BX51</f>
        <v/>
      </c>
      <c r="BY108" s="19">
        <f>BY107*Time!BY51</f>
        <v/>
      </c>
      <c r="BZ108" s="19">
        <f>BZ107*Time!BZ51</f>
        <v/>
      </c>
      <c r="CA108" s="19">
        <f>CA107*Time!CA51</f>
        <v/>
      </c>
      <c r="CB108" s="19">
        <f>CB107*Time!CB51</f>
        <v/>
      </c>
      <c r="CC108" s="19">
        <f>CC107*Time!CC51</f>
        <v/>
      </c>
      <c r="CD108" s="19">
        <f>CD107*Time!CD51</f>
        <v/>
      </c>
      <c r="CE108" s="19">
        <f>CE107*Time!CE51</f>
        <v/>
      </c>
      <c r="CF108" s="19">
        <f>CF107*Time!CF51</f>
        <v/>
      </c>
      <c r="CG108" s="19">
        <f>CG107*Time!CG51</f>
        <v/>
      </c>
      <c r="CH108" s="19">
        <f>CH107*Time!CH51</f>
        <v/>
      </c>
      <c r="CI108" s="19">
        <f>CI107*Time!CI51</f>
        <v/>
      </c>
      <c r="CJ108" s="19">
        <f>CJ107*Time!CJ51</f>
        <v/>
      </c>
      <c r="CK108" s="19">
        <f>CK107*Time!CK51</f>
        <v/>
      </c>
      <c r="CL108" s="19">
        <f>CL107*Time!CL51</f>
        <v/>
      </c>
      <c r="CM108" s="19">
        <f>CM107*Time!CM51</f>
        <v/>
      </c>
      <c r="CN108" s="19">
        <f>CN107*Time!CN51</f>
        <v/>
      </c>
      <c r="CO108" s="19">
        <f>CO107*Time!CO51</f>
        <v/>
      </c>
      <c r="CP108" s="19">
        <f>CP107*Time!CP51</f>
        <v/>
      </c>
      <c r="CQ108" s="19">
        <f>CQ107*Time!CQ51</f>
        <v/>
      </c>
      <c r="CR108" s="19">
        <f>CR107*Time!CR51</f>
        <v/>
      </c>
      <c r="CS108" s="19">
        <f>CS107*Time!CS51</f>
        <v/>
      </c>
      <c r="CT108" s="19">
        <f>CT107*Time!CT51</f>
        <v/>
      </c>
      <c r="CU108" s="19">
        <f>CU107*Time!CU51</f>
        <v/>
      </c>
      <c r="CV108" s="19">
        <f>CV107*Time!CV51</f>
        <v/>
      </c>
      <c r="CW108" s="19">
        <f>CW107*Time!CW51</f>
        <v/>
      </c>
      <c r="CX108" s="19">
        <f>CX107*Time!CX51</f>
        <v/>
      </c>
      <c r="CY108" s="19">
        <f>CY107*Time!CY51</f>
        <v/>
      </c>
      <c r="CZ108" s="19">
        <f>CZ107*Time!CZ51</f>
        <v/>
      </c>
      <c r="DA108" s="19">
        <f>DA107*Time!DA51</f>
        <v/>
      </c>
      <c r="DB108" s="19">
        <f>DB107*Time!DB51</f>
        <v/>
      </c>
    </row>
    <row r="109">
      <c r="D109" t="inlineStr">
        <is>
          <t>Flag_InterestOnly (NILO)</t>
        </is>
      </c>
      <c r="E109" t="inlineStr">
        <is>
          <t>flag</t>
        </is>
      </c>
      <c r="J109" s="14">
        <f>IF(AND(Time!J47=1,J108&gt;J104/$F$115),1,0)</f>
        <v/>
      </c>
      <c r="K109" s="14">
        <f>IF(AND(Time!K47=1,K108&gt;K104/$F$115),1,0)</f>
        <v/>
      </c>
      <c r="L109" s="14">
        <f>IF(AND(Time!L47=1,L108&gt;L104/$F$115),1,0)</f>
        <v/>
      </c>
      <c r="M109" s="14">
        <f>IF(AND(Time!M47=1,M108&gt;M104/$F$115),1,0)</f>
        <v/>
      </c>
      <c r="N109" s="14">
        <f>IF(AND(Time!N47=1,N108&gt;N104/$F$115),1,0)</f>
        <v/>
      </c>
      <c r="O109" s="14">
        <f>IF(AND(Time!O47=1,O108&gt;O104/$F$115),1,0)</f>
        <v/>
      </c>
      <c r="P109" s="14">
        <f>IF(AND(Time!P47=1,P108&gt;P104/$F$115),1,0)</f>
        <v/>
      </c>
      <c r="Q109" s="14">
        <f>IF(AND(Time!Q47=1,Q108&gt;Q104/$F$115),1,0)</f>
        <v/>
      </c>
      <c r="R109" s="14">
        <f>IF(AND(Time!R47=1,R108&gt;R104/$F$115),1,0)</f>
        <v/>
      </c>
      <c r="S109" s="14">
        <f>IF(AND(Time!S47=1,S108&gt;S104/$F$115),1,0)</f>
        <v/>
      </c>
      <c r="T109" s="14">
        <f>IF(AND(Time!T47=1,T108&gt;T104/$F$115),1,0)</f>
        <v/>
      </c>
      <c r="U109" s="14">
        <f>IF(AND(Time!U47=1,U108&gt;U104/$F$115),1,0)</f>
        <v/>
      </c>
      <c r="V109" s="14">
        <f>IF(AND(Time!V47=1,V108&gt;V104/$F$115),1,0)</f>
        <v/>
      </c>
      <c r="W109" s="14">
        <f>IF(AND(Time!W47=1,W108&gt;W104/$F$115),1,0)</f>
        <v/>
      </c>
      <c r="X109" s="14">
        <f>IF(AND(Time!X47=1,X108&gt;X104/$F$115),1,0)</f>
        <v/>
      </c>
      <c r="Y109" s="14">
        <f>IF(AND(Time!Y47=1,Y108&gt;Y104/$F$115),1,0)</f>
        <v/>
      </c>
      <c r="Z109" s="14">
        <f>IF(AND(Time!Z47=1,Z108&gt;Z104/$F$115),1,0)</f>
        <v/>
      </c>
      <c r="AA109" s="14">
        <f>IF(AND(Time!AA47=1,AA108&gt;AA104/$F$115),1,0)</f>
        <v/>
      </c>
      <c r="AB109" s="14">
        <f>IF(AND(Time!AB47=1,AB108&gt;AB104/$F$115),1,0)</f>
        <v/>
      </c>
      <c r="AC109" s="14">
        <f>IF(AND(Time!AC47=1,AC108&gt;AC104/$F$115),1,0)</f>
        <v/>
      </c>
      <c r="AD109" s="14">
        <f>IF(AND(Time!AD47=1,AD108&gt;AD104/$F$115),1,0)</f>
        <v/>
      </c>
      <c r="AE109" s="14">
        <f>IF(AND(Time!AE47=1,AE108&gt;AE104/$F$115),1,0)</f>
        <v/>
      </c>
      <c r="AF109" s="14">
        <f>IF(AND(Time!AF47=1,AF108&gt;AF104/$F$115),1,0)</f>
        <v/>
      </c>
      <c r="AG109" s="14">
        <f>IF(AND(Time!AG47=1,AG108&gt;AG104/$F$115),1,0)</f>
        <v/>
      </c>
      <c r="AH109" s="14">
        <f>IF(AND(Time!AH47=1,AH108&gt;AH104/$F$115),1,0)</f>
        <v/>
      </c>
      <c r="AI109" s="14">
        <f>IF(AND(Time!AI47=1,AI108&gt;AI104/$F$115),1,0)</f>
        <v/>
      </c>
      <c r="AJ109" s="14">
        <f>IF(AND(Time!AJ47=1,AJ108&gt;AJ104/$F$115),1,0)</f>
        <v/>
      </c>
      <c r="AK109" s="14">
        <f>IF(AND(Time!AK47=1,AK108&gt;AK104/$F$115),1,0)</f>
        <v/>
      </c>
      <c r="AL109" s="14">
        <f>IF(AND(Time!AL47=1,AL108&gt;AL104/$F$115),1,0)</f>
        <v/>
      </c>
      <c r="AM109" s="14">
        <f>IF(AND(Time!AM47=1,AM108&gt;AM104/$F$115),1,0)</f>
        <v/>
      </c>
      <c r="AN109" s="14">
        <f>IF(AND(Time!AN47=1,AN108&gt;AN104/$F$115),1,0)</f>
        <v/>
      </c>
      <c r="AO109" s="14">
        <f>IF(AND(Time!AO47=1,AO108&gt;AO104/$F$115),1,0)</f>
        <v/>
      </c>
      <c r="AP109" s="14">
        <f>IF(AND(Time!AP47=1,AP108&gt;AP104/$F$115),1,0)</f>
        <v/>
      </c>
      <c r="AQ109" s="14">
        <f>IF(AND(Time!AQ47=1,AQ108&gt;AQ104/$F$115),1,0)</f>
        <v/>
      </c>
      <c r="AR109" s="14">
        <f>IF(AND(Time!AR47=1,AR108&gt;AR104/$F$115),1,0)</f>
        <v/>
      </c>
      <c r="AS109" s="14">
        <f>IF(AND(Time!AS47=1,AS108&gt;AS104/$F$115),1,0)</f>
        <v/>
      </c>
      <c r="AT109" s="14">
        <f>IF(AND(Time!AT47=1,AT108&gt;AT104/$F$115),1,0)</f>
        <v/>
      </c>
      <c r="AU109" s="14">
        <f>IF(AND(Time!AU47=1,AU108&gt;AU104/$F$115),1,0)</f>
        <v/>
      </c>
      <c r="AV109" s="14">
        <f>IF(AND(Time!AV47=1,AV108&gt;AV104/$F$115),1,0)</f>
        <v/>
      </c>
      <c r="AW109" s="14">
        <f>IF(AND(Time!AW47=1,AW108&gt;AW104/$F$115),1,0)</f>
        <v/>
      </c>
      <c r="AX109" s="14">
        <f>IF(AND(Time!AX47=1,AX108&gt;AX104/$F$115),1,0)</f>
        <v/>
      </c>
      <c r="AY109" s="14">
        <f>IF(AND(Time!AY47=1,AY108&gt;AY104/$F$115),1,0)</f>
        <v/>
      </c>
      <c r="AZ109" s="14">
        <f>IF(AND(Time!AZ47=1,AZ108&gt;AZ104/$F$115),1,0)</f>
        <v/>
      </c>
      <c r="BA109" s="14">
        <f>IF(AND(Time!BA47=1,BA108&gt;BA104/$F$115),1,0)</f>
        <v/>
      </c>
      <c r="BB109" s="14">
        <f>IF(AND(Time!BB47=1,BB108&gt;BB104/$F$115),1,0)</f>
        <v/>
      </c>
      <c r="BC109" s="14">
        <f>IF(AND(Time!BC47=1,BC108&gt;BC104/$F$115),1,0)</f>
        <v/>
      </c>
      <c r="BD109" s="14">
        <f>IF(AND(Time!BD47=1,BD108&gt;BD104/$F$115),1,0)</f>
        <v/>
      </c>
      <c r="BE109" s="14">
        <f>IF(AND(Time!BE47=1,BE108&gt;BE104/$F$115),1,0)</f>
        <v/>
      </c>
      <c r="BF109" s="14">
        <f>IF(AND(Time!BF47=1,BF108&gt;BF104/$F$115),1,0)</f>
        <v/>
      </c>
      <c r="BG109" s="14">
        <f>IF(AND(Time!BG47=1,BG108&gt;BG104/$F$115),1,0)</f>
        <v/>
      </c>
      <c r="BH109" s="14">
        <f>IF(AND(Time!BH47=1,BH108&gt;BH104/$F$115),1,0)</f>
        <v/>
      </c>
      <c r="BI109" s="14">
        <f>IF(AND(Time!BI47=1,BI108&gt;BI104/$F$115),1,0)</f>
        <v/>
      </c>
      <c r="BJ109" s="14">
        <f>IF(AND(Time!BJ47=1,BJ108&gt;BJ104/$F$115),1,0)</f>
        <v/>
      </c>
      <c r="BK109" s="14">
        <f>IF(AND(Time!BK47=1,BK108&gt;BK104/$F$115),1,0)</f>
        <v/>
      </c>
      <c r="BL109" s="14">
        <f>IF(AND(Time!BL47=1,BL108&gt;BL104/$F$115),1,0)</f>
        <v/>
      </c>
      <c r="BM109" s="14">
        <f>IF(AND(Time!BM47=1,BM108&gt;BM104/$F$115),1,0)</f>
        <v/>
      </c>
      <c r="BN109" s="14">
        <f>IF(AND(Time!BN47=1,BN108&gt;BN104/$F$115),1,0)</f>
        <v/>
      </c>
      <c r="BO109" s="14">
        <f>IF(AND(Time!BO47=1,BO108&gt;BO104/$F$115),1,0)</f>
        <v/>
      </c>
      <c r="BP109" s="14">
        <f>IF(AND(Time!BP47=1,BP108&gt;BP104/$F$115),1,0)</f>
        <v/>
      </c>
      <c r="BQ109" s="14">
        <f>IF(AND(Time!BQ47=1,BQ108&gt;BQ104/$F$115),1,0)</f>
        <v/>
      </c>
      <c r="BR109" s="14">
        <f>IF(AND(Time!BR47=1,BR108&gt;BR104/$F$115),1,0)</f>
        <v/>
      </c>
      <c r="BS109" s="14">
        <f>IF(AND(Time!BS47=1,BS108&gt;BS104/$F$115),1,0)</f>
        <v/>
      </c>
      <c r="BT109" s="14">
        <f>IF(AND(Time!BT47=1,BT108&gt;BT104/$F$115),1,0)</f>
        <v/>
      </c>
      <c r="BU109" s="14">
        <f>IF(AND(Time!BU47=1,BU108&gt;BU104/$F$115),1,0)</f>
        <v/>
      </c>
      <c r="BV109" s="14">
        <f>IF(AND(Time!BV47=1,BV108&gt;BV104/$F$115),1,0)</f>
        <v/>
      </c>
      <c r="BW109" s="14">
        <f>IF(AND(Time!BW47=1,BW108&gt;BW104/$F$115),1,0)</f>
        <v/>
      </c>
      <c r="BX109" s="14">
        <f>IF(AND(Time!BX47=1,BX108&gt;BX104/$F$115),1,0)</f>
        <v/>
      </c>
      <c r="BY109" s="14">
        <f>IF(AND(Time!BY47=1,BY108&gt;BY104/$F$115),1,0)</f>
        <v/>
      </c>
      <c r="BZ109" s="14">
        <f>IF(AND(Time!BZ47=1,BZ108&gt;BZ104/$F$115),1,0)</f>
        <v/>
      </c>
      <c r="CA109" s="14">
        <f>IF(AND(Time!CA47=1,CA108&gt;CA104/$F$115),1,0)</f>
        <v/>
      </c>
      <c r="CB109" s="14">
        <f>IF(AND(Time!CB47=1,CB108&gt;CB104/$F$115),1,0)</f>
        <v/>
      </c>
      <c r="CC109" s="14">
        <f>IF(AND(Time!CC47=1,CC108&gt;CC104/$F$115),1,0)</f>
        <v/>
      </c>
      <c r="CD109" s="14">
        <f>IF(AND(Time!CD47=1,CD108&gt;CD104/$F$115),1,0)</f>
        <v/>
      </c>
      <c r="CE109" s="14">
        <f>IF(AND(Time!CE47=1,CE108&gt;CE104/$F$115),1,0)</f>
        <v/>
      </c>
      <c r="CF109" s="14">
        <f>IF(AND(Time!CF47=1,CF108&gt;CF104/$F$115),1,0)</f>
        <v/>
      </c>
      <c r="CG109" s="14">
        <f>IF(AND(Time!CG47=1,CG108&gt;CG104/$F$115),1,0)</f>
        <v/>
      </c>
      <c r="CH109" s="14">
        <f>IF(AND(Time!CH47=1,CH108&gt;CH104/$F$115),1,0)</f>
        <v/>
      </c>
      <c r="CI109" s="14">
        <f>IF(AND(Time!CI47=1,CI108&gt;CI104/$F$115),1,0)</f>
        <v/>
      </c>
      <c r="CJ109" s="14">
        <f>IF(AND(Time!CJ47=1,CJ108&gt;CJ104/$F$115),1,0)</f>
        <v/>
      </c>
      <c r="CK109" s="14">
        <f>IF(AND(Time!CK47=1,CK108&gt;CK104/$F$115),1,0)</f>
        <v/>
      </c>
      <c r="CL109" s="14">
        <f>IF(AND(Time!CL47=1,CL108&gt;CL104/$F$115),1,0)</f>
        <v/>
      </c>
      <c r="CM109" s="14">
        <f>IF(AND(Time!CM47=1,CM108&gt;CM104/$F$115),1,0)</f>
        <v/>
      </c>
      <c r="CN109" s="14">
        <f>IF(AND(Time!CN47=1,CN108&gt;CN104/$F$115),1,0)</f>
        <v/>
      </c>
      <c r="CO109" s="14">
        <f>IF(AND(Time!CO47=1,CO108&gt;CO104/$F$115),1,0)</f>
        <v/>
      </c>
      <c r="CP109" s="14">
        <f>IF(AND(Time!CP47=1,CP108&gt;CP104/$F$115),1,0)</f>
        <v/>
      </c>
      <c r="CQ109" s="14">
        <f>IF(AND(Time!CQ47=1,CQ108&gt;CQ104/$F$115),1,0)</f>
        <v/>
      </c>
      <c r="CR109" s="14">
        <f>IF(AND(Time!CR47=1,CR108&gt;CR104/$F$115),1,0)</f>
        <v/>
      </c>
      <c r="CS109" s="14">
        <f>IF(AND(Time!CS47=1,CS108&gt;CS104/$F$115),1,0)</f>
        <v/>
      </c>
      <c r="CT109" s="14">
        <f>IF(AND(Time!CT47=1,CT108&gt;CT104/$F$115),1,0)</f>
        <v/>
      </c>
      <c r="CU109" s="14">
        <f>IF(AND(Time!CU47=1,CU108&gt;CU104/$F$115),1,0)</f>
        <v/>
      </c>
      <c r="CV109" s="14">
        <f>IF(AND(Time!CV47=1,CV108&gt;CV104/$F$115),1,0)</f>
        <v/>
      </c>
      <c r="CW109" s="14">
        <f>IF(AND(Time!CW47=1,CW108&gt;CW104/$F$115),1,0)</f>
        <v/>
      </c>
      <c r="CX109" s="14">
        <f>IF(AND(Time!CX47=1,CX108&gt;CX104/$F$115),1,0)</f>
        <v/>
      </c>
      <c r="CY109" s="14">
        <f>IF(AND(Time!CY47=1,CY108&gt;CY104/$F$115),1,0)</f>
        <v/>
      </c>
      <c r="CZ109" s="14">
        <f>IF(AND(Time!CZ47=1,CZ108&gt;CZ104/$F$115),1,0)</f>
        <v/>
      </c>
      <c r="DA109" s="14">
        <f>IF(AND(Time!DA47=1,DA108&gt;DA104/$F$115),1,0)</f>
        <v/>
      </c>
      <c r="DB109" s="14">
        <f>IF(AND(Time!DB47=1,DB108&gt;DB104/$F$115),1,0)</f>
        <v/>
      </c>
    </row>
    <row r="110">
      <c r="D110" t="inlineStr">
        <is>
          <t>Scheduled NILO debt service</t>
        </is>
      </c>
      <c r="E110" t="inlineStr">
        <is>
          <t>ARD m</t>
        </is>
      </c>
      <c r="G110" s="19">
        <f>SUM(J110:DB110)</f>
        <v/>
      </c>
      <c r="J110" s="19">
        <f>IF(Time!J47=1,MAX(J108,J104/$F$115),0)</f>
        <v/>
      </c>
      <c r="K110" s="19">
        <f>IF(Time!K47=1,MAX(K108,K104/$F$115),0)</f>
        <v/>
      </c>
      <c r="L110" s="19">
        <f>IF(Time!L47=1,MAX(L108,L104/$F$115),0)</f>
        <v/>
      </c>
      <c r="M110" s="19">
        <f>IF(Time!M47=1,MAX(M108,M104/$F$115),0)</f>
        <v/>
      </c>
      <c r="N110" s="19">
        <f>IF(Time!N47=1,MAX(N108,N104/$F$115),0)</f>
        <v/>
      </c>
      <c r="O110" s="19">
        <f>IF(Time!O47=1,MAX(O108,O104/$F$115),0)</f>
        <v/>
      </c>
      <c r="P110" s="19">
        <f>IF(Time!P47=1,MAX(P108,P104/$F$115),0)</f>
        <v/>
      </c>
      <c r="Q110" s="19">
        <f>IF(Time!Q47=1,MAX(Q108,Q104/$F$115),0)</f>
        <v/>
      </c>
      <c r="R110" s="19">
        <f>IF(Time!R47=1,MAX(R108,R104/$F$115),0)</f>
        <v/>
      </c>
      <c r="S110" s="19">
        <f>IF(Time!S47=1,MAX(S108,S104/$F$115),0)</f>
        <v/>
      </c>
      <c r="T110" s="19">
        <f>IF(Time!T47=1,MAX(T108,T104/$F$115),0)</f>
        <v/>
      </c>
      <c r="U110" s="19">
        <f>IF(Time!U47=1,MAX(U108,U104/$F$115),0)</f>
        <v/>
      </c>
      <c r="V110" s="19">
        <f>IF(Time!V47=1,MAX(V108,V104/$F$115),0)</f>
        <v/>
      </c>
      <c r="W110" s="19">
        <f>IF(Time!W47=1,MAX(W108,W104/$F$115),0)</f>
        <v/>
      </c>
      <c r="X110" s="19">
        <f>IF(Time!X47=1,MAX(X108,X104/$F$115),0)</f>
        <v/>
      </c>
      <c r="Y110" s="19">
        <f>IF(Time!Y47=1,MAX(Y108,Y104/$F$115),0)</f>
        <v/>
      </c>
      <c r="Z110" s="19">
        <f>IF(Time!Z47=1,MAX(Z108,Z104/$F$115),0)</f>
        <v/>
      </c>
      <c r="AA110" s="19">
        <f>IF(Time!AA47=1,MAX(AA108,AA104/$F$115),0)</f>
        <v/>
      </c>
      <c r="AB110" s="19">
        <f>IF(Time!AB47=1,MAX(AB108,AB104/$F$115),0)</f>
        <v/>
      </c>
      <c r="AC110" s="19">
        <f>IF(Time!AC47=1,MAX(AC108,AC104/$F$115),0)</f>
        <v/>
      </c>
      <c r="AD110" s="19">
        <f>IF(Time!AD47=1,MAX(AD108,AD104/$F$115),0)</f>
        <v/>
      </c>
      <c r="AE110" s="19">
        <f>IF(Time!AE47=1,MAX(AE108,AE104/$F$115),0)</f>
        <v/>
      </c>
      <c r="AF110" s="19">
        <f>IF(Time!AF47=1,MAX(AF108,AF104/$F$115),0)</f>
        <v/>
      </c>
      <c r="AG110" s="19">
        <f>IF(Time!AG47=1,MAX(AG108,AG104/$F$115),0)</f>
        <v/>
      </c>
      <c r="AH110" s="19">
        <f>IF(Time!AH47=1,MAX(AH108,AH104/$F$115),0)</f>
        <v/>
      </c>
      <c r="AI110" s="19">
        <f>IF(Time!AI47=1,MAX(AI108,AI104/$F$115),0)</f>
        <v/>
      </c>
      <c r="AJ110" s="19">
        <f>IF(Time!AJ47=1,MAX(AJ108,AJ104/$F$115),0)</f>
        <v/>
      </c>
      <c r="AK110" s="19">
        <f>IF(Time!AK47=1,MAX(AK108,AK104/$F$115),0)</f>
        <v/>
      </c>
      <c r="AL110" s="19">
        <f>IF(Time!AL47=1,MAX(AL108,AL104/$F$115),0)</f>
        <v/>
      </c>
      <c r="AM110" s="19">
        <f>IF(Time!AM47=1,MAX(AM108,AM104/$F$115),0)</f>
        <v/>
      </c>
      <c r="AN110" s="19">
        <f>IF(Time!AN47=1,MAX(AN108,AN104/$F$115),0)</f>
        <v/>
      </c>
      <c r="AO110" s="19">
        <f>IF(Time!AO47=1,MAX(AO108,AO104/$F$115),0)</f>
        <v/>
      </c>
      <c r="AP110" s="19">
        <f>IF(Time!AP47=1,MAX(AP108,AP104/$F$115),0)</f>
        <v/>
      </c>
      <c r="AQ110" s="19">
        <f>IF(Time!AQ47=1,MAX(AQ108,AQ104/$F$115),0)</f>
        <v/>
      </c>
      <c r="AR110" s="19">
        <f>IF(Time!AR47=1,MAX(AR108,AR104/$F$115),0)</f>
        <v/>
      </c>
      <c r="AS110" s="19">
        <f>IF(Time!AS47=1,MAX(AS108,AS104/$F$115),0)</f>
        <v/>
      </c>
      <c r="AT110" s="19">
        <f>IF(Time!AT47=1,MAX(AT108,AT104/$F$115),0)</f>
        <v/>
      </c>
      <c r="AU110" s="19">
        <f>IF(Time!AU47=1,MAX(AU108,AU104/$F$115),0)</f>
        <v/>
      </c>
      <c r="AV110" s="19">
        <f>IF(Time!AV47=1,MAX(AV108,AV104/$F$115),0)</f>
        <v/>
      </c>
      <c r="AW110" s="19">
        <f>IF(Time!AW47=1,MAX(AW108,AW104/$F$115),0)</f>
        <v/>
      </c>
      <c r="AX110" s="19">
        <f>IF(Time!AX47=1,MAX(AX108,AX104/$F$115),0)</f>
        <v/>
      </c>
      <c r="AY110" s="19">
        <f>IF(Time!AY47=1,MAX(AY108,AY104/$F$115),0)</f>
        <v/>
      </c>
      <c r="AZ110" s="19">
        <f>IF(Time!AZ47=1,MAX(AZ108,AZ104/$F$115),0)</f>
        <v/>
      </c>
      <c r="BA110" s="19">
        <f>IF(Time!BA47=1,MAX(BA108,BA104/$F$115),0)</f>
        <v/>
      </c>
      <c r="BB110" s="19">
        <f>IF(Time!BB47=1,MAX(BB108,BB104/$F$115),0)</f>
        <v/>
      </c>
      <c r="BC110" s="19">
        <f>IF(Time!BC47=1,MAX(BC108,BC104/$F$115),0)</f>
        <v/>
      </c>
      <c r="BD110" s="19">
        <f>IF(Time!BD47=1,MAX(BD108,BD104/$F$115),0)</f>
        <v/>
      </c>
      <c r="BE110" s="19">
        <f>IF(Time!BE47=1,MAX(BE108,BE104/$F$115),0)</f>
        <v/>
      </c>
      <c r="BF110" s="19">
        <f>IF(Time!BF47=1,MAX(BF108,BF104/$F$115),0)</f>
        <v/>
      </c>
      <c r="BG110" s="19">
        <f>IF(Time!BG47=1,MAX(BG108,BG104/$F$115),0)</f>
        <v/>
      </c>
      <c r="BH110" s="19">
        <f>IF(Time!BH47=1,MAX(BH108,BH104/$F$115),0)</f>
        <v/>
      </c>
      <c r="BI110" s="19">
        <f>IF(Time!BI47=1,MAX(BI108,BI104/$F$115),0)</f>
        <v/>
      </c>
      <c r="BJ110" s="19">
        <f>IF(Time!BJ47=1,MAX(BJ108,BJ104/$F$115),0)</f>
        <v/>
      </c>
      <c r="BK110" s="19">
        <f>IF(Time!BK47=1,MAX(BK108,BK104/$F$115),0)</f>
        <v/>
      </c>
      <c r="BL110" s="19">
        <f>IF(Time!BL47=1,MAX(BL108,BL104/$F$115),0)</f>
        <v/>
      </c>
      <c r="BM110" s="19">
        <f>IF(Time!BM47=1,MAX(BM108,BM104/$F$115),0)</f>
        <v/>
      </c>
      <c r="BN110" s="19">
        <f>IF(Time!BN47=1,MAX(BN108,BN104/$F$115),0)</f>
        <v/>
      </c>
      <c r="BO110" s="19">
        <f>IF(Time!BO47=1,MAX(BO108,BO104/$F$115),0)</f>
        <v/>
      </c>
      <c r="BP110" s="19">
        <f>IF(Time!BP47=1,MAX(BP108,BP104/$F$115),0)</f>
        <v/>
      </c>
      <c r="BQ110" s="19">
        <f>IF(Time!BQ47=1,MAX(BQ108,BQ104/$F$115),0)</f>
        <v/>
      </c>
      <c r="BR110" s="19">
        <f>IF(Time!BR47=1,MAX(BR108,BR104/$F$115),0)</f>
        <v/>
      </c>
      <c r="BS110" s="19">
        <f>IF(Time!BS47=1,MAX(BS108,BS104/$F$115),0)</f>
        <v/>
      </c>
      <c r="BT110" s="19">
        <f>IF(Time!BT47=1,MAX(BT108,BT104/$F$115),0)</f>
        <v/>
      </c>
      <c r="BU110" s="19">
        <f>IF(Time!BU47=1,MAX(BU108,BU104/$F$115),0)</f>
        <v/>
      </c>
      <c r="BV110" s="19">
        <f>IF(Time!BV47=1,MAX(BV108,BV104/$F$115),0)</f>
        <v/>
      </c>
      <c r="BW110" s="19">
        <f>IF(Time!BW47=1,MAX(BW108,BW104/$F$115),0)</f>
        <v/>
      </c>
      <c r="BX110" s="19">
        <f>IF(Time!BX47=1,MAX(BX108,BX104/$F$115),0)</f>
        <v/>
      </c>
      <c r="BY110" s="19">
        <f>IF(Time!BY47=1,MAX(BY108,BY104/$F$115),0)</f>
        <v/>
      </c>
      <c r="BZ110" s="19">
        <f>IF(Time!BZ47=1,MAX(BZ108,BZ104/$F$115),0)</f>
        <v/>
      </c>
      <c r="CA110" s="19">
        <f>IF(Time!CA47=1,MAX(CA108,CA104/$F$115),0)</f>
        <v/>
      </c>
      <c r="CB110" s="19">
        <f>IF(Time!CB47=1,MAX(CB108,CB104/$F$115),0)</f>
        <v/>
      </c>
      <c r="CC110" s="19">
        <f>IF(Time!CC47=1,MAX(CC108,CC104/$F$115),0)</f>
        <v/>
      </c>
      <c r="CD110" s="19">
        <f>IF(Time!CD47=1,MAX(CD108,CD104/$F$115),0)</f>
        <v/>
      </c>
      <c r="CE110" s="19">
        <f>IF(Time!CE47=1,MAX(CE108,CE104/$F$115),0)</f>
        <v/>
      </c>
      <c r="CF110" s="19">
        <f>IF(Time!CF47=1,MAX(CF108,CF104/$F$115),0)</f>
        <v/>
      </c>
      <c r="CG110" s="19">
        <f>IF(Time!CG47=1,MAX(CG108,CG104/$F$115),0)</f>
        <v/>
      </c>
      <c r="CH110" s="19">
        <f>IF(Time!CH47=1,MAX(CH108,CH104/$F$115),0)</f>
        <v/>
      </c>
      <c r="CI110" s="19">
        <f>IF(Time!CI47=1,MAX(CI108,CI104/$F$115),0)</f>
        <v/>
      </c>
      <c r="CJ110" s="19">
        <f>IF(Time!CJ47=1,MAX(CJ108,CJ104/$F$115),0)</f>
        <v/>
      </c>
      <c r="CK110" s="19">
        <f>IF(Time!CK47=1,MAX(CK108,CK104/$F$115),0)</f>
        <v/>
      </c>
      <c r="CL110" s="19">
        <f>IF(Time!CL47=1,MAX(CL108,CL104/$F$115),0)</f>
        <v/>
      </c>
      <c r="CM110" s="19">
        <f>IF(Time!CM47=1,MAX(CM108,CM104/$F$115),0)</f>
        <v/>
      </c>
      <c r="CN110" s="19">
        <f>IF(Time!CN47=1,MAX(CN108,CN104/$F$115),0)</f>
        <v/>
      </c>
      <c r="CO110" s="19">
        <f>IF(Time!CO47=1,MAX(CO108,CO104/$F$115),0)</f>
        <v/>
      </c>
      <c r="CP110" s="19">
        <f>IF(Time!CP47=1,MAX(CP108,CP104/$F$115),0)</f>
        <v/>
      </c>
      <c r="CQ110" s="19">
        <f>IF(Time!CQ47=1,MAX(CQ108,CQ104/$F$115),0)</f>
        <v/>
      </c>
      <c r="CR110" s="19">
        <f>IF(Time!CR47=1,MAX(CR108,CR104/$F$115),0)</f>
        <v/>
      </c>
      <c r="CS110" s="19">
        <f>IF(Time!CS47=1,MAX(CS108,CS104/$F$115),0)</f>
        <v/>
      </c>
      <c r="CT110" s="19">
        <f>IF(Time!CT47=1,MAX(CT108,CT104/$F$115),0)</f>
        <v/>
      </c>
      <c r="CU110" s="19">
        <f>IF(Time!CU47=1,MAX(CU108,CU104/$F$115),0)</f>
        <v/>
      </c>
      <c r="CV110" s="19">
        <f>IF(Time!CV47=1,MAX(CV108,CV104/$F$115),0)</f>
        <v/>
      </c>
      <c r="CW110" s="19">
        <f>IF(Time!CW47=1,MAX(CW108,CW104/$F$115),0)</f>
        <v/>
      </c>
      <c r="CX110" s="19">
        <f>IF(Time!CX47=1,MAX(CX108,CX104/$F$115),0)</f>
        <v/>
      </c>
      <c r="CY110" s="19">
        <f>IF(Time!CY47=1,MAX(CY108,CY104/$F$115),0)</f>
        <v/>
      </c>
      <c r="CZ110" s="19">
        <f>IF(Time!CZ47=1,MAX(CZ108,CZ104/$F$115),0)</f>
        <v/>
      </c>
      <c r="DA110" s="19">
        <f>IF(Time!DA47=1,MAX(DA108,DA104/$F$115),0)</f>
        <v/>
      </c>
      <c r="DB110" s="19">
        <f>IF(Time!DB47=1,MAX(DB108,DB104/$F$115),0)</f>
        <v/>
      </c>
    </row>
    <row r="111">
      <c r="D111" t="inlineStr">
        <is>
          <t>Scheduled NILO principal (live)</t>
        </is>
      </c>
      <c r="E111" t="inlineStr">
        <is>
          <t>ARD m</t>
        </is>
      </c>
      <c r="G111" s="19">
        <f>SUM(J111:DB111)</f>
        <v/>
      </c>
      <c r="J111" s="19">
        <f>IF(Time!J47=1,J110-J108,0)</f>
        <v/>
      </c>
      <c r="K111" s="19">
        <f>IF(Time!K47=1,K110-K108,0)</f>
        <v/>
      </c>
      <c r="L111" s="19">
        <f>IF(Time!L47=1,L110-L108,0)</f>
        <v/>
      </c>
      <c r="M111" s="19">
        <f>IF(Time!M47=1,M110-M108,0)</f>
        <v/>
      </c>
      <c r="N111" s="19">
        <f>IF(Time!N47=1,N110-N108,0)</f>
        <v/>
      </c>
      <c r="O111" s="19">
        <f>IF(Time!O47=1,O110-O108,0)</f>
        <v/>
      </c>
      <c r="P111" s="19">
        <f>IF(Time!P47=1,P110-P108,0)</f>
        <v/>
      </c>
      <c r="Q111" s="19">
        <f>IF(Time!Q47=1,Q110-Q108,0)</f>
        <v/>
      </c>
      <c r="R111" s="19">
        <f>IF(Time!R47=1,R110-R108,0)</f>
        <v/>
      </c>
      <c r="S111" s="19">
        <f>IF(Time!S47=1,S110-S108,0)</f>
        <v/>
      </c>
      <c r="T111" s="19">
        <f>IF(Time!T47=1,T110-T108,0)</f>
        <v/>
      </c>
      <c r="U111" s="19">
        <f>IF(Time!U47=1,U110-U108,0)</f>
        <v/>
      </c>
      <c r="V111" s="19">
        <f>IF(Time!V47=1,V110-V108,0)</f>
        <v/>
      </c>
      <c r="W111" s="19">
        <f>IF(Time!W47=1,W110-W108,0)</f>
        <v/>
      </c>
      <c r="X111" s="19">
        <f>IF(Time!X47=1,X110-X108,0)</f>
        <v/>
      </c>
      <c r="Y111" s="19">
        <f>IF(Time!Y47=1,Y110-Y108,0)</f>
        <v/>
      </c>
      <c r="Z111" s="19">
        <f>IF(Time!Z47=1,Z110-Z108,0)</f>
        <v/>
      </c>
      <c r="AA111" s="19">
        <f>IF(Time!AA47=1,AA110-AA108,0)</f>
        <v/>
      </c>
      <c r="AB111" s="19">
        <f>IF(Time!AB47=1,AB110-AB108,0)</f>
        <v/>
      </c>
      <c r="AC111" s="19">
        <f>IF(Time!AC47=1,AC110-AC108,0)</f>
        <v/>
      </c>
      <c r="AD111" s="19">
        <f>IF(Time!AD47=1,AD110-AD108,0)</f>
        <v/>
      </c>
      <c r="AE111" s="19">
        <f>IF(Time!AE47=1,AE110-AE108,0)</f>
        <v/>
      </c>
      <c r="AF111" s="19">
        <f>IF(Time!AF47=1,AF110-AF108,0)</f>
        <v/>
      </c>
      <c r="AG111" s="19">
        <f>IF(Time!AG47=1,AG110-AG108,0)</f>
        <v/>
      </c>
      <c r="AH111" s="19">
        <f>IF(Time!AH47=1,AH110-AH108,0)</f>
        <v/>
      </c>
      <c r="AI111" s="19">
        <f>IF(Time!AI47=1,AI110-AI108,0)</f>
        <v/>
      </c>
      <c r="AJ111" s="19">
        <f>IF(Time!AJ47=1,AJ110-AJ108,0)</f>
        <v/>
      </c>
      <c r="AK111" s="19">
        <f>IF(Time!AK47=1,AK110-AK108,0)</f>
        <v/>
      </c>
      <c r="AL111" s="19">
        <f>IF(Time!AL47=1,AL110-AL108,0)</f>
        <v/>
      </c>
      <c r="AM111" s="19">
        <f>IF(Time!AM47=1,AM110-AM108,0)</f>
        <v/>
      </c>
      <c r="AN111" s="19">
        <f>IF(Time!AN47=1,AN110-AN108,0)</f>
        <v/>
      </c>
      <c r="AO111" s="19">
        <f>IF(Time!AO47=1,AO110-AO108,0)</f>
        <v/>
      </c>
      <c r="AP111" s="19">
        <f>IF(Time!AP47=1,AP110-AP108,0)</f>
        <v/>
      </c>
      <c r="AQ111" s="19">
        <f>IF(Time!AQ47=1,AQ110-AQ108,0)</f>
        <v/>
      </c>
      <c r="AR111" s="19">
        <f>IF(Time!AR47=1,AR110-AR108,0)</f>
        <v/>
      </c>
      <c r="AS111" s="19">
        <f>IF(Time!AS47=1,AS110-AS108,0)</f>
        <v/>
      </c>
      <c r="AT111" s="19">
        <f>IF(Time!AT47=1,AT110-AT108,0)</f>
        <v/>
      </c>
      <c r="AU111" s="19">
        <f>IF(Time!AU47=1,AU110-AU108,0)</f>
        <v/>
      </c>
      <c r="AV111" s="19">
        <f>IF(Time!AV47=1,AV110-AV108,0)</f>
        <v/>
      </c>
      <c r="AW111" s="19">
        <f>IF(Time!AW47=1,AW110-AW108,0)</f>
        <v/>
      </c>
      <c r="AX111" s="19">
        <f>IF(Time!AX47=1,AX110-AX108,0)</f>
        <v/>
      </c>
      <c r="AY111" s="19">
        <f>IF(Time!AY47=1,AY110-AY108,0)</f>
        <v/>
      </c>
      <c r="AZ111" s="19">
        <f>IF(Time!AZ47=1,AZ110-AZ108,0)</f>
        <v/>
      </c>
      <c r="BA111" s="19">
        <f>IF(Time!BA47=1,BA110-BA108,0)</f>
        <v/>
      </c>
      <c r="BB111" s="19">
        <f>IF(Time!BB47=1,BB110-BB108,0)</f>
        <v/>
      </c>
      <c r="BC111" s="19">
        <f>IF(Time!BC47=1,BC110-BC108,0)</f>
        <v/>
      </c>
      <c r="BD111" s="19">
        <f>IF(Time!BD47=1,BD110-BD108,0)</f>
        <v/>
      </c>
      <c r="BE111" s="19">
        <f>IF(Time!BE47=1,BE110-BE108,0)</f>
        <v/>
      </c>
      <c r="BF111" s="19">
        <f>IF(Time!BF47=1,BF110-BF108,0)</f>
        <v/>
      </c>
      <c r="BG111" s="19">
        <f>IF(Time!BG47=1,BG110-BG108,0)</f>
        <v/>
      </c>
      <c r="BH111" s="19">
        <f>IF(Time!BH47=1,BH110-BH108,0)</f>
        <v/>
      </c>
      <c r="BI111" s="19">
        <f>IF(Time!BI47=1,BI110-BI108,0)</f>
        <v/>
      </c>
      <c r="BJ111" s="19">
        <f>IF(Time!BJ47=1,BJ110-BJ108,0)</f>
        <v/>
      </c>
      <c r="BK111" s="19">
        <f>IF(Time!BK47=1,BK110-BK108,0)</f>
        <v/>
      </c>
      <c r="BL111" s="19">
        <f>IF(Time!BL47=1,BL110-BL108,0)</f>
        <v/>
      </c>
      <c r="BM111" s="19">
        <f>IF(Time!BM47=1,BM110-BM108,0)</f>
        <v/>
      </c>
      <c r="BN111" s="19">
        <f>IF(Time!BN47=1,BN110-BN108,0)</f>
        <v/>
      </c>
      <c r="BO111" s="19">
        <f>IF(Time!BO47=1,BO110-BO108,0)</f>
        <v/>
      </c>
      <c r="BP111" s="19">
        <f>IF(Time!BP47=1,BP110-BP108,0)</f>
        <v/>
      </c>
      <c r="BQ111" s="19">
        <f>IF(Time!BQ47=1,BQ110-BQ108,0)</f>
        <v/>
      </c>
      <c r="BR111" s="19">
        <f>IF(Time!BR47=1,BR110-BR108,0)</f>
        <v/>
      </c>
      <c r="BS111" s="19">
        <f>IF(Time!BS47=1,BS110-BS108,0)</f>
        <v/>
      </c>
      <c r="BT111" s="19">
        <f>IF(Time!BT47=1,BT110-BT108,0)</f>
        <v/>
      </c>
      <c r="BU111" s="19">
        <f>IF(Time!BU47=1,BU110-BU108,0)</f>
        <v/>
      </c>
      <c r="BV111" s="19">
        <f>IF(Time!BV47=1,BV110-BV108,0)</f>
        <v/>
      </c>
      <c r="BW111" s="19">
        <f>IF(Time!BW47=1,BW110-BW108,0)</f>
        <v/>
      </c>
      <c r="BX111" s="19">
        <f>IF(Time!BX47=1,BX110-BX108,0)</f>
        <v/>
      </c>
      <c r="BY111" s="19">
        <f>IF(Time!BY47=1,BY110-BY108,0)</f>
        <v/>
      </c>
      <c r="BZ111" s="19">
        <f>IF(Time!BZ47=1,BZ110-BZ108,0)</f>
        <v/>
      </c>
      <c r="CA111" s="19">
        <f>IF(Time!CA47=1,CA110-CA108,0)</f>
        <v/>
      </c>
      <c r="CB111" s="19">
        <f>IF(Time!CB47=1,CB110-CB108,0)</f>
        <v/>
      </c>
      <c r="CC111" s="19">
        <f>IF(Time!CC47=1,CC110-CC108,0)</f>
        <v/>
      </c>
      <c r="CD111" s="19">
        <f>IF(Time!CD47=1,CD110-CD108,0)</f>
        <v/>
      </c>
      <c r="CE111" s="19">
        <f>IF(Time!CE47=1,CE110-CE108,0)</f>
        <v/>
      </c>
      <c r="CF111" s="19">
        <f>IF(Time!CF47=1,CF110-CF108,0)</f>
        <v/>
      </c>
      <c r="CG111" s="19">
        <f>IF(Time!CG47=1,CG110-CG108,0)</f>
        <v/>
      </c>
      <c r="CH111" s="19">
        <f>IF(Time!CH47=1,CH110-CH108,0)</f>
        <v/>
      </c>
      <c r="CI111" s="19">
        <f>IF(Time!CI47=1,CI110-CI108,0)</f>
        <v/>
      </c>
      <c r="CJ111" s="19">
        <f>IF(Time!CJ47=1,CJ110-CJ108,0)</f>
        <v/>
      </c>
      <c r="CK111" s="19">
        <f>IF(Time!CK47=1,CK110-CK108,0)</f>
        <v/>
      </c>
      <c r="CL111" s="19">
        <f>IF(Time!CL47=1,CL110-CL108,0)</f>
        <v/>
      </c>
      <c r="CM111" s="19">
        <f>IF(Time!CM47=1,CM110-CM108,0)</f>
        <v/>
      </c>
      <c r="CN111" s="19">
        <f>IF(Time!CN47=1,CN110-CN108,0)</f>
        <v/>
      </c>
      <c r="CO111" s="19">
        <f>IF(Time!CO47=1,CO110-CO108,0)</f>
        <v/>
      </c>
      <c r="CP111" s="19">
        <f>IF(Time!CP47=1,CP110-CP108,0)</f>
        <v/>
      </c>
      <c r="CQ111" s="19">
        <f>IF(Time!CQ47=1,CQ110-CQ108,0)</f>
        <v/>
      </c>
      <c r="CR111" s="19">
        <f>IF(Time!CR47=1,CR110-CR108,0)</f>
        <v/>
      </c>
      <c r="CS111" s="19">
        <f>IF(Time!CS47=1,CS110-CS108,0)</f>
        <v/>
      </c>
      <c r="CT111" s="19">
        <f>IF(Time!CT47=1,CT110-CT108,0)</f>
        <v/>
      </c>
      <c r="CU111" s="19">
        <f>IF(Time!CU47=1,CU110-CU108,0)</f>
        <v/>
      </c>
      <c r="CV111" s="19">
        <f>IF(Time!CV47=1,CV110-CV108,0)</f>
        <v/>
      </c>
      <c r="CW111" s="19">
        <f>IF(Time!CW47=1,CW110-CW108,0)</f>
        <v/>
      </c>
      <c r="CX111" s="19">
        <f>IF(Time!CX47=1,CX110-CX108,0)</f>
        <v/>
      </c>
      <c r="CY111" s="19">
        <f>IF(Time!CY47=1,CY110-CY108,0)</f>
        <v/>
      </c>
      <c r="CZ111" s="19">
        <f>IF(Time!CZ47=1,CZ110-CZ108,0)</f>
        <v/>
      </c>
      <c r="DA111" s="19">
        <f>IF(Time!DA47=1,DA110-DA108,0)</f>
        <v/>
      </c>
      <c r="DB111" s="19">
        <f>IF(Time!DB47=1,DB110-DB108,0)</f>
        <v/>
      </c>
    </row>
    <row r="112">
      <c r="D112" t="inlineStr">
        <is>
          <t>Scheduled NILO balance: closing</t>
        </is>
      </c>
      <c r="E112" t="inlineStr">
        <is>
          <t>ARD m</t>
        </is>
      </c>
      <c r="J112" s="19">
        <f>J106+J107-J108-J111</f>
        <v/>
      </c>
      <c r="K112" s="19">
        <f>K106+K107-K108-K111</f>
        <v/>
      </c>
      <c r="L112" s="19">
        <f>L106+L107-L108-L111</f>
        <v/>
      </c>
      <c r="M112" s="19">
        <f>M106+M107-M108-M111</f>
        <v/>
      </c>
      <c r="N112" s="19">
        <f>N106+N107-N108-N111</f>
        <v/>
      </c>
      <c r="O112" s="19">
        <f>O106+O107-O108-O111</f>
        <v/>
      </c>
      <c r="P112" s="19">
        <f>P106+P107-P108-P111</f>
        <v/>
      </c>
      <c r="Q112" s="19">
        <f>Q106+Q107-Q108-Q111</f>
        <v/>
      </c>
      <c r="R112" s="19">
        <f>R106+R107-R108-R111</f>
        <v/>
      </c>
      <c r="S112" s="19">
        <f>S106+S107-S108-S111</f>
        <v/>
      </c>
      <c r="T112" s="19">
        <f>T106+T107-T108-T111</f>
        <v/>
      </c>
      <c r="U112" s="19">
        <f>U106+U107-U108-U111</f>
        <v/>
      </c>
      <c r="V112" s="19">
        <f>V106+V107-V108-V111</f>
        <v/>
      </c>
      <c r="W112" s="19">
        <f>W106+W107-W108-W111</f>
        <v/>
      </c>
      <c r="X112" s="19">
        <f>X106+X107-X108-X111</f>
        <v/>
      </c>
      <c r="Y112" s="19">
        <f>Y106+Y107-Y108-Y111</f>
        <v/>
      </c>
      <c r="Z112" s="19">
        <f>Z106+Z107-Z108-Z111</f>
        <v/>
      </c>
      <c r="AA112" s="19">
        <f>AA106+AA107-AA108-AA111</f>
        <v/>
      </c>
      <c r="AB112" s="19">
        <f>AB106+AB107-AB108-AB111</f>
        <v/>
      </c>
      <c r="AC112" s="19">
        <f>AC106+AC107-AC108-AC111</f>
        <v/>
      </c>
      <c r="AD112" s="19">
        <f>AD106+AD107-AD108-AD111</f>
        <v/>
      </c>
      <c r="AE112" s="19">
        <f>AE106+AE107-AE108-AE111</f>
        <v/>
      </c>
      <c r="AF112" s="19">
        <f>AF106+AF107-AF108-AF111</f>
        <v/>
      </c>
      <c r="AG112" s="19">
        <f>AG106+AG107-AG108-AG111</f>
        <v/>
      </c>
      <c r="AH112" s="19">
        <f>AH106+AH107-AH108-AH111</f>
        <v/>
      </c>
      <c r="AI112" s="19">
        <f>AI106+AI107-AI108-AI111</f>
        <v/>
      </c>
      <c r="AJ112" s="19">
        <f>AJ106+AJ107-AJ108-AJ111</f>
        <v/>
      </c>
      <c r="AK112" s="19">
        <f>AK106+AK107-AK108-AK111</f>
        <v/>
      </c>
      <c r="AL112" s="19">
        <f>AL106+AL107-AL108-AL111</f>
        <v/>
      </c>
      <c r="AM112" s="19">
        <f>AM106+AM107-AM108-AM111</f>
        <v/>
      </c>
      <c r="AN112" s="19">
        <f>AN106+AN107-AN108-AN111</f>
        <v/>
      </c>
      <c r="AO112" s="19">
        <f>AO106+AO107-AO108-AO111</f>
        <v/>
      </c>
      <c r="AP112" s="19">
        <f>AP106+AP107-AP108-AP111</f>
        <v/>
      </c>
      <c r="AQ112" s="19">
        <f>AQ106+AQ107-AQ108-AQ111</f>
        <v/>
      </c>
      <c r="AR112" s="19">
        <f>AR106+AR107-AR108-AR111</f>
        <v/>
      </c>
      <c r="AS112" s="19">
        <f>AS106+AS107-AS108-AS111</f>
        <v/>
      </c>
      <c r="AT112" s="19">
        <f>AT106+AT107-AT108-AT111</f>
        <v/>
      </c>
      <c r="AU112" s="19">
        <f>AU106+AU107-AU108-AU111</f>
        <v/>
      </c>
      <c r="AV112" s="19">
        <f>AV106+AV107-AV108-AV111</f>
        <v/>
      </c>
      <c r="AW112" s="19">
        <f>AW106+AW107-AW108-AW111</f>
        <v/>
      </c>
      <c r="AX112" s="19">
        <f>AX106+AX107-AX108-AX111</f>
        <v/>
      </c>
      <c r="AY112" s="19">
        <f>AY106+AY107-AY108-AY111</f>
        <v/>
      </c>
      <c r="AZ112" s="19">
        <f>AZ106+AZ107-AZ108-AZ111</f>
        <v/>
      </c>
      <c r="BA112" s="19">
        <f>BA106+BA107-BA108-BA111</f>
        <v/>
      </c>
      <c r="BB112" s="19">
        <f>BB106+BB107-BB108-BB111</f>
        <v/>
      </c>
      <c r="BC112" s="19">
        <f>BC106+BC107-BC108-BC111</f>
        <v/>
      </c>
      <c r="BD112" s="19">
        <f>BD106+BD107-BD108-BD111</f>
        <v/>
      </c>
      <c r="BE112" s="19">
        <f>BE106+BE107-BE108-BE111</f>
        <v/>
      </c>
      <c r="BF112" s="19">
        <f>BF106+BF107-BF108-BF111</f>
        <v/>
      </c>
      <c r="BG112" s="19">
        <f>BG106+BG107-BG108-BG111</f>
        <v/>
      </c>
      <c r="BH112" s="19">
        <f>BH106+BH107-BH108-BH111</f>
        <v/>
      </c>
      <c r="BI112" s="19">
        <f>BI106+BI107-BI108-BI111</f>
        <v/>
      </c>
      <c r="BJ112" s="19">
        <f>BJ106+BJ107-BJ108-BJ111</f>
        <v/>
      </c>
      <c r="BK112" s="19">
        <f>BK106+BK107-BK108-BK111</f>
        <v/>
      </c>
      <c r="BL112" s="19">
        <f>BL106+BL107-BL108-BL111</f>
        <v/>
      </c>
      <c r="BM112" s="19">
        <f>BM106+BM107-BM108-BM111</f>
        <v/>
      </c>
      <c r="BN112" s="19">
        <f>BN106+BN107-BN108-BN111</f>
        <v/>
      </c>
      <c r="BO112" s="19">
        <f>BO106+BO107-BO108-BO111</f>
        <v/>
      </c>
      <c r="BP112" s="19">
        <f>BP106+BP107-BP108-BP111</f>
        <v/>
      </c>
      <c r="BQ112" s="19">
        <f>BQ106+BQ107-BQ108-BQ111</f>
        <v/>
      </c>
      <c r="BR112" s="19">
        <f>BR106+BR107-BR108-BR111</f>
        <v/>
      </c>
      <c r="BS112" s="19">
        <f>BS106+BS107-BS108-BS111</f>
        <v/>
      </c>
      <c r="BT112" s="19">
        <f>BT106+BT107-BT108-BT111</f>
        <v/>
      </c>
      <c r="BU112" s="19">
        <f>BU106+BU107-BU108-BU111</f>
        <v/>
      </c>
      <c r="BV112" s="19">
        <f>BV106+BV107-BV108-BV111</f>
        <v/>
      </c>
      <c r="BW112" s="19">
        <f>BW106+BW107-BW108-BW111</f>
        <v/>
      </c>
      <c r="BX112" s="19">
        <f>BX106+BX107-BX108-BX111</f>
        <v/>
      </c>
      <c r="BY112" s="19">
        <f>BY106+BY107-BY108-BY111</f>
        <v/>
      </c>
      <c r="BZ112" s="19">
        <f>BZ106+BZ107-BZ108-BZ111</f>
        <v/>
      </c>
      <c r="CA112" s="19">
        <f>CA106+CA107-CA108-CA111</f>
        <v/>
      </c>
      <c r="CB112" s="19">
        <f>CB106+CB107-CB108-CB111</f>
        <v/>
      </c>
      <c r="CC112" s="19">
        <f>CC106+CC107-CC108-CC111</f>
        <v/>
      </c>
      <c r="CD112" s="19">
        <f>CD106+CD107-CD108-CD111</f>
        <v/>
      </c>
      <c r="CE112" s="19">
        <f>CE106+CE107-CE108-CE111</f>
        <v/>
      </c>
      <c r="CF112" s="19">
        <f>CF106+CF107-CF108-CF111</f>
        <v/>
      </c>
      <c r="CG112" s="19">
        <f>CG106+CG107-CG108-CG111</f>
        <v/>
      </c>
      <c r="CH112" s="19">
        <f>CH106+CH107-CH108-CH111</f>
        <v/>
      </c>
      <c r="CI112" s="19">
        <f>CI106+CI107-CI108-CI111</f>
        <v/>
      </c>
      <c r="CJ112" s="19">
        <f>CJ106+CJ107-CJ108-CJ111</f>
        <v/>
      </c>
      <c r="CK112" s="19">
        <f>CK106+CK107-CK108-CK111</f>
        <v/>
      </c>
      <c r="CL112" s="19">
        <f>CL106+CL107-CL108-CL111</f>
        <v/>
      </c>
      <c r="CM112" s="19">
        <f>CM106+CM107-CM108-CM111</f>
        <v/>
      </c>
      <c r="CN112" s="19">
        <f>CN106+CN107-CN108-CN111</f>
        <v/>
      </c>
      <c r="CO112" s="19">
        <f>CO106+CO107-CO108-CO111</f>
        <v/>
      </c>
      <c r="CP112" s="19">
        <f>CP106+CP107-CP108-CP111</f>
        <v/>
      </c>
      <c r="CQ112" s="19">
        <f>CQ106+CQ107-CQ108-CQ111</f>
        <v/>
      </c>
      <c r="CR112" s="19">
        <f>CR106+CR107-CR108-CR111</f>
        <v/>
      </c>
      <c r="CS112" s="19">
        <f>CS106+CS107-CS108-CS111</f>
        <v/>
      </c>
      <c r="CT112" s="19">
        <f>CT106+CT107-CT108-CT111</f>
        <v/>
      </c>
      <c r="CU112" s="19">
        <f>CU106+CU107-CU108-CU111</f>
        <v/>
      </c>
      <c r="CV112" s="19">
        <f>CV106+CV107-CV108-CV111</f>
        <v/>
      </c>
      <c r="CW112" s="19">
        <f>CW106+CW107-CW108-CW111</f>
        <v/>
      </c>
      <c r="CX112" s="19">
        <f>CX106+CX107-CX108-CX111</f>
        <v/>
      </c>
      <c r="CY112" s="19">
        <f>CY106+CY107-CY108-CY111</f>
        <v/>
      </c>
      <c r="CZ112" s="19">
        <f>CZ106+CZ107-CZ108-CZ111</f>
        <v/>
      </c>
      <c r="DA112" s="19">
        <f>DA106+DA107-DA108-DA111</f>
        <v/>
      </c>
      <c r="DB112" s="19">
        <f>DB106+DB107-DB108-DB111</f>
        <v/>
      </c>
    </row>
    <row r="113">
      <c r="D113" t="inlineStr">
        <is>
          <t>Scheduled balance at the first NILO repayment period</t>
        </is>
      </c>
      <c r="E113" t="inlineStr">
        <is>
          <t>ARD m</t>
        </is>
      </c>
      <c r="F113" s="19">
        <f>SUMPRODUCT($J$106:$DB$106,Time!$J$48:$DB$48)</f>
        <v/>
      </c>
    </row>
    <row r="114">
      <c r="D114" t="inlineStr">
        <is>
          <t>NILO live sculpting active</t>
        </is>
      </c>
      <c r="E114" t="inlineStr">
        <is>
          <t>flag</t>
        </is>
      </c>
      <c r="F114" s="14">
        <f>IF(Inputs!$F$216=1,$F$25,$F$24)</f>
        <v/>
      </c>
    </row>
    <row r="115">
      <c r="D115" t="inlineStr">
        <is>
          <t>NILO sculpting divisor (fixed point)</t>
        </is>
      </c>
      <c r="E115" t="inlineStr">
        <is>
          <t>x</t>
        </is>
      </c>
      <c r="F115" s="27">
        <f>IF($F$114=1,IFERROR(IF($F$115&lt;0.5,MAX(Inputs!$F$9,SUMPRODUCT($J$104:$DB$104*$J$105:$DB$105*Time!$J$47:$DB$47*(1-$J$109:$DB$109))/($F$113-SUMPRODUCT($J$108:$DB$108*$J$105:$DB$105*$J$109:$DB$109))),0.5*$F$115+0.5*MAX(Inputs!$F$9,SUMPRODUCT($J$104:$DB$104*$J$105:$DB$105*Time!$J$47:$DB$47*(1-$J$109:$DB$109))/($F$113-SUMPRODUCT($J$108:$DB$108*$J$105:$DB$105*$J$109:$DB$109)))),Inputs!$F$92),Inputs!$F$92)</f>
        <v/>
      </c>
    </row>
    <row r="116">
      <c r="D116" t="inlineStr">
        <is>
          <t>Scheduled NILO principal (applied)</t>
        </is>
      </c>
      <c r="E116" t="inlineStr">
        <is>
          <t>ARD m</t>
        </is>
      </c>
      <c r="G116" s="19">
        <f>SUM(J116:DB116)</f>
        <v/>
      </c>
      <c r="J116" s="19">
        <f>IF($F$114=1,J111,IF(Inputs!$F$216=1,Inputs!J281,Inputs!J277))</f>
        <v/>
      </c>
      <c r="K116" s="19">
        <f>IF($F$114=1,K111,IF(Inputs!$F$216=1,Inputs!K281,Inputs!K277))</f>
        <v/>
      </c>
      <c r="L116" s="19">
        <f>IF($F$114=1,L111,IF(Inputs!$F$216=1,Inputs!L281,Inputs!L277))</f>
        <v/>
      </c>
      <c r="M116" s="19">
        <f>IF($F$114=1,M111,IF(Inputs!$F$216=1,Inputs!M281,Inputs!M277))</f>
        <v/>
      </c>
      <c r="N116" s="19">
        <f>IF($F$114=1,N111,IF(Inputs!$F$216=1,Inputs!N281,Inputs!N277))</f>
        <v/>
      </c>
      <c r="O116" s="19">
        <f>IF($F$114=1,O111,IF(Inputs!$F$216=1,Inputs!O281,Inputs!O277))</f>
        <v/>
      </c>
      <c r="P116" s="19">
        <f>IF($F$114=1,P111,IF(Inputs!$F$216=1,Inputs!P281,Inputs!P277))</f>
        <v/>
      </c>
      <c r="Q116" s="19">
        <f>IF($F$114=1,Q111,IF(Inputs!$F$216=1,Inputs!Q281,Inputs!Q277))</f>
        <v/>
      </c>
      <c r="R116" s="19">
        <f>IF($F$114=1,R111,IF(Inputs!$F$216=1,Inputs!R281,Inputs!R277))</f>
        <v/>
      </c>
      <c r="S116" s="19">
        <f>IF($F$114=1,S111,IF(Inputs!$F$216=1,Inputs!S281,Inputs!S277))</f>
        <v/>
      </c>
      <c r="T116" s="19">
        <f>IF($F$114=1,T111,IF(Inputs!$F$216=1,Inputs!T281,Inputs!T277))</f>
        <v/>
      </c>
      <c r="U116" s="19">
        <f>IF($F$114=1,U111,IF(Inputs!$F$216=1,Inputs!U281,Inputs!U277))</f>
        <v/>
      </c>
      <c r="V116" s="19">
        <f>IF($F$114=1,V111,IF(Inputs!$F$216=1,Inputs!V281,Inputs!V277))</f>
        <v/>
      </c>
      <c r="W116" s="19">
        <f>IF($F$114=1,W111,IF(Inputs!$F$216=1,Inputs!W281,Inputs!W277))</f>
        <v/>
      </c>
      <c r="X116" s="19">
        <f>IF($F$114=1,X111,IF(Inputs!$F$216=1,Inputs!X281,Inputs!X277))</f>
        <v/>
      </c>
      <c r="Y116" s="19">
        <f>IF($F$114=1,Y111,IF(Inputs!$F$216=1,Inputs!Y281,Inputs!Y277))</f>
        <v/>
      </c>
      <c r="Z116" s="19">
        <f>IF($F$114=1,Z111,IF(Inputs!$F$216=1,Inputs!Z281,Inputs!Z277))</f>
        <v/>
      </c>
      <c r="AA116" s="19">
        <f>IF($F$114=1,AA111,IF(Inputs!$F$216=1,Inputs!AA281,Inputs!AA277))</f>
        <v/>
      </c>
      <c r="AB116" s="19">
        <f>IF($F$114=1,AB111,IF(Inputs!$F$216=1,Inputs!AB281,Inputs!AB277))</f>
        <v/>
      </c>
      <c r="AC116" s="19">
        <f>IF($F$114=1,AC111,IF(Inputs!$F$216=1,Inputs!AC281,Inputs!AC277))</f>
        <v/>
      </c>
      <c r="AD116" s="19">
        <f>IF($F$114=1,AD111,IF(Inputs!$F$216=1,Inputs!AD281,Inputs!AD277))</f>
        <v/>
      </c>
      <c r="AE116" s="19">
        <f>IF($F$114=1,AE111,IF(Inputs!$F$216=1,Inputs!AE281,Inputs!AE277))</f>
        <v/>
      </c>
      <c r="AF116" s="19">
        <f>IF($F$114=1,AF111,IF(Inputs!$F$216=1,Inputs!AF281,Inputs!AF277))</f>
        <v/>
      </c>
      <c r="AG116" s="19">
        <f>IF($F$114=1,AG111,IF(Inputs!$F$216=1,Inputs!AG281,Inputs!AG277))</f>
        <v/>
      </c>
      <c r="AH116" s="19">
        <f>IF($F$114=1,AH111,IF(Inputs!$F$216=1,Inputs!AH281,Inputs!AH277))</f>
        <v/>
      </c>
      <c r="AI116" s="19">
        <f>IF($F$114=1,AI111,IF(Inputs!$F$216=1,Inputs!AI281,Inputs!AI277))</f>
        <v/>
      </c>
      <c r="AJ116" s="19">
        <f>IF($F$114=1,AJ111,IF(Inputs!$F$216=1,Inputs!AJ281,Inputs!AJ277))</f>
        <v/>
      </c>
      <c r="AK116" s="19">
        <f>IF($F$114=1,AK111,IF(Inputs!$F$216=1,Inputs!AK281,Inputs!AK277))</f>
        <v/>
      </c>
      <c r="AL116" s="19">
        <f>IF($F$114=1,AL111,IF(Inputs!$F$216=1,Inputs!AL281,Inputs!AL277))</f>
        <v/>
      </c>
      <c r="AM116" s="19">
        <f>IF($F$114=1,AM111,IF(Inputs!$F$216=1,Inputs!AM281,Inputs!AM277))</f>
        <v/>
      </c>
      <c r="AN116" s="19">
        <f>IF($F$114=1,AN111,IF(Inputs!$F$216=1,Inputs!AN281,Inputs!AN277))</f>
        <v/>
      </c>
      <c r="AO116" s="19">
        <f>IF($F$114=1,AO111,IF(Inputs!$F$216=1,Inputs!AO281,Inputs!AO277))</f>
        <v/>
      </c>
      <c r="AP116" s="19">
        <f>IF($F$114=1,AP111,IF(Inputs!$F$216=1,Inputs!AP281,Inputs!AP277))</f>
        <v/>
      </c>
      <c r="AQ116" s="19">
        <f>IF($F$114=1,AQ111,IF(Inputs!$F$216=1,Inputs!AQ281,Inputs!AQ277))</f>
        <v/>
      </c>
      <c r="AR116" s="19">
        <f>IF($F$114=1,AR111,IF(Inputs!$F$216=1,Inputs!AR281,Inputs!AR277))</f>
        <v/>
      </c>
      <c r="AS116" s="19">
        <f>IF($F$114=1,AS111,IF(Inputs!$F$216=1,Inputs!AS281,Inputs!AS277))</f>
        <v/>
      </c>
      <c r="AT116" s="19">
        <f>IF($F$114=1,AT111,IF(Inputs!$F$216=1,Inputs!AT281,Inputs!AT277))</f>
        <v/>
      </c>
      <c r="AU116" s="19">
        <f>IF($F$114=1,AU111,IF(Inputs!$F$216=1,Inputs!AU281,Inputs!AU277))</f>
        <v/>
      </c>
      <c r="AV116" s="19">
        <f>IF($F$114=1,AV111,IF(Inputs!$F$216=1,Inputs!AV281,Inputs!AV277))</f>
        <v/>
      </c>
      <c r="AW116" s="19">
        <f>IF($F$114=1,AW111,IF(Inputs!$F$216=1,Inputs!AW281,Inputs!AW277))</f>
        <v/>
      </c>
      <c r="AX116" s="19">
        <f>IF($F$114=1,AX111,IF(Inputs!$F$216=1,Inputs!AX281,Inputs!AX277))</f>
        <v/>
      </c>
      <c r="AY116" s="19">
        <f>IF($F$114=1,AY111,IF(Inputs!$F$216=1,Inputs!AY281,Inputs!AY277))</f>
        <v/>
      </c>
      <c r="AZ116" s="19">
        <f>IF($F$114=1,AZ111,IF(Inputs!$F$216=1,Inputs!AZ281,Inputs!AZ277))</f>
        <v/>
      </c>
      <c r="BA116" s="19">
        <f>IF($F$114=1,BA111,IF(Inputs!$F$216=1,Inputs!BA281,Inputs!BA277))</f>
        <v/>
      </c>
      <c r="BB116" s="19">
        <f>IF($F$114=1,BB111,IF(Inputs!$F$216=1,Inputs!BB281,Inputs!BB277))</f>
        <v/>
      </c>
      <c r="BC116" s="19">
        <f>IF($F$114=1,BC111,IF(Inputs!$F$216=1,Inputs!BC281,Inputs!BC277))</f>
        <v/>
      </c>
      <c r="BD116" s="19">
        <f>IF($F$114=1,BD111,IF(Inputs!$F$216=1,Inputs!BD281,Inputs!BD277))</f>
        <v/>
      </c>
      <c r="BE116" s="19">
        <f>IF($F$114=1,BE111,IF(Inputs!$F$216=1,Inputs!BE281,Inputs!BE277))</f>
        <v/>
      </c>
      <c r="BF116" s="19">
        <f>IF($F$114=1,BF111,IF(Inputs!$F$216=1,Inputs!BF281,Inputs!BF277))</f>
        <v/>
      </c>
      <c r="BG116" s="19">
        <f>IF($F$114=1,BG111,IF(Inputs!$F$216=1,Inputs!BG281,Inputs!BG277))</f>
        <v/>
      </c>
      <c r="BH116" s="19">
        <f>IF($F$114=1,BH111,IF(Inputs!$F$216=1,Inputs!BH281,Inputs!BH277))</f>
        <v/>
      </c>
      <c r="BI116" s="19">
        <f>IF($F$114=1,BI111,IF(Inputs!$F$216=1,Inputs!BI281,Inputs!BI277))</f>
        <v/>
      </c>
      <c r="BJ116" s="19">
        <f>IF($F$114=1,BJ111,IF(Inputs!$F$216=1,Inputs!BJ281,Inputs!BJ277))</f>
        <v/>
      </c>
      <c r="BK116" s="19">
        <f>IF($F$114=1,BK111,IF(Inputs!$F$216=1,Inputs!BK281,Inputs!BK277))</f>
        <v/>
      </c>
      <c r="BL116" s="19">
        <f>IF($F$114=1,BL111,IF(Inputs!$F$216=1,Inputs!BL281,Inputs!BL277))</f>
        <v/>
      </c>
      <c r="BM116" s="19">
        <f>IF($F$114=1,BM111,IF(Inputs!$F$216=1,Inputs!BM281,Inputs!BM277))</f>
        <v/>
      </c>
      <c r="BN116" s="19">
        <f>IF($F$114=1,BN111,IF(Inputs!$F$216=1,Inputs!BN281,Inputs!BN277))</f>
        <v/>
      </c>
      <c r="BO116" s="19">
        <f>IF($F$114=1,BO111,IF(Inputs!$F$216=1,Inputs!BO281,Inputs!BO277))</f>
        <v/>
      </c>
      <c r="BP116" s="19">
        <f>IF($F$114=1,BP111,IF(Inputs!$F$216=1,Inputs!BP281,Inputs!BP277))</f>
        <v/>
      </c>
      <c r="BQ116" s="19">
        <f>IF($F$114=1,BQ111,IF(Inputs!$F$216=1,Inputs!BQ281,Inputs!BQ277))</f>
        <v/>
      </c>
      <c r="BR116" s="19">
        <f>IF($F$114=1,BR111,IF(Inputs!$F$216=1,Inputs!BR281,Inputs!BR277))</f>
        <v/>
      </c>
      <c r="BS116" s="19">
        <f>IF($F$114=1,BS111,IF(Inputs!$F$216=1,Inputs!BS281,Inputs!BS277))</f>
        <v/>
      </c>
      <c r="BT116" s="19">
        <f>IF($F$114=1,BT111,IF(Inputs!$F$216=1,Inputs!BT281,Inputs!BT277))</f>
        <v/>
      </c>
      <c r="BU116" s="19">
        <f>IF($F$114=1,BU111,IF(Inputs!$F$216=1,Inputs!BU281,Inputs!BU277))</f>
        <v/>
      </c>
      <c r="BV116" s="19">
        <f>IF($F$114=1,BV111,IF(Inputs!$F$216=1,Inputs!BV281,Inputs!BV277))</f>
        <v/>
      </c>
      <c r="BW116" s="19">
        <f>IF($F$114=1,BW111,IF(Inputs!$F$216=1,Inputs!BW281,Inputs!BW277))</f>
        <v/>
      </c>
      <c r="BX116" s="19">
        <f>IF($F$114=1,BX111,IF(Inputs!$F$216=1,Inputs!BX281,Inputs!BX277))</f>
        <v/>
      </c>
      <c r="BY116" s="19">
        <f>IF($F$114=1,BY111,IF(Inputs!$F$216=1,Inputs!BY281,Inputs!BY277))</f>
        <v/>
      </c>
      <c r="BZ116" s="19">
        <f>IF($F$114=1,BZ111,IF(Inputs!$F$216=1,Inputs!BZ281,Inputs!BZ277))</f>
        <v/>
      </c>
      <c r="CA116" s="19">
        <f>IF($F$114=1,CA111,IF(Inputs!$F$216=1,Inputs!CA281,Inputs!CA277))</f>
        <v/>
      </c>
      <c r="CB116" s="19">
        <f>IF($F$114=1,CB111,IF(Inputs!$F$216=1,Inputs!CB281,Inputs!CB277))</f>
        <v/>
      </c>
      <c r="CC116" s="19">
        <f>IF($F$114=1,CC111,IF(Inputs!$F$216=1,Inputs!CC281,Inputs!CC277))</f>
        <v/>
      </c>
      <c r="CD116" s="19">
        <f>IF($F$114=1,CD111,IF(Inputs!$F$216=1,Inputs!CD281,Inputs!CD277))</f>
        <v/>
      </c>
      <c r="CE116" s="19">
        <f>IF($F$114=1,CE111,IF(Inputs!$F$216=1,Inputs!CE281,Inputs!CE277))</f>
        <v/>
      </c>
      <c r="CF116" s="19">
        <f>IF($F$114=1,CF111,IF(Inputs!$F$216=1,Inputs!CF281,Inputs!CF277))</f>
        <v/>
      </c>
      <c r="CG116" s="19">
        <f>IF($F$114=1,CG111,IF(Inputs!$F$216=1,Inputs!CG281,Inputs!CG277))</f>
        <v/>
      </c>
      <c r="CH116" s="19">
        <f>IF($F$114=1,CH111,IF(Inputs!$F$216=1,Inputs!CH281,Inputs!CH277))</f>
        <v/>
      </c>
      <c r="CI116" s="19">
        <f>IF($F$114=1,CI111,IF(Inputs!$F$216=1,Inputs!CI281,Inputs!CI277))</f>
        <v/>
      </c>
      <c r="CJ116" s="19">
        <f>IF($F$114=1,CJ111,IF(Inputs!$F$216=1,Inputs!CJ281,Inputs!CJ277))</f>
        <v/>
      </c>
      <c r="CK116" s="19">
        <f>IF($F$114=1,CK111,IF(Inputs!$F$216=1,Inputs!CK281,Inputs!CK277))</f>
        <v/>
      </c>
      <c r="CL116" s="19">
        <f>IF($F$114=1,CL111,IF(Inputs!$F$216=1,Inputs!CL281,Inputs!CL277))</f>
        <v/>
      </c>
      <c r="CM116" s="19">
        <f>IF($F$114=1,CM111,IF(Inputs!$F$216=1,Inputs!CM281,Inputs!CM277))</f>
        <v/>
      </c>
      <c r="CN116" s="19">
        <f>IF($F$114=1,CN111,IF(Inputs!$F$216=1,Inputs!CN281,Inputs!CN277))</f>
        <v/>
      </c>
      <c r="CO116" s="19">
        <f>IF($F$114=1,CO111,IF(Inputs!$F$216=1,Inputs!CO281,Inputs!CO277))</f>
        <v/>
      </c>
      <c r="CP116" s="19">
        <f>IF($F$114=1,CP111,IF(Inputs!$F$216=1,Inputs!CP281,Inputs!CP277))</f>
        <v/>
      </c>
      <c r="CQ116" s="19">
        <f>IF($F$114=1,CQ111,IF(Inputs!$F$216=1,Inputs!CQ281,Inputs!CQ277))</f>
        <v/>
      </c>
      <c r="CR116" s="19">
        <f>IF($F$114=1,CR111,IF(Inputs!$F$216=1,Inputs!CR281,Inputs!CR277))</f>
        <v/>
      </c>
      <c r="CS116" s="19">
        <f>IF($F$114=1,CS111,IF(Inputs!$F$216=1,Inputs!CS281,Inputs!CS277))</f>
        <v/>
      </c>
      <c r="CT116" s="19">
        <f>IF($F$114=1,CT111,IF(Inputs!$F$216=1,Inputs!CT281,Inputs!CT277))</f>
        <v/>
      </c>
      <c r="CU116" s="19">
        <f>IF($F$114=1,CU111,IF(Inputs!$F$216=1,Inputs!CU281,Inputs!CU277))</f>
        <v/>
      </c>
      <c r="CV116" s="19">
        <f>IF($F$114=1,CV111,IF(Inputs!$F$216=1,Inputs!CV281,Inputs!CV277))</f>
        <v/>
      </c>
      <c r="CW116" s="19">
        <f>IF($F$114=1,CW111,IF(Inputs!$F$216=1,Inputs!CW281,Inputs!CW277))</f>
        <v/>
      </c>
      <c r="CX116" s="19">
        <f>IF($F$114=1,CX111,IF(Inputs!$F$216=1,Inputs!CX281,Inputs!CX277))</f>
        <v/>
      </c>
      <c r="CY116" s="19">
        <f>IF($F$114=1,CY111,IF(Inputs!$F$216=1,Inputs!CY281,Inputs!CY277))</f>
        <v/>
      </c>
      <c r="CZ116" s="19">
        <f>IF($F$114=1,CZ111,IF(Inputs!$F$216=1,Inputs!CZ281,Inputs!CZ277))</f>
        <v/>
      </c>
      <c r="DA116" s="19">
        <f>IF($F$114=1,DA111,IF(Inputs!$F$216=1,Inputs!DA281,Inputs!DA277))</f>
        <v/>
      </c>
      <c r="DB116" s="19">
        <f>IF($F$114=1,DB111,IF(Inputs!$F$216=1,Inputs!DB281,Inputs!DB277))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D1:DB30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Reserves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Debt service reserve account (six months of scheduled senior cash debt service)</t>
        </is>
      </c>
    </row>
    <row r="6">
      <c r="D6" t="inlineStr">
        <is>
          <t>Next period scheduled cash debt service</t>
        </is>
      </c>
      <c r="E6" t="inlineStr">
        <is>
          <t>ARD m</t>
        </is>
      </c>
      <c r="J6" s="19">
        <f>IF(Time!K14=0,0,(Debt!J42+Funding!J35-Waterfall!J20)*Debt!K8*Time!K9/Inputs!$F$46+(Debt!J49-Waterfall!J21)*Inputs!$F$111*Time!K10/Inputs!$F$47+(Debt!J93-Waterfall!J22)*Debt!K10+IF(Time!K34=1,0,IF(Time!K23=1,MIN(Debt!K91,Debt!J93-Waterfall!J22),MIN(Inputs!$F$97*Debt!K40,Debt!J42+Funding!J35-Waterfall!J20)+MIN(Inputs!$F$98*Debt!K40,Debt!J49-Waterfall!J21)))-Debt!K39)</f>
        <v/>
      </c>
      <c r="K6" s="19">
        <f>IF(Time!L14=0,0,(Debt!K42+Funding!K35-Waterfall!K20)*Debt!L8*Time!L9/Inputs!$F$46+(Debt!K49-Waterfall!K21)*Inputs!$F$111*Time!L10/Inputs!$F$47+(Debt!K93-Waterfall!K22)*Debt!L10+IF(Time!L34=1,0,IF(Time!L23=1,MIN(Debt!L91,Debt!K93-Waterfall!K22),MIN(Inputs!$F$97*Debt!L40,Debt!K42+Funding!K35-Waterfall!K20)+MIN(Inputs!$F$98*Debt!L40,Debt!K49-Waterfall!K21)))-Debt!L39)</f>
        <v/>
      </c>
      <c r="L6" s="19">
        <f>IF(Time!M14=0,0,(Debt!L42+Funding!L35-Waterfall!L20)*Debt!M8*Time!M9/Inputs!$F$46+(Debt!L49-Waterfall!L21)*Inputs!$F$111*Time!M10/Inputs!$F$47+(Debt!L93-Waterfall!L22)*Debt!M10+IF(Time!M34=1,0,IF(Time!M23=1,MIN(Debt!M91,Debt!L93-Waterfall!L22),MIN(Inputs!$F$97*Debt!M40,Debt!L42+Funding!L35-Waterfall!L20)+MIN(Inputs!$F$98*Debt!M40,Debt!L49-Waterfall!L21)))-Debt!M39)</f>
        <v/>
      </c>
      <c r="M6" s="19">
        <f>IF(Time!N14=0,0,(Debt!M42+Funding!M35-Waterfall!M20)*Debt!N8*Time!N9/Inputs!$F$46+(Debt!M49-Waterfall!M21)*Inputs!$F$111*Time!N10/Inputs!$F$47+(Debt!M93-Waterfall!M22)*Debt!N10+IF(Time!N34=1,0,IF(Time!N23=1,MIN(Debt!N91,Debt!M93-Waterfall!M22),MIN(Inputs!$F$97*Debt!N40,Debt!M42+Funding!M35-Waterfall!M20)+MIN(Inputs!$F$98*Debt!N40,Debt!M49-Waterfall!M21)))-Debt!N39)</f>
        <v/>
      </c>
      <c r="N6" s="19">
        <f>IF(Time!O14=0,0,(Debt!N42+Funding!N35-Waterfall!N20)*Debt!O8*Time!O9/Inputs!$F$46+(Debt!N49-Waterfall!N21)*Inputs!$F$111*Time!O10/Inputs!$F$47+(Debt!N93-Waterfall!N22)*Debt!O10+IF(Time!O34=1,0,IF(Time!O23=1,MIN(Debt!O91,Debt!N93-Waterfall!N22),MIN(Inputs!$F$97*Debt!O40,Debt!N42+Funding!N35-Waterfall!N20)+MIN(Inputs!$F$98*Debt!O40,Debt!N49-Waterfall!N21)))-Debt!O39)</f>
        <v/>
      </c>
      <c r="O6" s="19">
        <f>IF(Time!P14=0,0,(Debt!O42+Funding!O35-Waterfall!O20)*Debt!P8*Time!P9/Inputs!$F$46+(Debt!O49-Waterfall!O21)*Inputs!$F$111*Time!P10/Inputs!$F$47+(Debt!O93-Waterfall!O22)*Debt!P10+IF(Time!P34=1,0,IF(Time!P23=1,MIN(Debt!P91,Debt!O93-Waterfall!O22),MIN(Inputs!$F$97*Debt!P40,Debt!O42+Funding!O35-Waterfall!O20)+MIN(Inputs!$F$98*Debt!P40,Debt!O49-Waterfall!O21)))-Debt!P39)</f>
        <v/>
      </c>
      <c r="P6" s="19">
        <f>IF(Time!Q14=0,0,(Debt!P42+Funding!P35-Waterfall!P20)*Debt!Q8*Time!Q9/Inputs!$F$46+(Debt!P49-Waterfall!P21)*Inputs!$F$111*Time!Q10/Inputs!$F$47+(Debt!P93-Waterfall!P22)*Debt!Q10+IF(Time!Q34=1,0,IF(Time!Q23=1,MIN(Debt!Q91,Debt!P93-Waterfall!P22),MIN(Inputs!$F$97*Debt!Q40,Debt!P42+Funding!P35-Waterfall!P20)+MIN(Inputs!$F$98*Debt!Q40,Debt!P49-Waterfall!P21)))-Debt!Q39)</f>
        <v/>
      </c>
      <c r="Q6" s="19">
        <f>IF(Time!R14=0,0,(Debt!Q42+Funding!Q35-Waterfall!Q20)*Debt!R8*Time!R9/Inputs!$F$46+(Debt!Q49-Waterfall!Q21)*Inputs!$F$111*Time!R10/Inputs!$F$47+(Debt!Q93-Waterfall!Q22)*Debt!R10+IF(Time!R34=1,0,IF(Time!R23=1,MIN(Debt!R91,Debt!Q93-Waterfall!Q22),MIN(Inputs!$F$97*Debt!R40,Debt!Q42+Funding!Q35-Waterfall!Q20)+MIN(Inputs!$F$98*Debt!R40,Debt!Q49-Waterfall!Q21)))-Debt!R39)</f>
        <v/>
      </c>
      <c r="R6" s="19">
        <f>IF(Time!S14=0,0,(Debt!R42+Funding!R35-Waterfall!R20)*Debt!S8*Time!S9/Inputs!$F$46+(Debt!R49-Waterfall!R21)*Inputs!$F$111*Time!S10/Inputs!$F$47+(Debt!R93-Waterfall!R22)*Debt!S10+IF(Time!S34=1,0,IF(Time!S23=1,MIN(Debt!S91,Debt!R93-Waterfall!R22),MIN(Inputs!$F$97*Debt!S40,Debt!R42+Funding!R35-Waterfall!R20)+MIN(Inputs!$F$98*Debt!S40,Debt!R49-Waterfall!R21)))-Debt!S39)</f>
        <v/>
      </c>
      <c r="S6" s="19">
        <f>IF(Time!T14=0,0,(Debt!S42+Funding!S35-Waterfall!S20)*Debt!T8*Time!T9/Inputs!$F$46+(Debt!S49-Waterfall!S21)*Inputs!$F$111*Time!T10/Inputs!$F$47+(Debt!S93-Waterfall!S22)*Debt!T10+IF(Time!T34=1,0,IF(Time!T23=1,MIN(Debt!T91,Debt!S93-Waterfall!S22),MIN(Inputs!$F$97*Debt!T40,Debt!S42+Funding!S35-Waterfall!S20)+MIN(Inputs!$F$98*Debt!T40,Debt!S49-Waterfall!S21)))-Debt!T39)</f>
        <v/>
      </c>
      <c r="T6" s="19">
        <f>IF(Time!U14=0,0,(Debt!T42+Funding!T35-Waterfall!T20)*Debt!U8*Time!U9/Inputs!$F$46+(Debt!T49-Waterfall!T21)*Inputs!$F$111*Time!U10/Inputs!$F$47+(Debt!T93-Waterfall!T22)*Debt!U10+IF(Time!U34=1,0,IF(Time!U23=1,MIN(Debt!U91,Debt!T93-Waterfall!T22),MIN(Inputs!$F$97*Debt!U40,Debt!T42+Funding!T35-Waterfall!T20)+MIN(Inputs!$F$98*Debt!U40,Debt!T49-Waterfall!T21)))-Debt!U39)</f>
        <v/>
      </c>
      <c r="U6" s="19">
        <f>IF(Time!V14=0,0,(Debt!U42+Funding!U35-Waterfall!U20)*Debt!V8*Time!V9/Inputs!$F$46+(Debt!U49-Waterfall!U21)*Inputs!$F$111*Time!V10/Inputs!$F$47+(Debt!U93-Waterfall!U22)*Debt!V10+IF(Time!V34=1,0,IF(Time!V23=1,MIN(Debt!V91,Debt!U93-Waterfall!U22),MIN(Inputs!$F$97*Debt!V40,Debt!U42+Funding!U35-Waterfall!U20)+MIN(Inputs!$F$98*Debt!V40,Debt!U49-Waterfall!U21)))-Debt!V39)</f>
        <v/>
      </c>
      <c r="V6" s="19">
        <f>IF(Time!W14=0,0,(Debt!V42+Funding!V35-Waterfall!V20)*Debt!W8*Time!W9/Inputs!$F$46+(Debt!V49-Waterfall!V21)*Inputs!$F$111*Time!W10/Inputs!$F$47+(Debt!V93-Waterfall!V22)*Debt!W10+IF(Time!W34=1,0,IF(Time!W23=1,MIN(Debt!W91,Debt!V93-Waterfall!V22),MIN(Inputs!$F$97*Debt!W40,Debt!V42+Funding!V35-Waterfall!V20)+MIN(Inputs!$F$98*Debt!W40,Debt!V49-Waterfall!V21)))-Debt!W39)</f>
        <v/>
      </c>
      <c r="W6" s="19">
        <f>IF(Time!X14=0,0,(Debt!W42+Funding!W35-Waterfall!W20)*Debt!X8*Time!X9/Inputs!$F$46+(Debt!W49-Waterfall!W21)*Inputs!$F$111*Time!X10/Inputs!$F$47+(Debt!W93-Waterfall!W22)*Debt!X10+IF(Time!X34=1,0,IF(Time!X23=1,MIN(Debt!X91,Debt!W93-Waterfall!W22),MIN(Inputs!$F$97*Debt!X40,Debt!W42+Funding!W35-Waterfall!W20)+MIN(Inputs!$F$98*Debt!X40,Debt!W49-Waterfall!W21)))-Debt!X39)</f>
        <v/>
      </c>
      <c r="X6" s="19">
        <f>IF(Time!Y14=0,0,(Debt!X42+Funding!X35-Waterfall!X20)*Debt!Y8*Time!Y9/Inputs!$F$46+(Debt!X49-Waterfall!X21)*Inputs!$F$111*Time!Y10/Inputs!$F$47+(Debt!X93-Waterfall!X22)*Debt!Y10+IF(Time!Y34=1,0,IF(Time!Y23=1,MIN(Debt!Y91,Debt!X93-Waterfall!X22),MIN(Inputs!$F$97*Debt!Y40,Debt!X42+Funding!X35-Waterfall!X20)+MIN(Inputs!$F$98*Debt!Y40,Debt!X49-Waterfall!X21)))-Debt!Y39)</f>
        <v/>
      </c>
      <c r="Y6" s="19">
        <f>IF(Time!Z14=0,0,(Debt!Y42+Funding!Y35-Waterfall!Y20)*Debt!Z8*Time!Z9/Inputs!$F$46+(Debt!Y49-Waterfall!Y21)*Inputs!$F$111*Time!Z10/Inputs!$F$47+(Debt!Y93-Waterfall!Y22)*Debt!Z10+IF(Time!Z34=1,0,IF(Time!Z23=1,MIN(Debt!Z91,Debt!Y93-Waterfall!Y22),MIN(Inputs!$F$97*Debt!Z40,Debt!Y42+Funding!Y35-Waterfall!Y20)+MIN(Inputs!$F$98*Debt!Z40,Debt!Y49-Waterfall!Y21)))-Debt!Z39)</f>
        <v/>
      </c>
      <c r="Z6" s="19">
        <f>IF(Time!AA14=0,0,(Debt!Z42+Funding!Z35-Waterfall!Z20)*Debt!AA8*Time!AA9/Inputs!$F$46+(Debt!Z49-Waterfall!Z21)*Inputs!$F$111*Time!AA10/Inputs!$F$47+(Debt!Z93-Waterfall!Z22)*Debt!AA10+IF(Time!AA34=1,0,IF(Time!AA23=1,MIN(Debt!AA91,Debt!Z93-Waterfall!Z22),MIN(Inputs!$F$97*Debt!AA40,Debt!Z42+Funding!Z35-Waterfall!Z20)+MIN(Inputs!$F$98*Debt!AA40,Debt!Z49-Waterfall!Z21)))-Debt!AA39)</f>
        <v/>
      </c>
      <c r="AA6" s="19">
        <f>IF(Time!AB14=0,0,(Debt!AA42+Funding!AA35-Waterfall!AA20)*Debt!AB8*Time!AB9/Inputs!$F$46+(Debt!AA49-Waterfall!AA21)*Inputs!$F$111*Time!AB10/Inputs!$F$47+(Debt!AA93-Waterfall!AA22)*Debt!AB10+IF(Time!AB34=1,0,IF(Time!AB23=1,MIN(Debt!AB91,Debt!AA93-Waterfall!AA22),MIN(Inputs!$F$97*Debt!AB40,Debt!AA42+Funding!AA35-Waterfall!AA20)+MIN(Inputs!$F$98*Debt!AB40,Debt!AA49-Waterfall!AA21)))-Debt!AB39)</f>
        <v/>
      </c>
      <c r="AB6" s="19">
        <f>IF(Time!AC14=0,0,(Debt!AB42+Funding!AB35-Waterfall!AB20)*Debt!AC8*Time!AC9/Inputs!$F$46+(Debt!AB49-Waterfall!AB21)*Inputs!$F$111*Time!AC10/Inputs!$F$47+(Debt!AB93-Waterfall!AB22)*Debt!AC10+IF(Time!AC34=1,0,IF(Time!AC23=1,MIN(Debt!AC91,Debt!AB93-Waterfall!AB22),MIN(Inputs!$F$97*Debt!AC40,Debt!AB42+Funding!AB35-Waterfall!AB20)+MIN(Inputs!$F$98*Debt!AC40,Debt!AB49-Waterfall!AB21)))-Debt!AC39)</f>
        <v/>
      </c>
      <c r="AC6" s="19">
        <f>IF(Time!AD14=0,0,(Debt!AC42+Funding!AC35-Waterfall!AC20)*Debt!AD8*Time!AD9/Inputs!$F$46+(Debt!AC49-Waterfall!AC21)*Inputs!$F$111*Time!AD10/Inputs!$F$47+(Debt!AC93-Waterfall!AC22)*Debt!AD10+IF(Time!AD34=1,0,IF(Time!AD23=1,MIN(Debt!AD91,Debt!AC93-Waterfall!AC22),MIN(Inputs!$F$97*Debt!AD40,Debt!AC42+Funding!AC35-Waterfall!AC20)+MIN(Inputs!$F$98*Debt!AD40,Debt!AC49-Waterfall!AC21)))-Debt!AD39)</f>
        <v/>
      </c>
      <c r="AD6" s="19">
        <f>IF(Time!AE14=0,0,(Debt!AD42+Funding!AD35-Waterfall!AD20)*Debt!AE8*Time!AE9/Inputs!$F$46+(Debt!AD49-Waterfall!AD21)*Inputs!$F$111*Time!AE10/Inputs!$F$47+(Debt!AD93-Waterfall!AD22)*Debt!AE10+IF(Time!AE34=1,0,IF(Time!AE23=1,MIN(Debt!AE91,Debt!AD93-Waterfall!AD22),MIN(Inputs!$F$97*Debt!AE40,Debt!AD42+Funding!AD35-Waterfall!AD20)+MIN(Inputs!$F$98*Debt!AE40,Debt!AD49-Waterfall!AD21)))-Debt!AE39)</f>
        <v/>
      </c>
      <c r="AE6" s="19">
        <f>IF(Time!AF14=0,0,(Debt!AE42+Funding!AE35-Waterfall!AE20)*Debt!AF8*Time!AF9/Inputs!$F$46+(Debt!AE49-Waterfall!AE21)*Inputs!$F$111*Time!AF10/Inputs!$F$47+(Debt!AE93-Waterfall!AE22)*Debt!AF10+IF(Time!AF34=1,0,IF(Time!AF23=1,MIN(Debt!AF91,Debt!AE93-Waterfall!AE22),MIN(Inputs!$F$97*Debt!AF40,Debt!AE42+Funding!AE35-Waterfall!AE20)+MIN(Inputs!$F$98*Debt!AF40,Debt!AE49-Waterfall!AE21)))-Debt!AF39)</f>
        <v/>
      </c>
      <c r="AF6" s="19">
        <f>IF(Time!AG14=0,0,(Debt!AF42+Funding!AF35-Waterfall!AF20)*Debt!AG8*Time!AG9/Inputs!$F$46+(Debt!AF49-Waterfall!AF21)*Inputs!$F$111*Time!AG10/Inputs!$F$47+(Debt!AF93-Waterfall!AF22)*Debt!AG10+IF(Time!AG34=1,0,IF(Time!AG23=1,MIN(Debt!AG91,Debt!AF93-Waterfall!AF22),MIN(Inputs!$F$97*Debt!AG40,Debt!AF42+Funding!AF35-Waterfall!AF20)+MIN(Inputs!$F$98*Debt!AG40,Debt!AF49-Waterfall!AF21)))-Debt!AG39)</f>
        <v/>
      </c>
      <c r="AG6" s="19">
        <f>IF(Time!AH14=0,0,(Debt!AG42+Funding!AG35-Waterfall!AG20)*Debt!AH8*Time!AH9/Inputs!$F$46+(Debt!AG49-Waterfall!AG21)*Inputs!$F$111*Time!AH10/Inputs!$F$47+(Debt!AG93-Waterfall!AG22)*Debt!AH10+IF(Time!AH34=1,0,IF(Time!AH23=1,MIN(Debt!AH91,Debt!AG93-Waterfall!AG22),MIN(Inputs!$F$97*Debt!AH40,Debt!AG42+Funding!AG35-Waterfall!AG20)+MIN(Inputs!$F$98*Debt!AH40,Debt!AG49-Waterfall!AG21)))-Debt!AH39)</f>
        <v/>
      </c>
      <c r="AH6" s="19">
        <f>IF(Time!AI14=0,0,(Debt!AH42+Funding!AH35-Waterfall!AH20)*Debt!AI8*Time!AI9/Inputs!$F$46+(Debt!AH49-Waterfall!AH21)*Inputs!$F$111*Time!AI10/Inputs!$F$47+(Debt!AH93-Waterfall!AH22)*Debt!AI10+IF(Time!AI34=1,0,IF(Time!AI23=1,MIN(Debt!AI91,Debt!AH93-Waterfall!AH22),MIN(Inputs!$F$97*Debt!AI40,Debt!AH42+Funding!AH35-Waterfall!AH20)+MIN(Inputs!$F$98*Debt!AI40,Debt!AH49-Waterfall!AH21)))-Debt!AI39)</f>
        <v/>
      </c>
      <c r="AI6" s="19">
        <f>IF(Time!AJ14=0,0,(Debt!AI42+Funding!AI35-Waterfall!AI20)*Debt!AJ8*Time!AJ9/Inputs!$F$46+(Debt!AI49-Waterfall!AI21)*Inputs!$F$111*Time!AJ10/Inputs!$F$47+(Debt!AI93-Waterfall!AI22)*Debt!AJ10+IF(Time!AJ34=1,0,IF(Time!AJ23=1,MIN(Debt!AJ91,Debt!AI93-Waterfall!AI22),MIN(Inputs!$F$97*Debt!AJ40,Debt!AI42+Funding!AI35-Waterfall!AI20)+MIN(Inputs!$F$98*Debt!AJ40,Debt!AI49-Waterfall!AI21)))-Debt!AJ39)</f>
        <v/>
      </c>
      <c r="AJ6" s="19">
        <f>IF(Time!AK14=0,0,(Debt!AJ42+Funding!AJ35-Waterfall!AJ20)*Debt!AK8*Time!AK9/Inputs!$F$46+(Debt!AJ49-Waterfall!AJ21)*Inputs!$F$111*Time!AK10/Inputs!$F$47+(Debt!AJ93-Waterfall!AJ22)*Debt!AK10+IF(Time!AK34=1,0,IF(Time!AK23=1,MIN(Debt!AK91,Debt!AJ93-Waterfall!AJ22),MIN(Inputs!$F$97*Debt!AK40,Debt!AJ42+Funding!AJ35-Waterfall!AJ20)+MIN(Inputs!$F$98*Debt!AK40,Debt!AJ49-Waterfall!AJ21)))-Debt!AK39)</f>
        <v/>
      </c>
      <c r="AK6" s="19">
        <f>IF(Time!AL14=0,0,(Debt!AK42+Funding!AK35-Waterfall!AK20)*Debt!AL8*Time!AL9/Inputs!$F$46+(Debt!AK49-Waterfall!AK21)*Inputs!$F$111*Time!AL10/Inputs!$F$47+(Debt!AK93-Waterfall!AK22)*Debt!AL10+IF(Time!AL34=1,0,IF(Time!AL23=1,MIN(Debt!AL91,Debt!AK93-Waterfall!AK22),MIN(Inputs!$F$97*Debt!AL40,Debt!AK42+Funding!AK35-Waterfall!AK20)+MIN(Inputs!$F$98*Debt!AL40,Debt!AK49-Waterfall!AK21)))-Debt!AL39)</f>
        <v/>
      </c>
      <c r="AL6" s="19">
        <f>IF(Time!AM14=0,0,(Debt!AL42+Funding!AL35-Waterfall!AL20)*Debt!AM8*Time!AM9/Inputs!$F$46+(Debt!AL49-Waterfall!AL21)*Inputs!$F$111*Time!AM10/Inputs!$F$47+(Debt!AL93-Waterfall!AL22)*Debt!AM10+IF(Time!AM34=1,0,IF(Time!AM23=1,MIN(Debt!AM91,Debt!AL93-Waterfall!AL22),MIN(Inputs!$F$97*Debt!AM40,Debt!AL42+Funding!AL35-Waterfall!AL20)+MIN(Inputs!$F$98*Debt!AM40,Debt!AL49-Waterfall!AL21)))-Debt!AM39)</f>
        <v/>
      </c>
      <c r="AM6" s="19">
        <f>IF(Time!AN14=0,0,(Debt!AM42+Funding!AM35-Waterfall!AM20)*Debt!AN8*Time!AN9/Inputs!$F$46+(Debt!AM49-Waterfall!AM21)*Inputs!$F$111*Time!AN10/Inputs!$F$47+(Debt!AM93-Waterfall!AM22)*Debt!AN10+IF(Time!AN34=1,0,IF(Time!AN23=1,MIN(Debt!AN91,Debt!AM93-Waterfall!AM22),MIN(Inputs!$F$97*Debt!AN40,Debt!AM42+Funding!AM35-Waterfall!AM20)+MIN(Inputs!$F$98*Debt!AN40,Debt!AM49-Waterfall!AM21)))-Debt!AN39)</f>
        <v/>
      </c>
      <c r="AN6" s="19">
        <f>IF(Time!AO14=0,0,(Debt!AN42+Funding!AN35-Waterfall!AN20)*Debt!AO8*Time!AO9/Inputs!$F$46+(Debt!AN49-Waterfall!AN21)*Inputs!$F$111*Time!AO10/Inputs!$F$47+(Debt!AN93-Waterfall!AN22)*Debt!AO10+IF(Time!AO34=1,0,IF(Time!AO23=1,MIN(Debt!AO91,Debt!AN93-Waterfall!AN22),MIN(Inputs!$F$97*Debt!AO40,Debt!AN42+Funding!AN35-Waterfall!AN20)+MIN(Inputs!$F$98*Debt!AO40,Debt!AN49-Waterfall!AN21)))-Debt!AO39)</f>
        <v/>
      </c>
      <c r="AO6" s="19">
        <f>IF(Time!AP14=0,0,(Debt!AO42+Funding!AO35-Waterfall!AO20)*Debt!AP8*Time!AP9/Inputs!$F$46+(Debt!AO49-Waterfall!AO21)*Inputs!$F$111*Time!AP10/Inputs!$F$47+(Debt!AO93-Waterfall!AO22)*Debt!AP10+IF(Time!AP34=1,0,IF(Time!AP23=1,MIN(Debt!AP91,Debt!AO93-Waterfall!AO22),MIN(Inputs!$F$97*Debt!AP40,Debt!AO42+Funding!AO35-Waterfall!AO20)+MIN(Inputs!$F$98*Debt!AP40,Debt!AO49-Waterfall!AO21)))-Debt!AP39)</f>
        <v/>
      </c>
      <c r="AP6" s="19">
        <f>IF(Time!AQ14=0,0,(Debt!AP42+Funding!AP35-Waterfall!AP20)*Debt!AQ8*Time!AQ9/Inputs!$F$46+(Debt!AP49-Waterfall!AP21)*Inputs!$F$111*Time!AQ10/Inputs!$F$47+(Debt!AP93-Waterfall!AP22)*Debt!AQ10+IF(Time!AQ34=1,0,IF(Time!AQ23=1,MIN(Debt!AQ91,Debt!AP93-Waterfall!AP22),MIN(Inputs!$F$97*Debt!AQ40,Debt!AP42+Funding!AP35-Waterfall!AP20)+MIN(Inputs!$F$98*Debt!AQ40,Debt!AP49-Waterfall!AP21)))-Debt!AQ39)</f>
        <v/>
      </c>
      <c r="AQ6" s="19">
        <f>IF(Time!AR14=0,0,(Debt!AQ42+Funding!AQ35-Waterfall!AQ20)*Debt!AR8*Time!AR9/Inputs!$F$46+(Debt!AQ49-Waterfall!AQ21)*Inputs!$F$111*Time!AR10/Inputs!$F$47+(Debt!AQ93-Waterfall!AQ22)*Debt!AR10+IF(Time!AR34=1,0,IF(Time!AR23=1,MIN(Debt!AR91,Debt!AQ93-Waterfall!AQ22),MIN(Inputs!$F$97*Debt!AR40,Debt!AQ42+Funding!AQ35-Waterfall!AQ20)+MIN(Inputs!$F$98*Debt!AR40,Debt!AQ49-Waterfall!AQ21)))-Debt!AR39)</f>
        <v/>
      </c>
      <c r="AR6" s="19">
        <f>IF(Time!AS14=0,0,(Debt!AR42+Funding!AR35-Waterfall!AR20)*Debt!AS8*Time!AS9/Inputs!$F$46+(Debt!AR49-Waterfall!AR21)*Inputs!$F$111*Time!AS10/Inputs!$F$47+(Debt!AR93-Waterfall!AR22)*Debt!AS10+IF(Time!AS34=1,0,IF(Time!AS23=1,MIN(Debt!AS91,Debt!AR93-Waterfall!AR22),MIN(Inputs!$F$97*Debt!AS40,Debt!AR42+Funding!AR35-Waterfall!AR20)+MIN(Inputs!$F$98*Debt!AS40,Debt!AR49-Waterfall!AR21)))-Debt!AS39)</f>
        <v/>
      </c>
      <c r="AS6" s="19">
        <f>IF(Time!AT14=0,0,(Debt!AS42+Funding!AS35-Waterfall!AS20)*Debt!AT8*Time!AT9/Inputs!$F$46+(Debt!AS49-Waterfall!AS21)*Inputs!$F$111*Time!AT10/Inputs!$F$47+(Debt!AS93-Waterfall!AS22)*Debt!AT10+IF(Time!AT34=1,0,IF(Time!AT23=1,MIN(Debt!AT91,Debt!AS93-Waterfall!AS22),MIN(Inputs!$F$97*Debt!AT40,Debt!AS42+Funding!AS35-Waterfall!AS20)+MIN(Inputs!$F$98*Debt!AT40,Debt!AS49-Waterfall!AS21)))-Debt!AT39)</f>
        <v/>
      </c>
      <c r="AT6" s="19">
        <f>IF(Time!AU14=0,0,(Debt!AT42+Funding!AT35-Waterfall!AT20)*Debt!AU8*Time!AU9/Inputs!$F$46+(Debt!AT49-Waterfall!AT21)*Inputs!$F$111*Time!AU10/Inputs!$F$47+(Debt!AT93-Waterfall!AT22)*Debt!AU10+IF(Time!AU34=1,0,IF(Time!AU23=1,MIN(Debt!AU91,Debt!AT93-Waterfall!AT22),MIN(Inputs!$F$97*Debt!AU40,Debt!AT42+Funding!AT35-Waterfall!AT20)+MIN(Inputs!$F$98*Debt!AU40,Debt!AT49-Waterfall!AT21)))-Debt!AU39)</f>
        <v/>
      </c>
      <c r="AU6" s="19">
        <f>IF(Time!AV14=0,0,(Debt!AU42+Funding!AU35-Waterfall!AU20)*Debt!AV8*Time!AV9/Inputs!$F$46+(Debt!AU49-Waterfall!AU21)*Inputs!$F$111*Time!AV10/Inputs!$F$47+(Debt!AU93-Waterfall!AU22)*Debt!AV10+IF(Time!AV34=1,0,IF(Time!AV23=1,MIN(Debt!AV91,Debt!AU93-Waterfall!AU22),MIN(Inputs!$F$97*Debt!AV40,Debt!AU42+Funding!AU35-Waterfall!AU20)+MIN(Inputs!$F$98*Debt!AV40,Debt!AU49-Waterfall!AU21)))-Debt!AV39)</f>
        <v/>
      </c>
      <c r="AV6" s="19">
        <f>IF(Time!AW14=0,0,(Debt!AV42+Funding!AV35-Waterfall!AV20)*Debt!AW8*Time!AW9/Inputs!$F$46+(Debt!AV49-Waterfall!AV21)*Inputs!$F$111*Time!AW10/Inputs!$F$47+(Debt!AV93-Waterfall!AV22)*Debt!AW10+IF(Time!AW34=1,0,IF(Time!AW23=1,MIN(Debt!AW91,Debt!AV93-Waterfall!AV22),MIN(Inputs!$F$97*Debt!AW40,Debt!AV42+Funding!AV35-Waterfall!AV20)+MIN(Inputs!$F$98*Debt!AW40,Debt!AV49-Waterfall!AV21)))-Debt!AW39)</f>
        <v/>
      </c>
      <c r="AW6" s="19">
        <f>IF(Time!AX14=0,0,(Debt!AW42+Funding!AW35-Waterfall!AW20)*Debt!AX8*Time!AX9/Inputs!$F$46+(Debt!AW49-Waterfall!AW21)*Inputs!$F$111*Time!AX10/Inputs!$F$47+(Debt!AW93-Waterfall!AW22)*Debt!AX10+IF(Time!AX34=1,0,IF(Time!AX23=1,MIN(Debt!AX91,Debt!AW93-Waterfall!AW22),MIN(Inputs!$F$97*Debt!AX40,Debt!AW42+Funding!AW35-Waterfall!AW20)+MIN(Inputs!$F$98*Debt!AX40,Debt!AW49-Waterfall!AW21)))-Debt!AX39)</f>
        <v/>
      </c>
      <c r="AX6" s="19">
        <f>IF(Time!AY14=0,0,(Debt!AX42+Funding!AX35-Waterfall!AX20)*Debt!AY8*Time!AY9/Inputs!$F$46+(Debt!AX49-Waterfall!AX21)*Inputs!$F$111*Time!AY10/Inputs!$F$47+(Debt!AX93-Waterfall!AX22)*Debt!AY10+IF(Time!AY34=1,0,IF(Time!AY23=1,MIN(Debt!AY91,Debt!AX93-Waterfall!AX22),MIN(Inputs!$F$97*Debt!AY40,Debt!AX42+Funding!AX35-Waterfall!AX20)+MIN(Inputs!$F$98*Debt!AY40,Debt!AX49-Waterfall!AX21)))-Debt!AY39)</f>
        <v/>
      </c>
      <c r="AY6" s="19">
        <f>IF(Time!AZ14=0,0,(Debt!AY42+Funding!AY35-Waterfall!AY20)*Debt!AZ8*Time!AZ9/Inputs!$F$46+(Debt!AY49-Waterfall!AY21)*Inputs!$F$111*Time!AZ10/Inputs!$F$47+(Debt!AY93-Waterfall!AY22)*Debt!AZ10+IF(Time!AZ34=1,0,IF(Time!AZ23=1,MIN(Debt!AZ91,Debt!AY93-Waterfall!AY22),MIN(Inputs!$F$97*Debt!AZ40,Debt!AY42+Funding!AY35-Waterfall!AY20)+MIN(Inputs!$F$98*Debt!AZ40,Debt!AY49-Waterfall!AY21)))-Debt!AZ39)</f>
        <v/>
      </c>
      <c r="AZ6" s="19">
        <f>IF(Time!BA14=0,0,(Debt!AZ42+Funding!AZ35-Waterfall!AZ20)*Debt!BA8*Time!BA9/Inputs!$F$46+(Debt!AZ49-Waterfall!AZ21)*Inputs!$F$111*Time!BA10/Inputs!$F$47+(Debt!AZ93-Waterfall!AZ22)*Debt!BA10+IF(Time!BA34=1,0,IF(Time!BA23=1,MIN(Debt!BA91,Debt!AZ93-Waterfall!AZ22),MIN(Inputs!$F$97*Debt!BA40,Debt!AZ42+Funding!AZ35-Waterfall!AZ20)+MIN(Inputs!$F$98*Debt!BA40,Debt!AZ49-Waterfall!AZ21)))-Debt!BA39)</f>
        <v/>
      </c>
      <c r="BA6" s="19">
        <f>IF(Time!BB14=0,0,(Debt!BA42+Funding!BA35-Waterfall!BA20)*Debt!BB8*Time!BB9/Inputs!$F$46+(Debt!BA49-Waterfall!BA21)*Inputs!$F$111*Time!BB10/Inputs!$F$47+(Debt!BA93-Waterfall!BA22)*Debt!BB10+IF(Time!BB34=1,0,IF(Time!BB23=1,MIN(Debt!BB91,Debt!BA93-Waterfall!BA22),MIN(Inputs!$F$97*Debt!BB40,Debt!BA42+Funding!BA35-Waterfall!BA20)+MIN(Inputs!$F$98*Debt!BB40,Debt!BA49-Waterfall!BA21)))-Debt!BB39)</f>
        <v/>
      </c>
      <c r="BB6" s="19">
        <f>IF(Time!BC14=0,0,(Debt!BB42+Funding!BB35-Waterfall!BB20)*Debt!BC8*Time!BC9/Inputs!$F$46+(Debt!BB49-Waterfall!BB21)*Inputs!$F$111*Time!BC10/Inputs!$F$47+(Debt!BB93-Waterfall!BB22)*Debt!BC10+IF(Time!BC34=1,0,IF(Time!BC23=1,MIN(Debt!BC91,Debt!BB93-Waterfall!BB22),MIN(Inputs!$F$97*Debt!BC40,Debt!BB42+Funding!BB35-Waterfall!BB20)+MIN(Inputs!$F$98*Debt!BC40,Debt!BB49-Waterfall!BB21)))-Debt!BC39)</f>
        <v/>
      </c>
      <c r="BC6" s="19">
        <f>IF(Time!BD14=0,0,(Debt!BC42+Funding!BC35-Waterfall!BC20)*Debt!BD8*Time!BD9/Inputs!$F$46+(Debt!BC49-Waterfall!BC21)*Inputs!$F$111*Time!BD10/Inputs!$F$47+(Debt!BC93-Waterfall!BC22)*Debt!BD10+IF(Time!BD34=1,0,IF(Time!BD23=1,MIN(Debt!BD91,Debt!BC93-Waterfall!BC22),MIN(Inputs!$F$97*Debt!BD40,Debt!BC42+Funding!BC35-Waterfall!BC20)+MIN(Inputs!$F$98*Debt!BD40,Debt!BC49-Waterfall!BC21)))-Debt!BD39)</f>
        <v/>
      </c>
      <c r="BD6" s="19">
        <f>IF(Time!BE14=0,0,(Debt!BD42+Funding!BD35-Waterfall!BD20)*Debt!BE8*Time!BE9/Inputs!$F$46+(Debt!BD49-Waterfall!BD21)*Inputs!$F$111*Time!BE10/Inputs!$F$47+(Debt!BD93-Waterfall!BD22)*Debt!BE10+IF(Time!BE34=1,0,IF(Time!BE23=1,MIN(Debt!BE91,Debt!BD93-Waterfall!BD22),MIN(Inputs!$F$97*Debt!BE40,Debt!BD42+Funding!BD35-Waterfall!BD20)+MIN(Inputs!$F$98*Debt!BE40,Debt!BD49-Waterfall!BD21)))-Debt!BE39)</f>
        <v/>
      </c>
      <c r="BE6" s="19">
        <f>IF(Time!BF14=0,0,(Debt!BE42+Funding!BE35-Waterfall!BE20)*Debt!BF8*Time!BF9/Inputs!$F$46+(Debt!BE49-Waterfall!BE21)*Inputs!$F$111*Time!BF10/Inputs!$F$47+(Debt!BE93-Waterfall!BE22)*Debt!BF10+IF(Time!BF34=1,0,IF(Time!BF23=1,MIN(Debt!BF91,Debt!BE93-Waterfall!BE22),MIN(Inputs!$F$97*Debt!BF40,Debt!BE42+Funding!BE35-Waterfall!BE20)+MIN(Inputs!$F$98*Debt!BF40,Debt!BE49-Waterfall!BE21)))-Debt!BF39)</f>
        <v/>
      </c>
      <c r="BF6" s="19">
        <f>IF(Time!BG14=0,0,(Debt!BF42+Funding!BF35-Waterfall!BF20)*Debt!BG8*Time!BG9/Inputs!$F$46+(Debt!BF49-Waterfall!BF21)*Inputs!$F$111*Time!BG10/Inputs!$F$47+(Debt!BF93-Waterfall!BF22)*Debt!BG10+IF(Time!BG34=1,0,IF(Time!BG23=1,MIN(Debt!BG91,Debt!BF93-Waterfall!BF22),MIN(Inputs!$F$97*Debt!BG40,Debt!BF42+Funding!BF35-Waterfall!BF20)+MIN(Inputs!$F$98*Debt!BG40,Debt!BF49-Waterfall!BF21)))-Debt!BG39)</f>
        <v/>
      </c>
      <c r="BG6" s="19">
        <f>IF(Time!BH14=0,0,(Debt!BG42+Funding!BG35-Waterfall!BG20)*Debt!BH8*Time!BH9/Inputs!$F$46+(Debt!BG49-Waterfall!BG21)*Inputs!$F$111*Time!BH10/Inputs!$F$47+(Debt!BG93-Waterfall!BG22)*Debt!BH10+IF(Time!BH34=1,0,IF(Time!BH23=1,MIN(Debt!BH91,Debt!BG93-Waterfall!BG22),MIN(Inputs!$F$97*Debt!BH40,Debt!BG42+Funding!BG35-Waterfall!BG20)+MIN(Inputs!$F$98*Debt!BH40,Debt!BG49-Waterfall!BG21)))-Debt!BH39)</f>
        <v/>
      </c>
      <c r="BH6" s="19">
        <f>IF(Time!BI14=0,0,(Debt!BH42+Funding!BH35-Waterfall!BH20)*Debt!BI8*Time!BI9/Inputs!$F$46+(Debt!BH49-Waterfall!BH21)*Inputs!$F$111*Time!BI10/Inputs!$F$47+(Debt!BH93-Waterfall!BH22)*Debt!BI10+IF(Time!BI34=1,0,IF(Time!BI23=1,MIN(Debt!BI91,Debt!BH93-Waterfall!BH22),MIN(Inputs!$F$97*Debt!BI40,Debt!BH42+Funding!BH35-Waterfall!BH20)+MIN(Inputs!$F$98*Debt!BI40,Debt!BH49-Waterfall!BH21)))-Debt!BI39)</f>
        <v/>
      </c>
      <c r="BI6" s="19">
        <f>IF(Time!BJ14=0,0,(Debt!BI42+Funding!BI35-Waterfall!BI20)*Debt!BJ8*Time!BJ9/Inputs!$F$46+(Debt!BI49-Waterfall!BI21)*Inputs!$F$111*Time!BJ10/Inputs!$F$47+(Debt!BI93-Waterfall!BI22)*Debt!BJ10+IF(Time!BJ34=1,0,IF(Time!BJ23=1,MIN(Debt!BJ91,Debt!BI93-Waterfall!BI22),MIN(Inputs!$F$97*Debt!BJ40,Debt!BI42+Funding!BI35-Waterfall!BI20)+MIN(Inputs!$F$98*Debt!BJ40,Debt!BI49-Waterfall!BI21)))-Debt!BJ39)</f>
        <v/>
      </c>
      <c r="BJ6" s="19">
        <f>IF(Time!BK14=0,0,(Debt!BJ42+Funding!BJ35-Waterfall!BJ20)*Debt!BK8*Time!BK9/Inputs!$F$46+(Debt!BJ49-Waterfall!BJ21)*Inputs!$F$111*Time!BK10/Inputs!$F$47+(Debt!BJ93-Waterfall!BJ22)*Debt!BK10+IF(Time!BK34=1,0,IF(Time!BK23=1,MIN(Debt!BK91,Debt!BJ93-Waterfall!BJ22),MIN(Inputs!$F$97*Debt!BK40,Debt!BJ42+Funding!BJ35-Waterfall!BJ20)+MIN(Inputs!$F$98*Debt!BK40,Debt!BJ49-Waterfall!BJ21)))-Debt!BK39)</f>
        <v/>
      </c>
      <c r="BK6" s="19">
        <f>IF(Time!BL14=0,0,(Debt!BK42+Funding!BK35-Waterfall!BK20)*Debt!BL8*Time!BL9/Inputs!$F$46+(Debt!BK49-Waterfall!BK21)*Inputs!$F$111*Time!BL10/Inputs!$F$47+(Debt!BK93-Waterfall!BK22)*Debt!BL10+IF(Time!BL34=1,0,IF(Time!BL23=1,MIN(Debt!BL91,Debt!BK93-Waterfall!BK22),MIN(Inputs!$F$97*Debt!BL40,Debt!BK42+Funding!BK35-Waterfall!BK20)+MIN(Inputs!$F$98*Debt!BL40,Debt!BK49-Waterfall!BK21)))-Debt!BL39)</f>
        <v/>
      </c>
      <c r="BL6" s="19">
        <f>IF(Time!BM14=0,0,(Debt!BL42+Funding!BL35-Waterfall!BL20)*Debt!BM8*Time!BM9/Inputs!$F$46+(Debt!BL49-Waterfall!BL21)*Inputs!$F$111*Time!BM10/Inputs!$F$47+(Debt!BL93-Waterfall!BL22)*Debt!BM10+IF(Time!BM34=1,0,IF(Time!BM23=1,MIN(Debt!BM91,Debt!BL93-Waterfall!BL22),MIN(Inputs!$F$97*Debt!BM40,Debt!BL42+Funding!BL35-Waterfall!BL20)+MIN(Inputs!$F$98*Debt!BM40,Debt!BL49-Waterfall!BL21)))-Debt!BM39)</f>
        <v/>
      </c>
      <c r="BM6" s="19">
        <f>IF(Time!BN14=0,0,(Debt!BM42+Funding!BM35-Waterfall!BM20)*Debt!BN8*Time!BN9/Inputs!$F$46+(Debt!BM49-Waterfall!BM21)*Inputs!$F$111*Time!BN10/Inputs!$F$47+(Debt!BM93-Waterfall!BM22)*Debt!BN10+IF(Time!BN34=1,0,IF(Time!BN23=1,MIN(Debt!BN91,Debt!BM93-Waterfall!BM22),MIN(Inputs!$F$97*Debt!BN40,Debt!BM42+Funding!BM35-Waterfall!BM20)+MIN(Inputs!$F$98*Debt!BN40,Debt!BM49-Waterfall!BM21)))-Debt!BN39)</f>
        <v/>
      </c>
      <c r="BN6" s="19">
        <f>IF(Time!BO14=0,0,(Debt!BN42+Funding!BN35-Waterfall!BN20)*Debt!BO8*Time!BO9/Inputs!$F$46+(Debt!BN49-Waterfall!BN21)*Inputs!$F$111*Time!BO10/Inputs!$F$47+(Debt!BN93-Waterfall!BN22)*Debt!BO10+IF(Time!BO34=1,0,IF(Time!BO23=1,MIN(Debt!BO91,Debt!BN93-Waterfall!BN22),MIN(Inputs!$F$97*Debt!BO40,Debt!BN42+Funding!BN35-Waterfall!BN20)+MIN(Inputs!$F$98*Debt!BO40,Debt!BN49-Waterfall!BN21)))-Debt!BO39)</f>
        <v/>
      </c>
      <c r="BO6" s="19">
        <f>IF(Time!BP14=0,0,(Debt!BO42+Funding!BO35-Waterfall!BO20)*Debt!BP8*Time!BP9/Inputs!$F$46+(Debt!BO49-Waterfall!BO21)*Inputs!$F$111*Time!BP10/Inputs!$F$47+(Debt!BO93-Waterfall!BO22)*Debt!BP10+IF(Time!BP34=1,0,IF(Time!BP23=1,MIN(Debt!BP91,Debt!BO93-Waterfall!BO22),MIN(Inputs!$F$97*Debt!BP40,Debt!BO42+Funding!BO35-Waterfall!BO20)+MIN(Inputs!$F$98*Debt!BP40,Debt!BO49-Waterfall!BO21)))-Debt!BP39)</f>
        <v/>
      </c>
      <c r="BP6" s="19">
        <f>IF(Time!BQ14=0,0,(Debt!BP42+Funding!BP35-Waterfall!BP20)*Debt!BQ8*Time!BQ9/Inputs!$F$46+(Debt!BP49-Waterfall!BP21)*Inputs!$F$111*Time!BQ10/Inputs!$F$47+(Debt!BP93-Waterfall!BP22)*Debt!BQ10+IF(Time!BQ34=1,0,IF(Time!BQ23=1,MIN(Debt!BQ91,Debt!BP93-Waterfall!BP22),MIN(Inputs!$F$97*Debt!BQ40,Debt!BP42+Funding!BP35-Waterfall!BP20)+MIN(Inputs!$F$98*Debt!BQ40,Debt!BP49-Waterfall!BP21)))-Debt!BQ39)</f>
        <v/>
      </c>
      <c r="BQ6" s="19">
        <f>IF(Time!BR14=0,0,(Debt!BQ42+Funding!BQ35-Waterfall!BQ20)*Debt!BR8*Time!BR9/Inputs!$F$46+(Debt!BQ49-Waterfall!BQ21)*Inputs!$F$111*Time!BR10/Inputs!$F$47+(Debt!BQ93-Waterfall!BQ22)*Debt!BR10+IF(Time!BR34=1,0,IF(Time!BR23=1,MIN(Debt!BR91,Debt!BQ93-Waterfall!BQ22),MIN(Inputs!$F$97*Debt!BR40,Debt!BQ42+Funding!BQ35-Waterfall!BQ20)+MIN(Inputs!$F$98*Debt!BR40,Debt!BQ49-Waterfall!BQ21)))-Debt!BR39)</f>
        <v/>
      </c>
      <c r="BR6" s="19">
        <f>IF(Time!BS14=0,0,(Debt!BR42+Funding!BR35-Waterfall!BR20)*Debt!BS8*Time!BS9/Inputs!$F$46+(Debt!BR49-Waterfall!BR21)*Inputs!$F$111*Time!BS10/Inputs!$F$47+(Debt!BR93-Waterfall!BR22)*Debt!BS10+IF(Time!BS34=1,0,IF(Time!BS23=1,MIN(Debt!BS91,Debt!BR93-Waterfall!BR22),MIN(Inputs!$F$97*Debt!BS40,Debt!BR42+Funding!BR35-Waterfall!BR20)+MIN(Inputs!$F$98*Debt!BS40,Debt!BR49-Waterfall!BR21)))-Debt!BS39)</f>
        <v/>
      </c>
      <c r="BS6" s="19">
        <f>IF(Time!BT14=0,0,(Debt!BS42+Funding!BS35-Waterfall!BS20)*Debt!BT8*Time!BT9/Inputs!$F$46+(Debt!BS49-Waterfall!BS21)*Inputs!$F$111*Time!BT10/Inputs!$F$47+(Debt!BS93-Waterfall!BS22)*Debt!BT10+IF(Time!BT34=1,0,IF(Time!BT23=1,MIN(Debt!BT91,Debt!BS93-Waterfall!BS22),MIN(Inputs!$F$97*Debt!BT40,Debt!BS42+Funding!BS35-Waterfall!BS20)+MIN(Inputs!$F$98*Debt!BT40,Debt!BS49-Waterfall!BS21)))-Debt!BT39)</f>
        <v/>
      </c>
      <c r="BT6" s="19">
        <f>IF(Time!BU14=0,0,(Debt!BT42+Funding!BT35-Waterfall!BT20)*Debt!BU8*Time!BU9/Inputs!$F$46+(Debt!BT49-Waterfall!BT21)*Inputs!$F$111*Time!BU10/Inputs!$F$47+(Debt!BT93-Waterfall!BT22)*Debt!BU10+IF(Time!BU34=1,0,IF(Time!BU23=1,MIN(Debt!BU91,Debt!BT93-Waterfall!BT22),MIN(Inputs!$F$97*Debt!BU40,Debt!BT42+Funding!BT35-Waterfall!BT20)+MIN(Inputs!$F$98*Debt!BU40,Debt!BT49-Waterfall!BT21)))-Debt!BU39)</f>
        <v/>
      </c>
      <c r="BU6" s="19">
        <f>IF(Time!BV14=0,0,(Debt!BU42+Funding!BU35-Waterfall!BU20)*Debt!BV8*Time!BV9/Inputs!$F$46+(Debt!BU49-Waterfall!BU21)*Inputs!$F$111*Time!BV10/Inputs!$F$47+(Debt!BU93-Waterfall!BU22)*Debt!BV10+IF(Time!BV34=1,0,IF(Time!BV23=1,MIN(Debt!BV91,Debt!BU93-Waterfall!BU22),MIN(Inputs!$F$97*Debt!BV40,Debt!BU42+Funding!BU35-Waterfall!BU20)+MIN(Inputs!$F$98*Debt!BV40,Debt!BU49-Waterfall!BU21)))-Debt!BV39)</f>
        <v/>
      </c>
      <c r="BV6" s="19">
        <f>IF(Time!BW14=0,0,(Debt!BV42+Funding!BV35-Waterfall!BV20)*Debt!BW8*Time!BW9/Inputs!$F$46+(Debt!BV49-Waterfall!BV21)*Inputs!$F$111*Time!BW10/Inputs!$F$47+(Debt!BV93-Waterfall!BV22)*Debt!BW10+IF(Time!BW34=1,0,IF(Time!BW23=1,MIN(Debt!BW91,Debt!BV93-Waterfall!BV22),MIN(Inputs!$F$97*Debt!BW40,Debt!BV42+Funding!BV35-Waterfall!BV20)+MIN(Inputs!$F$98*Debt!BW40,Debt!BV49-Waterfall!BV21)))-Debt!BW39)</f>
        <v/>
      </c>
      <c r="BW6" s="19">
        <f>IF(Time!BX14=0,0,(Debt!BW42+Funding!BW35-Waterfall!BW20)*Debt!BX8*Time!BX9/Inputs!$F$46+(Debt!BW49-Waterfall!BW21)*Inputs!$F$111*Time!BX10/Inputs!$F$47+(Debt!BW93-Waterfall!BW22)*Debt!BX10+IF(Time!BX34=1,0,IF(Time!BX23=1,MIN(Debt!BX91,Debt!BW93-Waterfall!BW22),MIN(Inputs!$F$97*Debt!BX40,Debt!BW42+Funding!BW35-Waterfall!BW20)+MIN(Inputs!$F$98*Debt!BX40,Debt!BW49-Waterfall!BW21)))-Debt!BX39)</f>
        <v/>
      </c>
      <c r="BX6" s="19">
        <f>IF(Time!BY14=0,0,(Debt!BX42+Funding!BX35-Waterfall!BX20)*Debt!BY8*Time!BY9/Inputs!$F$46+(Debt!BX49-Waterfall!BX21)*Inputs!$F$111*Time!BY10/Inputs!$F$47+(Debt!BX93-Waterfall!BX22)*Debt!BY10+IF(Time!BY34=1,0,IF(Time!BY23=1,MIN(Debt!BY91,Debt!BX93-Waterfall!BX22),MIN(Inputs!$F$97*Debt!BY40,Debt!BX42+Funding!BX35-Waterfall!BX20)+MIN(Inputs!$F$98*Debt!BY40,Debt!BX49-Waterfall!BX21)))-Debt!BY39)</f>
        <v/>
      </c>
      <c r="BY6" s="19">
        <f>IF(Time!BZ14=0,0,(Debt!BY42+Funding!BY35-Waterfall!BY20)*Debt!BZ8*Time!BZ9/Inputs!$F$46+(Debt!BY49-Waterfall!BY21)*Inputs!$F$111*Time!BZ10/Inputs!$F$47+(Debt!BY93-Waterfall!BY22)*Debt!BZ10+IF(Time!BZ34=1,0,IF(Time!BZ23=1,MIN(Debt!BZ91,Debt!BY93-Waterfall!BY22),MIN(Inputs!$F$97*Debt!BZ40,Debt!BY42+Funding!BY35-Waterfall!BY20)+MIN(Inputs!$F$98*Debt!BZ40,Debt!BY49-Waterfall!BY21)))-Debt!BZ39)</f>
        <v/>
      </c>
      <c r="BZ6" s="19">
        <f>IF(Time!CA14=0,0,(Debt!BZ42+Funding!BZ35-Waterfall!BZ20)*Debt!CA8*Time!CA9/Inputs!$F$46+(Debt!BZ49-Waterfall!BZ21)*Inputs!$F$111*Time!CA10/Inputs!$F$47+(Debt!BZ93-Waterfall!BZ22)*Debt!CA10+IF(Time!CA34=1,0,IF(Time!CA23=1,MIN(Debt!CA91,Debt!BZ93-Waterfall!BZ22),MIN(Inputs!$F$97*Debt!CA40,Debt!BZ42+Funding!BZ35-Waterfall!BZ20)+MIN(Inputs!$F$98*Debt!CA40,Debt!BZ49-Waterfall!BZ21)))-Debt!CA39)</f>
        <v/>
      </c>
      <c r="CA6" s="19">
        <f>IF(Time!CB14=0,0,(Debt!CA42+Funding!CA35-Waterfall!CA20)*Debt!CB8*Time!CB9/Inputs!$F$46+(Debt!CA49-Waterfall!CA21)*Inputs!$F$111*Time!CB10/Inputs!$F$47+(Debt!CA93-Waterfall!CA22)*Debt!CB10+IF(Time!CB34=1,0,IF(Time!CB23=1,MIN(Debt!CB91,Debt!CA93-Waterfall!CA22),MIN(Inputs!$F$97*Debt!CB40,Debt!CA42+Funding!CA35-Waterfall!CA20)+MIN(Inputs!$F$98*Debt!CB40,Debt!CA49-Waterfall!CA21)))-Debt!CB39)</f>
        <v/>
      </c>
      <c r="CB6" s="19">
        <f>IF(Time!CC14=0,0,(Debt!CB42+Funding!CB35-Waterfall!CB20)*Debt!CC8*Time!CC9/Inputs!$F$46+(Debt!CB49-Waterfall!CB21)*Inputs!$F$111*Time!CC10/Inputs!$F$47+(Debt!CB93-Waterfall!CB22)*Debt!CC10+IF(Time!CC34=1,0,IF(Time!CC23=1,MIN(Debt!CC91,Debt!CB93-Waterfall!CB22),MIN(Inputs!$F$97*Debt!CC40,Debt!CB42+Funding!CB35-Waterfall!CB20)+MIN(Inputs!$F$98*Debt!CC40,Debt!CB49-Waterfall!CB21)))-Debt!CC39)</f>
        <v/>
      </c>
      <c r="CC6" s="19">
        <f>IF(Time!CD14=0,0,(Debt!CC42+Funding!CC35-Waterfall!CC20)*Debt!CD8*Time!CD9/Inputs!$F$46+(Debt!CC49-Waterfall!CC21)*Inputs!$F$111*Time!CD10/Inputs!$F$47+(Debt!CC93-Waterfall!CC22)*Debt!CD10+IF(Time!CD34=1,0,IF(Time!CD23=1,MIN(Debt!CD91,Debt!CC93-Waterfall!CC22),MIN(Inputs!$F$97*Debt!CD40,Debt!CC42+Funding!CC35-Waterfall!CC20)+MIN(Inputs!$F$98*Debt!CD40,Debt!CC49-Waterfall!CC21)))-Debt!CD39)</f>
        <v/>
      </c>
      <c r="CD6" s="19">
        <f>IF(Time!CE14=0,0,(Debt!CD42+Funding!CD35-Waterfall!CD20)*Debt!CE8*Time!CE9/Inputs!$F$46+(Debt!CD49-Waterfall!CD21)*Inputs!$F$111*Time!CE10/Inputs!$F$47+(Debt!CD93-Waterfall!CD22)*Debt!CE10+IF(Time!CE34=1,0,IF(Time!CE23=1,MIN(Debt!CE91,Debt!CD93-Waterfall!CD22),MIN(Inputs!$F$97*Debt!CE40,Debt!CD42+Funding!CD35-Waterfall!CD20)+MIN(Inputs!$F$98*Debt!CE40,Debt!CD49-Waterfall!CD21)))-Debt!CE39)</f>
        <v/>
      </c>
      <c r="CE6" s="19">
        <f>IF(Time!CF14=0,0,(Debt!CE42+Funding!CE35-Waterfall!CE20)*Debt!CF8*Time!CF9/Inputs!$F$46+(Debt!CE49-Waterfall!CE21)*Inputs!$F$111*Time!CF10/Inputs!$F$47+(Debt!CE93-Waterfall!CE22)*Debt!CF10+IF(Time!CF34=1,0,IF(Time!CF23=1,MIN(Debt!CF91,Debt!CE93-Waterfall!CE22),MIN(Inputs!$F$97*Debt!CF40,Debt!CE42+Funding!CE35-Waterfall!CE20)+MIN(Inputs!$F$98*Debt!CF40,Debt!CE49-Waterfall!CE21)))-Debt!CF39)</f>
        <v/>
      </c>
      <c r="CF6" s="19">
        <f>IF(Time!CG14=0,0,(Debt!CF42+Funding!CF35-Waterfall!CF20)*Debt!CG8*Time!CG9/Inputs!$F$46+(Debt!CF49-Waterfall!CF21)*Inputs!$F$111*Time!CG10/Inputs!$F$47+(Debt!CF93-Waterfall!CF22)*Debt!CG10+IF(Time!CG34=1,0,IF(Time!CG23=1,MIN(Debt!CG91,Debt!CF93-Waterfall!CF22),MIN(Inputs!$F$97*Debt!CG40,Debt!CF42+Funding!CF35-Waterfall!CF20)+MIN(Inputs!$F$98*Debt!CG40,Debt!CF49-Waterfall!CF21)))-Debt!CG39)</f>
        <v/>
      </c>
      <c r="CG6" s="19">
        <f>IF(Time!CH14=0,0,(Debt!CG42+Funding!CG35-Waterfall!CG20)*Debt!CH8*Time!CH9/Inputs!$F$46+(Debt!CG49-Waterfall!CG21)*Inputs!$F$111*Time!CH10/Inputs!$F$47+(Debt!CG93-Waterfall!CG22)*Debt!CH10+IF(Time!CH34=1,0,IF(Time!CH23=1,MIN(Debt!CH91,Debt!CG93-Waterfall!CG22),MIN(Inputs!$F$97*Debt!CH40,Debt!CG42+Funding!CG35-Waterfall!CG20)+MIN(Inputs!$F$98*Debt!CH40,Debt!CG49-Waterfall!CG21)))-Debt!CH39)</f>
        <v/>
      </c>
      <c r="CH6" s="19">
        <f>IF(Time!CI14=0,0,(Debt!CH42+Funding!CH35-Waterfall!CH20)*Debt!CI8*Time!CI9/Inputs!$F$46+(Debt!CH49-Waterfall!CH21)*Inputs!$F$111*Time!CI10/Inputs!$F$47+(Debt!CH93-Waterfall!CH22)*Debt!CI10+IF(Time!CI34=1,0,IF(Time!CI23=1,MIN(Debt!CI91,Debt!CH93-Waterfall!CH22),MIN(Inputs!$F$97*Debt!CI40,Debt!CH42+Funding!CH35-Waterfall!CH20)+MIN(Inputs!$F$98*Debt!CI40,Debt!CH49-Waterfall!CH21)))-Debt!CI39)</f>
        <v/>
      </c>
      <c r="CI6" s="19">
        <f>IF(Time!CJ14=0,0,(Debt!CI42+Funding!CI35-Waterfall!CI20)*Debt!CJ8*Time!CJ9/Inputs!$F$46+(Debt!CI49-Waterfall!CI21)*Inputs!$F$111*Time!CJ10/Inputs!$F$47+(Debt!CI93-Waterfall!CI22)*Debt!CJ10+IF(Time!CJ34=1,0,IF(Time!CJ23=1,MIN(Debt!CJ91,Debt!CI93-Waterfall!CI22),MIN(Inputs!$F$97*Debt!CJ40,Debt!CI42+Funding!CI35-Waterfall!CI20)+MIN(Inputs!$F$98*Debt!CJ40,Debt!CI49-Waterfall!CI21)))-Debt!CJ39)</f>
        <v/>
      </c>
      <c r="CJ6" s="19">
        <f>IF(Time!CK14=0,0,(Debt!CJ42+Funding!CJ35-Waterfall!CJ20)*Debt!CK8*Time!CK9/Inputs!$F$46+(Debt!CJ49-Waterfall!CJ21)*Inputs!$F$111*Time!CK10/Inputs!$F$47+(Debt!CJ93-Waterfall!CJ22)*Debt!CK10+IF(Time!CK34=1,0,IF(Time!CK23=1,MIN(Debt!CK91,Debt!CJ93-Waterfall!CJ22),MIN(Inputs!$F$97*Debt!CK40,Debt!CJ42+Funding!CJ35-Waterfall!CJ20)+MIN(Inputs!$F$98*Debt!CK40,Debt!CJ49-Waterfall!CJ21)))-Debt!CK39)</f>
        <v/>
      </c>
      <c r="CK6" s="19">
        <f>IF(Time!CL14=0,0,(Debt!CK42+Funding!CK35-Waterfall!CK20)*Debt!CL8*Time!CL9/Inputs!$F$46+(Debt!CK49-Waterfall!CK21)*Inputs!$F$111*Time!CL10/Inputs!$F$47+(Debt!CK93-Waterfall!CK22)*Debt!CL10+IF(Time!CL34=1,0,IF(Time!CL23=1,MIN(Debt!CL91,Debt!CK93-Waterfall!CK22),MIN(Inputs!$F$97*Debt!CL40,Debt!CK42+Funding!CK35-Waterfall!CK20)+MIN(Inputs!$F$98*Debt!CL40,Debt!CK49-Waterfall!CK21)))-Debt!CL39)</f>
        <v/>
      </c>
      <c r="CL6" s="19">
        <f>IF(Time!CM14=0,0,(Debt!CL42+Funding!CL35-Waterfall!CL20)*Debt!CM8*Time!CM9/Inputs!$F$46+(Debt!CL49-Waterfall!CL21)*Inputs!$F$111*Time!CM10/Inputs!$F$47+(Debt!CL93-Waterfall!CL22)*Debt!CM10+IF(Time!CM34=1,0,IF(Time!CM23=1,MIN(Debt!CM91,Debt!CL93-Waterfall!CL22),MIN(Inputs!$F$97*Debt!CM40,Debt!CL42+Funding!CL35-Waterfall!CL20)+MIN(Inputs!$F$98*Debt!CM40,Debt!CL49-Waterfall!CL21)))-Debt!CM39)</f>
        <v/>
      </c>
      <c r="CM6" s="19">
        <f>IF(Time!CN14=0,0,(Debt!CM42+Funding!CM35-Waterfall!CM20)*Debt!CN8*Time!CN9/Inputs!$F$46+(Debt!CM49-Waterfall!CM21)*Inputs!$F$111*Time!CN10/Inputs!$F$47+(Debt!CM93-Waterfall!CM22)*Debt!CN10+IF(Time!CN34=1,0,IF(Time!CN23=1,MIN(Debt!CN91,Debt!CM93-Waterfall!CM22),MIN(Inputs!$F$97*Debt!CN40,Debt!CM42+Funding!CM35-Waterfall!CM20)+MIN(Inputs!$F$98*Debt!CN40,Debt!CM49-Waterfall!CM21)))-Debt!CN39)</f>
        <v/>
      </c>
      <c r="CN6" s="19">
        <f>IF(Time!CO14=0,0,(Debt!CN42+Funding!CN35-Waterfall!CN20)*Debt!CO8*Time!CO9/Inputs!$F$46+(Debt!CN49-Waterfall!CN21)*Inputs!$F$111*Time!CO10/Inputs!$F$47+(Debt!CN93-Waterfall!CN22)*Debt!CO10+IF(Time!CO34=1,0,IF(Time!CO23=1,MIN(Debt!CO91,Debt!CN93-Waterfall!CN22),MIN(Inputs!$F$97*Debt!CO40,Debt!CN42+Funding!CN35-Waterfall!CN20)+MIN(Inputs!$F$98*Debt!CO40,Debt!CN49-Waterfall!CN21)))-Debt!CO39)</f>
        <v/>
      </c>
      <c r="CO6" s="19">
        <f>IF(Time!CP14=0,0,(Debt!CO42+Funding!CO35-Waterfall!CO20)*Debt!CP8*Time!CP9/Inputs!$F$46+(Debt!CO49-Waterfall!CO21)*Inputs!$F$111*Time!CP10/Inputs!$F$47+(Debt!CO93-Waterfall!CO22)*Debt!CP10+IF(Time!CP34=1,0,IF(Time!CP23=1,MIN(Debt!CP91,Debt!CO93-Waterfall!CO22),MIN(Inputs!$F$97*Debt!CP40,Debt!CO42+Funding!CO35-Waterfall!CO20)+MIN(Inputs!$F$98*Debt!CP40,Debt!CO49-Waterfall!CO21)))-Debt!CP39)</f>
        <v/>
      </c>
      <c r="CP6" s="19">
        <f>IF(Time!CQ14=0,0,(Debt!CP42+Funding!CP35-Waterfall!CP20)*Debt!CQ8*Time!CQ9/Inputs!$F$46+(Debt!CP49-Waterfall!CP21)*Inputs!$F$111*Time!CQ10/Inputs!$F$47+(Debt!CP93-Waterfall!CP22)*Debt!CQ10+IF(Time!CQ34=1,0,IF(Time!CQ23=1,MIN(Debt!CQ91,Debt!CP93-Waterfall!CP22),MIN(Inputs!$F$97*Debt!CQ40,Debt!CP42+Funding!CP35-Waterfall!CP20)+MIN(Inputs!$F$98*Debt!CQ40,Debt!CP49-Waterfall!CP21)))-Debt!CQ39)</f>
        <v/>
      </c>
      <c r="CQ6" s="19">
        <f>IF(Time!CR14=0,0,(Debt!CQ42+Funding!CQ35-Waterfall!CQ20)*Debt!CR8*Time!CR9/Inputs!$F$46+(Debt!CQ49-Waterfall!CQ21)*Inputs!$F$111*Time!CR10/Inputs!$F$47+(Debt!CQ93-Waterfall!CQ22)*Debt!CR10+IF(Time!CR34=1,0,IF(Time!CR23=1,MIN(Debt!CR91,Debt!CQ93-Waterfall!CQ22),MIN(Inputs!$F$97*Debt!CR40,Debt!CQ42+Funding!CQ35-Waterfall!CQ20)+MIN(Inputs!$F$98*Debt!CR40,Debt!CQ49-Waterfall!CQ21)))-Debt!CR39)</f>
        <v/>
      </c>
      <c r="CR6" s="19">
        <f>IF(Time!CS14=0,0,(Debt!CR42+Funding!CR35-Waterfall!CR20)*Debt!CS8*Time!CS9/Inputs!$F$46+(Debt!CR49-Waterfall!CR21)*Inputs!$F$111*Time!CS10/Inputs!$F$47+(Debt!CR93-Waterfall!CR22)*Debt!CS10+IF(Time!CS34=1,0,IF(Time!CS23=1,MIN(Debt!CS91,Debt!CR93-Waterfall!CR22),MIN(Inputs!$F$97*Debt!CS40,Debt!CR42+Funding!CR35-Waterfall!CR20)+MIN(Inputs!$F$98*Debt!CS40,Debt!CR49-Waterfall!CR21)))-Debt!CS39)</f>
        <v/>
      </c>
      <c r="CS6" s="19">
        <f>IF(Time!CT14=0,0,(Debt!CS42+Funding!CS35-Waterfall!CS20)*Debt!CT8*Time!CT9/Inputs!$F$46+(Debt!CS49-Waterfall!CS21)*Inputs!$F$111*Time!CT10/Inputs!$F$47+(Debt!CS93-Waterfall!CS22)*Debt!CT10+IF(Time!CT34=1,0,IF(Time!CT23=1,MIN(Debt!CT91,Debt!CS93-Waterfall!CS22),MIN(Inputs!$F$97*Debt!CT40,Debt!CS42+Funding!CS35-Waterfall!CS20)+MIN(Inputs!$F$98*Debt!CT40,Debt!CS49-Waterfall!CS21)))-Debt!CT39)</f>
        <v/>
      </c>
      <c r="CT6" s="19">
        <f>IF(Time!CU14=0,0,(Debt!CT42+Funding!CT35-Waterfall!CT20)*Debt!CU8*Time!CU9/Inputs!$F$46+(Debt!CT49-Waterfall!CT21)*Inputs!$F$111*Time!CU10/Inputs!$F$47+(Debt!CT93-Waterfall!CT22)*Debt!CU10+IF(Time!CU34=1,0,IF(Time!CU23=1,MIN(Debt!CU91,Debt!CT93-Waterfall!CT22),MIN(Inputs!$F$97*Debt!CU40,Debt!CT42+Funding!CT35-Waterfall!CT20)+MIN(Inputs!$F$98*Debt!CU40,Debt!CT49-Waterfall!CT21)))-Debt!CU39)</f>
        <v/>
      </c>
      <c r="CU6" s="19">
        <f>IF(Time!CV14=0,0,(Debt!CU42+Funding!CU35-Waterfall!CU20)*Debt!CV8*Time!CV9/Inputs!$F$46+(Debt!CU49-Waterfall!CU21)*Inputs!$F$111*Time!CV10/Inputs!$F$47+(Debt!CU93-Waterfall!CU22)*Debt!CV10+IF(Time!CV34=1,0,IF(Time!CV23=1,MIN(Debt!CV91,Debt!CU93-Waterfall!CU22),MIN(Inputs!$F$97*Debt!CV40,Debt!CU42+Funding!CU35-Waterfall!CU20)+MIN(Inputs!$F$98*Debt!CV40,Debt!CU49-Waterfall!CU21)))-Debt!CV39)</f>
        <v/>
      </c>
      <c r="CV6" s="19">
        <f>IF(Time!CW14=0,0,(Debt!CV42+Funding!CV35-Waterfall!CV20)*Debt!CW8*Time!CW9/Inputs!$F$46+(Debt!CV49-Waterfall!CV21)*Inputs!$F$111*Time!CW10/Inputs!$F$47+(Debt!CV93-Waterfall!CV22)*Debt!CW10+IF(Time!CW34=1,0,IF(Time!CW23=1,MIN(Debt!CW91,Debt!CV93-Waterfall!CV22),MIN(Inputs!$F$97*Debt!CW40,Debt!CV42+Funding!CV35-Waterfall!CV20)+MIN(Inputs!$F$98*Debt!CW40,Debt!CV49-Waterfall!CV21)))-Debt!CW39)</f>
        <v/>
      </c>
      <c r="CW6" s="19">
        <f>IF(Time!CX14=0,0,(Debt!CW42+Funding!CW35-Waterfall!CW20)*Debt!CX8*Time!CX9/Inputs!$F$46+(Debt!CW49-Waterfall!CW21)*Inputs!$F$111*Time!CX10/Inputs!$F$47+(Debt!CW93-Waterfall!CW22)*Debt!CX10+IF(Time!CX34=1,0,IF(Time!CX23=1,MIN(Debt!CX91,Debt!CW93-Waterfall!CW22),MIN(Inputs!$F$97*Debt!CX40,Debt!CW42+Funding!CW35-Waterfall!CW20)+MIN(Inputs!$F$98*Debt!CX40,Debt!CW49-Waterfall!CW21)))-Debt!CX39)</f>
        <v/>
      </c>
      <c r="CX6" s="19">
        <f>IF(Time!CY14=0,0,(Debt!CX42+Funding!CX35-Waterfall!CX20)*Debt!CY8*Time!CY9/Inputs!$F$46+(Debt!CX49-Waterfall!CX21)*Inputs!$F$111*Time!CY10/Inputs!$F$47+(Debt!CX93-Waterfall!CX22)*Debt!CY10+IF(Time!CY34=1,0,IF(Time!CY23=1,MIN(Debt!CY91,Debt!CX93-Waterfall!CX22),MIN(Inputs!$F$97*Debt!CY40,Debt!CX42+Funding!CX35-Waterfall!CX20)+MIN(Inputs!$F$98*Debt!CY40,Debt!CX49-Waterfall!CX21)))-Debt!CY39)</f>
        <v/>
      </c>
      <c r="CY6" s="19">
        <f>IF(Time!CZ14=0,0,(Debt!CY42+Funding!CY35-Waterfall!CY20)*Debt!CZ8*Time!CZ9/Inputs!$F$46+(Debt!CY49-Waterfall!CY21)*Inputs!$F$111*Time!CZ10/Inputs!$F$47+(Debt!CY93-Waterfall!CY22)*Debt!CZ10+IF(Time!CZ34=1,0,IF(Time!CZ23=1,MIN(Debt!CZ91,Debt!CY93-Waterfall!CY22),MIN(Inputs!$F$97*Debt!CZ40,Debt!CY42+Funding!CY35-Waterfall!CY20)+MIN(Inputs!$F$98*Debt!CZ40,Debt!CY49-Waterfall!CY21)))-Debt!CZ39)</f>
        <v/>
      </c>
      <c r="CZ6" s="19">
        <f>IF(Time!DA14=0,0,(Debt!CZ42+Funding!CZ35-Waterfall!CZ20)*Debt!DA8*Time!DA9/Inputs!$F$46+(Debt!CZ49-Waterfall!CZ21)*Inputs!$F$111*Time!DA10/Inputs!$F$47+(Debt!CZ93-Waterfall!CZ22)*Debt!DA10+IF(Time!DA34=1,0,IF(Time!DA23=1,MIN(Debt!DA91,Debt!CZ93-Waterfall!CZ22),MIN(Inputs!$F$97*Debt!DA40,Debt!CZ42+Funding!CZ35-Waterfall!CZ20)+MIN(Inputs!$F$98*Debt!DA40,Debt!CZ49-Waterfall!CZ21)))-Debt!DA39)</f>
        <v/>
      </c>
      <c r="DA6" s="19">
        <f>IF(Time!DB14=0,0,(Debt!DA42+Funding!DA35-Waterfall!DA20)*Debt!DB8*Time!DB9/Inputs!$F$46+(Debt!DA49-Waterfall!DA21)*Inputs!$F$111*Time!DB10/Inputs!$F$47+(Debt!DA93-Waterfall!DA22)*Debt!DB10+IF(Time!DB34=1,0,IF(Time!DB23=1,MIN(Debt!DB91,Debt!DA93-Waterfall!DA22),MIN(Inputs!$F$97*Debt!DB40,Debt!DA42+Funding!DA35-Waterfall!DA20)+MIN(Inputs!$F$98*Debt!DB40,Debt!DA49-Waterfall!DA21)))-Debt!DB39)</f>
        <v/>
      </c>
      <c r="DB6" s="19">
        <f>IF(Time!DC14=0,0,(Debt!DB42+Funding!DB35-Waterfall!DB20)*Debt!DC8*Time!DC9/Inputs!$F$46+(Debt!DB49-Waterfall!DB21)*Inputs!$F$111*Time!DC10/Inputs!$F$47+(Debt!DB93-Waterfall!DB22)*Debt!DC10+IF(Time!DC34=1,0,IF(Time!DC23=1,MIN(Debt!DC91,Debt!DB93-Waterfall!DB22),MIN(Inputs!$F$97*Debt!DC40,Debt!DB42+Funding!DB35-Waterfall!DB20)+MIN(Inputs!$F$98*Debt!DC40,Debt!DB49-Waterfall!DB21)))-Debt!DC39)</f>
        <v/>
      </c>
    </row>
    <row r="7">
      <c r="D7" t="inlineStr">
        <is>
          <t>DSRA target</t>
        </is>
      </c>
      <c r="E7" t="inlineStr">
        <is>
          <t>ARD m</t>
        </is>
      </c>
      <c r="J7" s="19">
        <f>IF(Time!J20=1,IF(Time!J8=Inputs!$F$16,J6*Inputs!$F$116/Time!K14,0),IF(Time!J35=1,0,IF(Time!K14=0,0,J6*Inputs!$F$116/Time!K14)))</f>
        <v/>
      </c>
      <c r="K7" s="19">
        <f>IF(Time!K20=1,IF(Time!K8=Inputs!$F$16,K6*Inputs!$F$116/Time!L14,0),IF(Time!K35=1,0,IF(Time!L14=0,0,K6*Inputs!$F$116/Time!L14)))</f>
        <v/>
      </c>
      <c r="L7" s="19">
        <f>IF(Time!L20=1,IF(Time!L8=Inputs!$F$16,L6*Inputs!$F$116/Time!M14,0),IF(Time!L35=1,0,IF(Time!M14=0,0,L6*Inputs!$F$116/Time!M14)))</f>
        <v/>
      </c>
      <c r="M7" s="19">
        <f>IF(Time!M20=1,IF(Time!M8=Inputs!$F$16,M6*Inputs!$F$116/Time!N14,0),IF(Time!M35=1,0,IF(Time!N14=0,0,M6*Inputs!$F$116/Time!N14)))</f>
        <v/>
      </c>
      <c r="N7" s="19">
        <f>IF(Time!N20=1,IF(Time!N8=Inputs!$F$16,N6*Inputs!$F$116/Time!O14,0),IF(Time!N35=1,0,IF(Time!O14=0,0,N6*Inputs!$F$116/Time!O14)))</f>
        <v/>
      </c>
      <c r="O7" s="19">
        <f>IF(Time!O20=1,IF(Time!O8=Inputs!$F$16,O6*Inputs!$F$116/Time!P14,0),IF(Time!O35=1,0,IF(Time!P14=0,0,O6*Inputs!$F$116/Time!P14)))</f>
        <v/>
      </c>
      <c r="P7" s="19">
        <f>IF(Time!P20=1,IF(Time!P8=Inputs!$F$16,P6*Inputs!$F$116/Time!Q14,0),IF(Time!P35=1,0,IF(Time!Q14=0,0,P6*Inputs!$F$116/Time!Q14)))</f>
        <v/>
      </c>
      <c r="Q7" s="19">
        <f>IF(Time!Q20=1,IF(Time!Q8=Inputs!$F$16,Q6*Inputs!$F$116/Time!R14,0),IF(Time!Q35=1,0,IF(Time!R14=0,0,Q6*Inputs!$F$116/Time!R14)))</f>
        <v/>
      </c>
      <c r="R7" s="19">
        <f>IF(Time!R20=1,IF(Time!R8=Inputs!$F$16,R6*Inputs!$F$116/Time!S14,0),IF(Time!R35=1,0,IF(Time!S14=0,0,R6*Inputs!$F$116/Time!S14)))</f>
        <v/>
      </c>
      <c r="S7" s="19">
        <f>IF(Time!S20=1,IF(Time!S8=Inputs!$F$16,S6*Inputs!$F$116/Time!T14,0),IF(Time!S35=1,0,IF(Time!T14=0,0,S6*Inputs!$F$116/Time!T14)))</f>
        <v/>
      </c>
      <c r="T7" s="19">
        <f>IF(Time!T20=1,IF(Time!T8=Inputs!$F$16,T6*Inputs!$F$116/Time!U14,0),IF(Time!T35=1,0,IF(Time!U14=0,0,T6*Inputs!$F$116/Time!U14)))</f>
        <v/>
      </c>
      <c r="U7" s="19">
        <f>IF(Time!U20=1,IF(Time!U8=Inputs!$F$16,U6*Inputs!$F$116/Time!V14,0),IF(Time!U35=1,0,IF(Time!V14=0,0,U6*Inputs!$F$116/Time!V14)))</f>
        <v/>
      </c>
      <c r="V7" s="19">
        <f>IF(Time!V20=1,IF(Time!V8=Inputs!$F$16,V6*Inputs!$F$116/Time!W14,0),IF(Time!V35=1,0,IF(Time!W14=0,0,V6*Inputs!$F$116/Time!W14)))</f>
        <v/>
      </c>
      <c r="W7" s="19">
        <f>IF(Time!W20=1,IF(Time!W8=Inputs!$F$16,W6*Inputs!$F$116/Time!X14,0),IF(Time!W35=1,0,IF(Time!X14=0,0,W6*Inputs!$F$116/Time!X14)))</f>
        <v/>
      </c>
      <c r="X7" s="19">
        <f>IF(Time!X20=1,IF(Time!X8=Inputs!$F$16,X6*Inputs!$F$116/Time!Y14,0),IF(Time!X35=1,0,IF(Time!Y14=0,0,X6*Inputs!$F$116/Time!Y14)))</f>
        <v/>
      </c>
      <c r="Y7" s="19">
        <f>IF(Time!Y20=1,IF(Time!Y8=Inputs!$F$16,Y6*Inputs!$F$116/Time!Z14,0),IF(Time!Y35=1,0,IF(Time!Z14=0,0,Y6*Inputs!$F$116/Time!Z14)))</f>
        <v/>
      </c>
      <c r="Z7" s="19">
        <f>IF(Time!Z20=1,IF(Time!Z8=Inputs!$F$16,Z6*Inputs!$F$116/Time!AA14,0),IF(Time!Z35=1,0,IF(Time!AA14=0,0,Z6*Inputs!$F$116/Time!AA14)))</f>
        <v/>
      </c>
      <c r="AA7" s="19">
        <f>IF(Time!AA20=1,IF(Time!AA8=Inputs!$F$16,AA6*Inputs!$F$116/Time!AB14,0),IF(Time!AA35=1,0,IF(Time!AB14=0,0,AA6*Inputs!$F$116/Time!AB14)))</f>
        <v/>
      </c>
      <c r="AB7" s="19">
        <f>IF(Time!AB20=1,IF(Time!AB8=Inputs!$F$16,AB6*Inputs!$F$116/Time!AC14,0),IF(Time!AB35=1,0,IF(Time!AC14=0,0,AB6*Inputs!$F$116/Time!AC14)))</f>
        <v/>
      </c>
      <c r="AC7" s="19">
        <f>IF(Time!AC20=1,IF(Time!AC8=Inputs!$F$16,AC6*Inputs!$F$116/Time!AD14,0),IF(Time!AC35=1,0,IF(Time!AD14=0,0,AC6*Inputs!$F$116/Time!AD14)))</f>
        <v/>
      </c>
      <c r="AD7" s="19">
        <f>IF(Time!AD20=1,IF(Time!AD8=Inputs!$F$16,AD6*Inputs!$F$116/Time!AE14,0),IF(Time!AD35=1,0,IF(Time!AE14=0,0,AD6*Inputs!$F$116/Time!AE14)))</f>
        <v/>
      </c>
      <c r="AE7" s="19">
        <f>IF(Time!AE20=1,IF(Time!AE8=Inputs!$F$16,AE6*Inputs!$F$116/Time!AF14,0),IF(Time!AE35=1,0,IF(Time!AF14=0,0,AE6*Inputs!$F$116/Time!AF14)))</f>
        <v/>
      </c>
      <c r="AF7" s="19">
        <f>IF(Time!AF20=1,IF(Time!AF8=Inputs!$F$16,AF6*Inputs!$F$116/Time!AG14,0),IF(Time!AF35=1,0,IF(Time!AG14=0,0,AF6*Inputs!$F$116/Time!AG14)))</f>
        <v/>
      </c>
      <c r="AG7" s="19">
        <f>IF(Time!AG20=1,IF(Time!AG8=Inputs!$F$16,AG6*Inputs!$F$116/Time!AH14,0),IF(Time!AG35=1,0,IF(Time!AH14=0,0,AG6*Inputs!$F$116/Time!AH14)))</f>
        <v/>
      </c>
      <c r="AH7" s="19">
        <f>IF(Time!AH20=1,IF(Time!AH8=Inputs!$F$16,AH6*Inputs!$F$116/Time!AI14,0),IF(Time!AH35=1,0,IF(Time!AI14=0,0,AH6*Inputs!$F$116/Time!AI14)))</f>
        <v/>
      </c>
      <c r="AI7" s="19">
        <f>IF(Time!AI20=1,IF(Time!AI8=Inputs!$F$16,AI6*Inputs!$F$116/Time!AJ14,0),IF(Time!AI35=1,0,IF(Time!AJ14=0,0,AI6*Inputs!$F$116/Time!AJ14)))</f>
        <v/>
      </c>
      <c r="AJ7" s="19">
        <f>IF(Time!AJ20=1,IF(Time!AJ8=Inputs!$F$16,AJ6*Inputs!$F$116/Time!AK14,0),IF(Time!AJ35=1,0,IF(Time!AK14=0,0,AJ6*Inputs!$F$116/Time!AK14)))</f>
        <v/>
      </c>
      <c r="AK7" s="19">
        <f>IF(Time!AK20=1,IF(Time!AK8=Inputs!$F$16,AK6*Inputs!$F$116/Time!AL14,0),IF(Time!AK35=1,0,IF(Time!AL14=0,0,AK6*Inputs!$F$116/Time!AL14)))</f>
        <v/>
      </c>
      <c r="AL7" s="19">
        <f>IF(Time!AL20=1,IF(Time!AL8=Inputs!$F$16,AL6*Inputs!$F$116/Time!AM14,0),IF(Time!AL35=1,0,IF(Time!AM14=0,0,AL6*Inputs!$F$116/Time!AM14)))</f>
        <v/>
      </c>
      <c r="AM7" s="19">
        <f>IF(Time!AM20=1,IF(Time!AM8=Inputs!$F$16,AM6*Inputs!$F$116/Time!AN14,0),IF(Time!AM35=1,0,IF(Time!AN14=0,0,AM6*Inputs!$F$116/Time!AN14)))</f>
        <v/>
      </c>
      <c r="AN7" s="19">
        <f>IF(Time!AN20=1,IF(Time!AN8=Inputs!$F$16,AN6*Inputs!$F$116/Time!AO14,0),IF(Time!AN35=1,0,IF(Time!AO14=0,0,AN6*Inputs!$F$116/Time!AO14)))</f>
        <v/>
      </c>
      <c r="AO7" s="19">
        <f>IF(Time!AO20=1,IF(Time!AO8=Inputs!$F$16,AO6*Inputs!$F$116/Time!AP14,0),IF(Time!AO35=1,0,IF(Time!AP14=0,0,AO6*Inputs!$F$116/Time!AP14)))</f>
        <v/>
      </c>
      <c r="AP7" s="19">
        <f>IF(Time!AP20=1,IF(Time!AP8=Inputs!$F$16,AP6*Inputs!$F$116/Time!AQ14,0),IF(Time!AP35=1,0,IF(Time!AQ14=0,0,AP6*Inputs!$F$116/Time!AQ14)))</f>
        <v/>
      </c>
      <c r="AQ7" s="19">
        <f>IF(Time!AQ20=1,IF(Time!AQ8=Inputs!$F$16,AQ6*Inputs!$F$116/Time!AR14,0),IF(Time!AQ35=1,0,IF(Time!AR14=0,0,AQ6*Inputs!$F$116/Time!AR14)))</f>
        <v/>
      </c>
      <c r="AR7" s="19">
        <f>IF(Time!AR20=1,IF(Time!AR8=Inputs!$F$16,AR6*Inputs!$F$116/Time!AS14,0),IF(Time!AR35=1,0,IF(Time!AS14=0,0,AR6*Inputs!$F$116/Time!AS14)))</f>
        <v/>
      </c>
      <c r="AS7" s="19">
        <f>IF(Time!AS20=1,IF(Time!AS8=Inputs!$F$16,AS6*Inputs!$F$116/Time!AT14,0),IF(Time!AS35=1,0,IF(Time!AT14=0,0,AS6*Inputs!$F$116/Time!AT14)))</f>
        <v/>
      </c>
      <c r="AT7" s="19">
        <f>IF(Time!AT20=1,IF(Time!AT8=Inputs!$F$16,AT6*Inputs!$F$116/Time!AU14,0),IF(Time!AT35=1,0,IF(Time!AU14=0,0,AT6*Inputs!$F$116/Time!AU14)))</f>
        <v/>
      </c>
      <c r="AU7" s="19">
        <f>IF(Time!AU20=1,IF(Time!AU8=Inputs!$F$16,AU6*Inputs!$F$116/Time!AV14,0),IF(Time!AU35=1,0,IF(Time!AV14=0,0,AU6*Inputs!$F$116/Time!AV14)))</f>
        <v/>
      </c>
      <c r="AV7" s="19">
        <f>IF(Time!AV20=1,IF(Time!AV8=Inputs!$F$16,AV6*Inputs!$F$116/Time!AW14,0),IF(Time!AV35=1,0,IF(Time!AW14=0,0,AV6*Inputs!$F$116/Time!AW14)))</f>
        <v/>
      </c>
      <c r="AW7" s="19">
        <f>IF(Time!AW20=1,IF(Time!AW8=Inputs!$F$16,AW6*Inputs!$F$116/Time!AX14,0),IF(Time!AW35=1,0,IF(Time!AX14=0,0,AW6*Inputs!$F$116/Time!AX14)))</f>
        <v/>
      </c>
      <c r="AX7" s="19">
        <f>IF(Time!AX20=1,IF(Time!AX8=Inputs!$F$16,AX6*Inputs!$F$116/Time!AY14,0),IF(Time!AX35=1,0,IF(Time!AY14=0,0,AX6*Inputs!$F$116/Time!AY14)))</f>
        <v/>
      </c>
      <c r="AY7" s="19">
        <f>IF(Time!AY20=1,IF(Time!AY8=Inputs!$F$16,AY6*Inputs!$F$116/Time!AZ14,0),IF(Time!AY35=1,0,IF(Time!AZ14=0,0,AY6*Inputs!$F$116/Time!AZ14)))</f>
        <v/>
      </c>
      <c r="AZ7" s="19">
        <f>IF(Time!AZ20=1,IF(Time!AZ8=Inputs!$F$16,AZ6*Inputs!$F$116/Time!BA14,0),IF(Time!AZ35=1,0,IF(Time!BA14=0,0,AZ6*Inputs!$F$116/Time!BA14)))</f>
        <v/>
      </c>
      <c r="BA7" s="19">
        <f>IF(Time!BA20=1,IF(Time!BA8=Inputs!$F$16,BA6*Inputs!$F$116/Time!BB14,0),IF(Time!BA35=1,0,IF(Time!BB14=0,0,BA6*Inputs!$F$116/Time!BB14)))</f>
        <v/>
      </c>
      <c r="BB7" s="19">
        <f>IF(Time!BB20=1,IF(Time!BB8=Inputs!$F$16,BB6*Inputs!$F$116/Time!BC14,0),IF(Time!BB35=1,0,IF(Time!BC14=0,0,BB6*Inputs!$F$116/Time!BC14)))</f>
        <v/>
      </c>
      <c r="BC7" s="19">
        <f>IF(Time!BC20=1,IF(Time!BC8=Inputs!$F$16,BC6*Inputs!$F$116/Time!BD14,0),IF(Time!BC35=1,0,IF(Time!BD14=0,0,BC6*Inputs!$F$116/Time!BD14)))</f>
        <v/>
      </c>
      <c r="BD7" s="19">
        <f>IF(Time!BD20=1,IF(Time!BD8=Inputs!$F$16,BD6*Inputs!$F$116/Time!BE14,0),IF(Time!BD35=1,0,IF(Time!BE14=0,0,BD6*Inputs!$F$116/Time!BE14)))</f>
        <v/>
      </c>
      <c r="BE7" s="19">
        <f>IF(Time!BE20=1,IF(Time!BE8=Inputs!$F$16,BE6*Inputs!$F$116/Time!BF14,0),IF(Time!BE35=1,0,IF(Time!BF14=0,0,BE6*Inputs!$F$116/Time!BF14)))</f>
        <v/>
      </c>
      <c r="BF7" s="19">
        <f>IF(Time!BF20=1,IF(Time!BF8=Inputs!$F$16,BF6*Inputs!$F$116/Time!BG14,0),IF(Time!BF35=1,0,IF(Time!BG14=0,0,BF6*Inputs!$F$116/Time!BG14)))</f>
        <v/>
      </c>
      <c r="BG7" s="19">
        <f>IF(Time!BG20=1,IF(Time!BG8=Inputs!$F$16,BG6*Inputs!$F$116/Time!BH14,0),IF(Time!BG35=1,0,IF(Time!BH14=0,0,BG6*Inputs!$F$116/Time!BH14)))</f>
        <v/>
      </c>
      <c r="BH7" s="19">
        <f>IF(Time!BH20=1,IF(Time!BH8=Inputs!$F$16,BH6*Inputs!$F$116/Time!BI14,0),IF(Time!BH35=1,0,IF(Time!BI14=0,0,BH6*Inputs!$F$116/Time!BI14)))</f>
        <v/>
      </c>
      <c r="BI7" s="19">
        <f>IF(Time!BI20=1,IF(Time!BI8=Inputs!$F$16,BI6*Inputs!$F$116/Time!BJ14,0),IF(Time!BI35=1,0,IF(Time!BJ14=0,0,BI6*Inputs!$F$116/Time!BJ14)))</f>
        <v/>
      </c>
      <c r="BJ7" s="19">
        <f>IF(Time!BJ20=1,IF(Time!BJ8=Inputs!$F$16,BJ6*Inputs!$F$116/Time!BK14,0),IF(Time!BJ35=1,0,IF(Time!BK14=0,0,BJ6*Inputs!$F$116/Time!BK14)))</f>
        <v/>
      </c>
      <c r="BK7" s="19">
        <f>IF(Time!BK20=1,IF(Time!BK8=Inputs!$F$16,BK6*Inputs!$F$116/Time!BL14,0),IF(Time!BK35=1,0,IF(Time!BL14=0,0,BK6*Inputs!$F$116/Time!BL14)))</f>
        <v/>
      </c>
      <c r="BL7" s="19">
        <f>IF(Time!BL20=1,IF(Time!BL8=Inputs!$F$16,BL6*Inputs!$F$116/Time!BM14,0),IF(Time!BL35=1,0,IF(Time!BM14=0,0,BL6*Inputs!$F$116/Time!BM14)))</f>
        <v/>
      </c>
      <c r="BM7" s="19">
        <f>IF(Time!BM20=1,IF(Time!BM8=Inputs!$F$16,BM6*Inputs!$F$116/Time!BN14,0),IF(Time!BM35=1,0,IF(Time!BN14=0,0,BM6*Inputs!$F$116/Time!BN14)))</f>
        <v/>
      </c>
      <c r="BN7" s="19">
        <f>IF(Time!BN20=1,IF(Time!BN8=Inputs!$F$16,BN6*Inputs!$F$116/Time!BO14,0),IF(Time!BN35=1,0,IF(Time!BO14=0,0,BN6*Inputs!$F$116/Time!BO14)))</f>
        <v/>
      </c>
      <c r="BO7" s="19">
        <f>IF(Time!BO20=1,IF(Time!BO8=Inputs!$F$16,BO6*Inputs!$F$116/Time!BP14,0),IF(Time!BO35=1,0,IF(Time!BP14=0,0,BO6*Inputs!$F$116/Time!BP14)))</f>
        <v/>
      </c>
      <c r="BP7" s="19">
        <f>IF(Time!BP20=1,IF(Time!BP8=Inputs!$F$16,BP6*Inputs!$F$116/Time!BQ14,0),IF(Time!BP35=1,0,IF(Time!BQ14=0,0,BP6*Inputs!$F$116/Time!BQ14)))</f>
        <v/>
      </c>
      <c r="BQ7" s="19">
        <f>IF(Time!BQ20=1,IF(Time!BQ8=Inputs!$F$16,BQ6*Inputs!$F$116/Time!BR14,0),IF(Time!BQ35=1,0,IF(Time!BR14=0,0,BQ6*Inputs!$F$116/Time!BR14)))</f>
        <v/>
      </c>
      <c r="BR7" s="19">
        <f>IF(Time!BR20=1,IF(Time!BR8=Inputs!$F$16,BR6*Inputs!$F$116/Time!BS14,0),IF(Time!BR35=1,0,IF(Time!BS14=0,0,BR6*Inputs!$F$116/Time!BS14)))</f>
        <v/>
      </c>
      <c r="BS7" s="19">
        <f>IF(Time!BS20=1,IF(Time!BS8=Inputs!$F$16,BS6*Inputs!$F$116/Time!BT14,0),IF(Time!BS35=1,0,IF(Time!BT14=0,0,BS6*Inputs!$F$116/Time!BT14)))</f>
        <v/>
      </c>
      <c r="BT7" s="19">
        <f>IF(Time!BT20=1,IF(Time!BT8=Inputs!$F$16,BT6*Inputs!$F$116/Time!BU14,0),IF(Time!BT35=1,0,IF(Time!BU14=0,0,BT6*Inputs!$F$116/Time!BU14)))</f>
        <v/>
      </c>
      <c r="BU7" s="19">
        <f>IF(Time!BU20=1,IF(Time!BU8=Inputs!$F$16,BU6*Inputs!$F$116/Time!BV14,0),IF(Time!BU35=1,0,IF(Time!BV14=0,0,BU6*Inputs!$F$116/Time!BV14)))</f>
        <v/>
      </c>
      <c r="BV7" s="19">
        <f>IF(Time!BV20=1,IF(Time!BV8=Inputs!$F$16,BV6*Inputs!$F$116/Time!BW14,0),IF(Time!BV35=1,0,IF(Time!BW14=0,0,BV6*Inputs!$F$116/Time!BW14)))</f>
        <v/>
      </c>
      <c r="BW7" s="19">
        <f>IF(Time!BW20=1,IF(Time!BW8=Inputs!$F$16,BW6*Inputs!$F$116/Time!BX14,0),IF(Time!BW35=1,0,IF(Time!BX14=0,0,BW6*Inputs!$F$116/Time!BX14)))</f>
        <v/>
      </c>
      <c r="BX7" s="19">
        <f>IF(Time!BX20=1,IF(Time!BX8=Inputs!$F$16,BX6*Inputs!$F$116/Time!BY14,0),IF(Time!BX35=1,0,IF(Time!BY14=0,0,BX6*Inputs!$F$116/Time!BY14)))</f>
        <v/>
      </c>
      <c r="BY7" s="19">
        <f>IF(Time!BY20=1,IF(Time!BY8=Inputs!$F$16,BY6*Inputs!$F$116/Time!BZ14,0),IF(Time!BY35=1,0,IF(Time!BZ14=0,0,BY6*Inputs!$F$116/Time!BZ14)))</f>
        <v/>
      </c>
      <c r="BZ7" s="19">
        <f>IF(Time!BZ20=1,IF(Time!BZ8=Inputs!$F$16,BZ6*Inputs!$F$116/Time!CA14,0),IF(Time!BZ35=1,0,IF(Time!CA14=0,0,BZ6*Inputs!$F$116/Time!CA14)))</f>
        <v/>
      </c>
      <c r="CA7" s="19">
        <f>IF(Time!CA20=1,IF(Time!CA8=Inputs!$F$16,CA6*Inputs!$F$116/Time!CB14,0),IF(Time!CA35=1,0,IF(Time!CB14=0,0,CA6*Inputs!$F$116/Time!CB14)))</f>
        <v/>
      </c>
      <c r="CB7" s="19">
        <f>IF(Time!CB20=1,IF(Time!CB8=Inputs!$F$16,CB6*Inputs!$F$116/Time!CC14,0),IF(Time!CB35=1,0,IF(Time!CC14=0,0,CB6*Inputs!$F$116/Time!CC14)))</f>
        <v/>
      </c>
      <c r="CC7" s="19">
        <f>IF(Time!CC20=1,IF(Time!CC8=Inputs!$F$16,CC6*Inputs!$F$116/Time!CD14,0),IF(Time!CC35=1,0,IF(Time!CD14=0,0,CC6*Inputs!$F$116/Time!CD14)))</f>
        <v/>
      </c>
      <c r="CD7" s="19">
        <f>IF(Time!CD20=1,IF(Time!CD8=Inputs!$F$16,CD6*Inputs!$F$116/Time!CE14,0),IF(Time!CD35=1,0,IF(Time!CE14=0,0,CD6*Inputs!$F$116/Time!CE14)))</f>
        <v/>
      </c>
      <c r="CE7" s="19">
        <f>IF(Time!CE20=1,IF(Time!CE8=Inputs!$F$16,CE6*Inputs!$F$116/Time!CF14,0),IF(Time!CE35=1,0,IF(Time!CF14=0,0,CE6*Inputs!$F$116/Time!CF14)))</f>
        <v/>
      </c>
      <c r="CF7" s="19">
        <f>IF(Time!CF20=1,IF(Time!CF8=Inputs!$F$16,CF6*Inputs!$F$116/Time!CG14,0),IF(Time!CF35=1,0,IF(Time!CG14=0,0,CF6*Inputs!$F$116/Time!CG14)))</f>
        <v/>
      </c>
      <c r="CG7" s="19">
        <f>IF(Time!CG20=1,IF(Time!CG8=Inputs!$F$16,CG6*Inputs!$F$116/Time!CH14,0),IF(Time!CG35=1,0,IF(Time!CH14=0,0,CG6*Inputs!$F$116/Time!CH14)))</f>
        <v/>
      </c>
      <c r="CH7" s="19">
        <f>IF(Time!CH20=1,IF(Time!CH8=Inputs!$F$16,CH6*Inputs!$F$116/Time!CI14,0),IF(Time!CH35=1,0,IF(Time!CI14=0,0,CH6*Inputs!$F$116/Time!CI14)))</f>
        <v/>
      </c>
      <c r="CI7" s="19">
        <f>IF(Time!CI20=1,IF(Time!CI8=Inputs!$F$16,CI6*Inputs!$F$116/Time!CJ14,0),IF(Time!CI35=1,0,IF(Time!CJ14=0,0,CI6*Inputs!$F$116/Time!CJ14)))</f>
        <v/>
      </c>
      <c r="CJ7" s="19">
        <f>IF(Time!CJ20=1,IF(Time!CJ8=Inputs!$F$16,CJ6*Inputs!$F$116/Time!CK14,0),IF(Time!CJ35=1,0,IF(Time!CK14=0,0,CJ6*Inputs!$F$116/Time!CK14)))</f>
        <v/>
      </c>
      <c r="CK7" s="19">
        <f>IF(Time!CK20=1,IF(Time!CK8=Inputs!$F$16,CK6*Inputs!$F$116/Time!CL14,0),IF(Time!CK35=1,0,IF(Time!CL14=0,0,CK6*Inputs!$F$116/Time!CL14)))</f>
        <v/>
      </c>
      <c r="CL7" s="19">
        <f>IF(Time!CL20=1,IF(Time!CL8=Inputs!$F$16,CL6*Inputs!$F$116/Time!CM14,0),IF(Time!CL35=1,0,IF(Time!CM14=0,0,CL6*Inputs!$F$116/Time!CM14)))</f>
        <v/>
      </c>
      <c r="CM7" s="19">
        <f>IF(Time!CM20=1,IF(Time!CM8=Inputs!$F$16,CM6*Inputs!$F$116/Time!CN14,0),IF(Time!CM35=1,0,IF(Time!CN14=0,0,CM6*Inputs!$F$116/Time!CN14)))</f>
        <v/>
      </c>
      <c r="CN7" s="19">
        <f>IF(Time!CN20=1,IF(Time!CN8=Inputs!$F$16,CN6*Inputs!$F$116/Time!CO14,0),IF(Time!CN35=1,0,IF(Time!CO14=0,0,CN6*Inputs!$F$116/Time!CO14)))</f>
        <v/>
      </c>
      <c r="CO7" s="19">
        <f>IF(Time!CO20=1,IF(Time!CO8=Inputs!$F$16,CO6*Inputs!$F$116/Time!CP14,0),IF(Time!CO35=1,0,IF(Time!CP14=0,0,CO6*Inputs!$F$116/Time!CP14)))</f>
        <v/>
      </c>
      <c r="CP7" s="19">
        <f>IF(Time!CP20=1,IF(Time!CP8=Inputs!$F$16,CP6*Inputs!$F$116/Time!CQ14,0),IF(Time!CP35=1,0,IF(Time!CQ14=0,0,CP6*Inputs!$F$116/Time!CQ14)))</f>
        <v/>
      </c>
      <c r="CQ7" s="19">
        <f>IF(Time!CQ20=1,IF(Time!CQ8=Inputs!$F$16,CQ6*Inputs!$F$116/Time!CR14,0),IF(Time!CQ35=1,0,IF(Time!CR14=0,0,CQ6*Inputs!$F$116/Time!CR14)))</f>
        <v/>
      </c>
      <c r="CR7" s="19">
        <f>IF(Time!CR20=1,IF(Time!CR8=Inputs!$F$16,CR6*Inputs!$F$116/Time!CS14,0),IF(Time!CR35=1,0,IF(Time!CS14=0,0,CR6*Inputs!$F$116/Time!CS14)))</f>
        <v/>
      </c>
      <c r="CS7" s="19">
        <f>IF(Time!CS20=1,IF(Time!CS8=Inputs!$F$16,CS6*Inputs!$F$116/Time!CT14,0),IF(Time!CS35=1,0,IF(Time!CT14=0,0,CS6*Inputs!$F$116/Time!CT14)))</f>
        <v/>
      </c>
      <c r="CT7" s="19">
        <f>IF(Time!CT20=1,IF(Time!CT8=Inputs!$F$16,CT6*Inputs!$F$116/Time!CU14,0),IF(Time!CT35=1,0,IF(Time!CU14=0,0,CT6*Inputs!$F$116/Time!CU14)))</f>
        <v/>
      </c>
      <c r="CU7" s="19">
        <f>IF(Time!CU20=1,IF(Time!CU8=Inputs!$F$16,CU6*Inputs!$F$116/Time!CV14,0),IF(Time!CU35=1,0,IF(Time!CV14=0,0,CU6*Inputs!$F$116/Time!CV14)))</f>
        <v/>
      </c>
      <c r="CV7" s="19">
        <f>IF(Time!CV20=1,IF(Time!CV8=Inputs!$F$16,CV6*Inputs!$F$116/Time!CW14,0),IF(Time!CV35=1,0,IF(Time!CW14=0,0,CV6*Inputs!$F$116/Time!CW14)))</f>
        <v/>
      </c>
      <c r="CW7" s="19">
        <f>IF(Time!CW20=1,IF(Time!CW8=Inputs!$F$16,CW6*Inputs!$F$116/Time!CX14,0),IF(Time!CW35=1,0,IF(Time!CX14=0,0,CW6*Inputs!$F$116/Time!CX14)))</f>
        <v/>
      </c>
      <c r="CX7" s="19">
        <f>IF(Time!CX20=1,IF(Time!CX8=Inputs!$F$16,CX6*Inputs!$F$116/Time!CY14,0),IF(Time!CX35=1,0,IF(Time!CY14=0,0,CX6*Inputs!$F$116/Time!CY14)))</f>
        <v/>
      </c>
      <c r="CY7" s="19">
        <f>IF(Time!CY20=1,IF(Time!CY8=Inputs!$F$16,CY6*Inputs!$F$116/Time!CZ14,0),IF(Time!CY35=1,0,IF(Time!CZ14=0,0,CY6*Inputs!$F$116/Time!CZ14)))</f>
        <v/>
      </c>
      <c r="CZ7" s="19">
        <f>IF(Time!CZ20=1,IF(Time!CZ8=Inputs!$F$16,CZ6*Inputs!$F$116/Time!DA14,0),IF(Time!CZ35=1,0,IF(Time!DA14=0,0,CZ6*Inputs!$F$116/Time!DA14)))</f>
        <v/>
      </c>
      <c r="DA7" s="19">
        <f>IF(Time!DA20=1,IF(Time!DA8=Inputs!$F$16,DA6*Inputs!$F$116/Time!DB14,0),IF(Time!DA35=1,0,IF(Time!DB14=0,0,DA6*Inputs!$F$116/Time!DB14)))</f>
        <v/>
      </c>
      <c r="DB7" s="19">
        <f>IF(Time!DB20=1,IF(Time!DB8=Inputs!$F$16,DB6*Inputs!$F$116/Time!DC14,0),IF(Time!DB35=1,0,IF(Time!DC14=0,0,DB6*Inputs!$F$116/Time!DC14)))</f>
        <v/>
      </c>
    </row>
    <row r="8">
      <c r="D8" t="inlineStr">
        <is>
          <t>DSRA: opening</t>
        </is>
      </c>
      <c r="E8" t="inlineStr">
        <is>
          <t>ARD m</t>
        </is>
      </c>
      <c r="J8" s="19">
        <f>I13</f>
        <v/>
      </c>
      <c r="K8" s="19">
        <f>J13</f>
        <v/>
      </c>
      <c r="L8" s="19">
        <f>K13</f>
        <v/>
      </c>
      <c r="M8" s="19">
        <f>L13</f>
        <v/>
      </c>
      <c r="N8" s="19">
        <f>M13</f>
        <v/>
      </c>
      <c r="O8" s="19">
        <f>N13</f>
        <v/>
      </c>
      <c r="P8" s="19">
        <f>O13</f>
        <v/>
      </c>
      <c r="Q8" s="19">
        <f>P13</f>
        <v/>
      </c>
      <c r="R8" s="19">
        <f>Q13</f>
        <v/>
      </c>
      <c r="S8" s="19">
        <f>R13</f>
        <v/>
      </c>
      <c r="T8" s="19">
        <f>S13</f>
        <v/>
      </c>
      <c r="U8" s="19">
        <f>T13</f>
        <v/>
      </c>
      <c r="V8" s="19">
        <f>U13</f>
        <v/>
      </c>
      <c r="W8" s="19">
        <f>V13</f>
        <v/>
      </c>
      <c r="X8" s="19">
        <f>W13</f>
        <v/>
      </c>
      <c r="Y8" s="19">
        <f>X13</f>
        <v/>
      </c>
      <c r="Z8" s="19">
        <f>Y13</f>
        <v/>
      </c>
      <c r="AA8" s="19">
        <f>Z13</f>
        <v/>
      </c>
      <c r="AB8" s="19">
        <f>AA13</f>
        <v/>
      </c>
      <c r="AC8" s="19">
        <f>AB13</f>
        <v/>
      </c>
      <c r="AD8" s="19">
        <f>AC13</f>
        <v/>
      </c>
      <c r="AE8" s="19">
        <f>AD13</f>
        <v/>
      </c>
      <c r="AF8" s="19">
        <f>AE13</f>
        <v/>
      </c>
      <c r="AG8" s="19">
        <f>AF13</f>
        <v/>
      </c>
      <c r="AH8" s="19">
        <f>AG13</f>
        <v/>
      </c>
      <c r="AI8" s="19">
        <f>AH13</f>
        <v/>
      </c>
      <c r="AJ8" s="19">
        <f>AI13</f>
        <v/>
      </c>
      <c r="AK8" s="19">
        <f>AJ13</f>
        <v/>
      </c>
      <c r="AL8" s="19">
        <f>AK13</f>
        <v/>
      </c>
      <c r="AM8" s="19">
        <f>AL13</f>
        <v/>
      </c>
      <c r="AN8" s="19">
        <f>AM13</f>
        <v/>
      </c>
      <c r="AO8" s="19">
        <f>AN13</f>
        <v/>
      </c>
      <c r="AP8" s="19">
        <f>AO13</f>
        <v/>
      </c>
      <c r="AQ8" s="19">
        <f>AP13</f>
        <v/>
      </c>
      <c r="AR8" s="19">
        <f>AQ13</f>
        <v/>
      </c>
      <c r="AS8" s="19">
        <f>AR13</f>
        <v/>
      </c>
      <c r="AT8" s="19">
        <f>AS13</f>
        <v/>
      </c>
      <c r="AU8" s="19">
        <f>AT13</f>
        <v/>
      </c>
      <c r="AV8" s="19">
        <f>AU13</f>
        <v/>
      </c>
      <c r="AW8" s="19">
        <f>AV13</f>
        <v/>
      </c>
      <c r="AX8" s="19">
        <f>AW13</f>
        <v/>
      </c>
      <c r="AY8" s="19">
        <f>AX13</f>
        <v/>
      </c>
      <c r="AZ8" s="19">
        <f>AY13</f>
        <v/>
      </c>
      <c r="BA8" s="19">
        <f>AZ13</f>
        <v/>
      </c>
      <c r="BB8" s="19">
        <f>BA13</f>
        <v/>
      </c>
      <c r="BC8" s="19">
        <f>BB13</f>
        <v/>
      </c>
      <c r="BD8" s="19">
        <f>BC13</f>
        <v/>
      </c>
      <c r="BE8" s="19">
        <f>BD13</f>
        <v/>
      </c>
      <c r="BF8" s="19">
        <f>BE13</f>
        <v/>
      </c>
      <c r="BG8" s="19">
        <f>BF13</f>
        <v/>
      </c>
      <c r="BH8" s="19">
        <f>BG13</f>
        <v/>
      </c>
      <c r="BI8" s="19">
        <f>BH13</f>
        <v/>
      </c>
      <c r="BJ8" s="19">
        <f>BI13</f>
        <v/>
      </c>
      <c r="BK8" s="19">
        <f>BJ13</f>
        <v/>
      </c>
      <c r="BL8" s="19">
        <f>BK13</f>
        <v/>
      </c>
      <c r="BM8" s="19">
        <f>BL13</f>
        <v/>
      </c>
      <c r="BN8" s="19">
        <f>BM13</f>
        <v/>
      </c>
      <c r="BO8" s="19">
        <f>BN13</f>
        <v/>
      </c>
      <c r="BP8" s="19">
        <f>BO13</f>
        <v/>
      </c>
      <c r="BQ8" s="19">
        <f>BP13</f>
        <v/>
      </c>
      <c r="BR8" s="19">
        <f>BQ13</f>
        <v/>
      </c>
      <c r="BS8" s="19">
        <f>BR13</f>
        <v/>
      </c>
      <c r="BT8" s="19">
        <f>BS13</f>
        <v/>
      </c>
      <c r="BU8" s="19">
        <f>BT13</f>
        <v/>
      </c>
      <c r="BV8" s="19">
        <f>BU13</f>
        <v/>
      </c>
      <c r="BW8" s="19">
        <f>BV13</f>
        <v/>
      </c>
      <c r="BX8" s="19">
        <f>BW13</f>
        <v/>
      </c>
      <c r="BY8" s="19">
        <f>BX13</f>
        <v/>
      </c>
      <c r="BZ8" s="19">
        <f>BY13</f>
        <v/>
      </c>
      <c r="CA8" s="19">
        <f>BZ13</f>
        <v/>
      </c>
      <c r="CB8" s="19">
        <f>CA13</f>
        <v/>
      </c>
      <c r="CC8" s="19">
        <f>CB13</f>
        <v/>
      </c>
      <c r="CD8" s="19">
        <f>CC13</f>
        <v/>
      </c>
      <c r="CE8" s="19">
        <f>CD13</f>
        <v/>
      </c>
      <c r="CF8" s="19">
        <f>CE13</f>
        <v/>
      </c>
      <c r="CG8" s="19">
        <f>CF13</f>
        <v/>
      </c>
      <c r="CH8" s="19">
        <f>CG13</f>
        <v/>
      </c>
      <c r="CI8" s="19">
        <f>CH13</f>
        <v/>
      </c>
      <c r="CJ8" s="19">
        <f>CI13</f>
        <v/>
      </c>
      <c r="CK8" s="19">
        <f>CJ13</f>
        <v/>
      </c>
      <c r="CL8" s="19">
        <f>CK13</f>
        <v/>
      </c>
      <c r="CM8" s="19">
        <f>CL13</f>
        <v/>
      </c>
      <c r="CN8" s="19">
        <f>CM13</f>
        <v/>
      </c>
      <c r="CO8" s="19">
        <f>CN13</f>
        <v/>
      </c>
      <c r="CP8" s="19">
        <f>CO13</f>
        <v/>
      </c>
      <c r="CQ8" s="19">
        <f>CP13</f>
        <v/>
      </c>
      <c r="CR8" s="19">
        <f>CQ13</f>
        <v/>
      </c>
      <c r="CS8" s="19">
        <f>CR13</f>
        <v/>
      </c>
      <c r="CT8" s="19">
        <f>CS13</f>
        <v/>
      </c>
      <c r="CU8" s="19">
        <f>CT13</f>
        <v/>
      </c>
      <c r="CV8" s="19">
        <f>CU13</f>
        <v/>
      </c>
      <c r="CW8" s="19">
        <f>CV13</f>
        <v/>
      </c>
      <c r="CX8" s="19">
        <f>CW13</f>
        <v/>
      </c>
      <c r="CY8" s="19">
        <f>CX13</f>
        <v/>
      </c>
      <c r="CZ8" s="19">
        <f>CY13</f>
        <v/>
      </c>
      <c r="DA8" s="19">
        <f>CZ13</f>
        <v/>
      </c>
      <c r="DB8" s="19">
        <f>DA13</f>
        <v/>
      </c>
    </row>
    <row r="9">
      <c r="D9" t="inlineStr">
        <is>
          <t>DSRA after draws</t>
        </is>
      </c>
      <c r="E9" t="inlineStr">
        <is>
          <t>ARD m</t>
        </is>
      </c>
      <c r="J9" s="19">
        <f>J8-Waterfall!J23</f>
        <v/>
      </c>
      <c r="K9" s="19">
        <f>K8-Waterfall!K23</f>
        <v/>
      </c>
      <c r="L9" s="19">
        <f>L8-Waterfall!L23</f>
        <v/>
      </c>
      <c r="M9" s="19">
        <f>M8-Waterfall!M23</f>
        <v/>
      </c>
      <c r="N9" s="19">
        <f>N8-Waterfall!N23</f>
        <v/>
      </c>
      <c r="O9" s="19">
        <f>O8-Waterfall!O23</f>
        <v/>
      </c>
      <c r="P9" s="19">
        <f>P8-Waterfall!P23</f>
        <v/>
      </c>
      <c r="Q9" s="19">
        <f>Q8-Waterfall!Q23</f>
        <v/>
      </c>
      <c r="R9" s="19">
        <f>R8-Waterfall!R23</f>
        <v/>
      </c>
      <c r="S9" s="19">
        <f>S8-Waterfall!S23</f>
        <v/>
      </c>
      <c r="T9" s="19">
        <f>T8-Waterfall!T23</f>
        <v/>
      </c>
      <c r="U9" s="19">
        <f>U8-Waterfall!U23</f>
        <v/>
      </c>
      <c r="V9" s="19">
        <f>V8-Waterfall!V23</f>
        <v/>
      </c>
      <c r="W9" s="19">
        <f>W8-Waterfall!W23</f>
        <v/>
      </c>
      <c r="X9" s="19">
        <f>X8-Waterfall!X23</f>
        <v/>
      </c>
      <c r="Y9" s="19">
        <f>Y8-Waterfall!Y23</f>
        <v/>
      </c>
      <c r="Z9" s="19">
        <f>Z8-Waterfall!Z23</f>
        <v/>
      </c>
      <c r="AA9" s="19">
        <f>AA8-Waterfall!AA23</f>
        <v/>
      </c>
      <c r="AB9" s="19">
        <f>AB8-Waterfall!AB23</f>
        <v/>
      </c>
      <c r="AC9" s="19">
        <f>AC8-Waterfall!AC23</f>
        <v/>
      </c>
      <c r="AD9" s="19">
        <f>AD8-Waterfall!AD23</f>
        <v/>
      </c>
      <c r="AE9" s="19">
        <f>AE8-Waterfall!AE23</f>
        <v/>
      </c>
      <c r="AF9" s="19">
        <f>AF8-Waterfall!AF23</f>
        <v/>
      </c>
      <c r="AG9" s="19">
        <f>AG8-Waterfall!AG23</f>
        <v/>
      </c>
      <c r="AH9" s="19">
        <f>AH8-Waterfall!AH23</f>
        <v/>
      </c>
      <c r="AI9" s="19">
        <f>AI8-Waterfall!AI23</f>
        <v/>
      </c>
      <c r="AJ9" s="19">
        <f>AJ8-Waterfall!AJ23</f>
        <v/>
      </c>
      <c r="AK9" s="19">
        <f>AK8-Waterfall!AK23</f>
        <v/>
      </c>
      <c r="AL9" s="19">
        <f>AL8-Waterfall!AL23</f>
        <v/>
      </c>
      <c r="AM9" s="19">
        <f>AM8-Waterfall!AM23</f>
        <v/>
      </c>
      <c r="AN9" s="19">
        <f>AN8-Waterfall!AN23</f>
        <v/>
      </c>
      <c r="AO9" s="19">
        <f>AO8-Waterfall!AO23</f>
        <v/>
      </c>
      <c r="AP9" s="19">
        <f>AP8-Waterfall!AP23</f>
        <v/>
      </c>
      <c r="AQ9" s="19">
        <f>AQ8-Waterfall!AQ23</f>
        <v/>
      </c>
      <c r="AR9" s="19">
        <f>AR8-Waterfall!AR23</f>
        <v/>
      </c>
      <c r="AS9" s="19">
        <f>AS8-Waterfall!AS23</f>
        <v/>
      </c>
      <c r="AT9" s="19">
        <f>AT8-Waterfall!AT23</f>
        <v/>
      </c>
      <c r="AU9" s="19">
        <f>AU8-Waterfall!AU23</f>
        <v/>
      </c>
      <c r="AV9" s="19">
        <f>AV8-Waterfall!AV23</f>
        <v/>
      </c>
      <c r="AW9" s="19">
        <f>AW8-Waterfall!AW23</f>
        <v/>
      </c>
      <c r="AX9" s="19">
        <f>AX8-Waterfall!AX23</f>
        <v/>
      </c>
      <c r="AY9" s="19">
        <f>AY8-Waterfall!AY23</f>
        <v/>
      </c>
      <c r="AZ9" s="19">
        <f>AZ8-Waterfall!AZ23</f>
        <v/>
      </c>
      <c r="BA9" s="19">
        <f>BA8-Waterfall!BA23</f>
        <v/>
      </c>
      <c r="BB9" s="19">
        <f>BB8-Waterfall!BB23</f>
        <v/>
      </c>
      <c r="BC9" s="19">
        <f>BC8-Waterfall!BC23</f>
        <v/>
      </c>
      <c r="BD9" s="19">
        <f>BD8-Waterfall!BD23</f>
        <v/>
      </c>
      <c r="BE9" s="19">
        <f>BE8-Waterfall!BE23</f>
        <v/>
      </c>
      <c r="BF9" s="19">
        <f>BF8-Waterfall!BF23</f>
        <v/>
      </c>
      <c r="BG9" s="19">
        <f>BG8-Waterfall!BG23</f>
        <v/>
      </c>
      <c r="BH9" s="19">
        <f>BH8-Waterfall!BH23</f>
        <v/>
      </c>
      <c r="BI9" s="19">
        <f>BI8-Waterfall!BI23</f>
        <v/>
      </c>
      <c r="BJ9" s="19">
        <f>BJ8-Waterfall!BJ23</f>
        <v/>
      </c>
      <c r="BK9" s="19">
        <f>BK8-Waterfall!BK23</f>
        <v/>
      </c>
      <c r="BL9" s="19">
        <f>BL8-Waterfall!BL23</f>
        <v/>
      </c>
      <c r="BM9" s="19">
        <f>BM8-Waterfall!BM23</f>
        <v/>
      </c>
      <c r="BN9" s="19">
        <f>BN8-Waterfall!BN23</f>
        <v/>
      </c>
      <c r="BO9" s="19">
        <f>BO8-Waterfall!BO23</f>
        <v/>
      </c>
      <c r="BP9" s="19">
        <f>BP8-Waterfall!BP23</f>
        <v/>
      </c>
      <c r="BQ9" s="19">
        <f>BQ8-Waterfall!BQ23</f>
        <v/>
      </c>
      <c r="BR9" s="19">
        <f>BR8-Waterfall!BR23</f>
        <v/>
      </c>
      <c r="BS9" s="19">
        <f>BS8-Waterfall!BS23</f>
        <v/>
      </c>
      <c r="BT9" s="19">
        <f>BT8-Waterfall!BT23</f>
        <v/>
      </c>
      <c r="BU9" s="19">
        <f>BU8-Waterfall!BU23</f>
        <v/>
      </c>
      <c r="BV9" s="19">
        <f>BV8-Waterfall!BV23</f>
        <v/>
      </c>
      <c r="BW9" s="19">
        <f>BW8-Waterfall!BW23</f>
        <v/>
      </c>
      <c r="BX9" s="19">
        <f>BX8-Waterfall!BX23</f>
        <v/>
      </c>
      <c r="BY9" s="19">
        <f>BY8-Waterfall!BY23</f>
        <v/>
      </c>
      <c r="BZ9" s="19">
        <f>BZ8-Waterfall!BZ23</f>
        <v/>
      </c>
      <c r="CA9" s="19">
        <f>CA8-Waterfall!CA23</f>
        <v/>
      </c>
      <c r="CB9" s="19">
        <f>CB8-Waterfall!CB23</f>
        <v/>
      </c>
      <c r="CC9" s="19">
        <f>CC8-Waterfall!CC23</f>
        <v/>
      </c>
      <c r="CD9" s="19">
        <f>CD8-Waterfall!CD23</f>
        <v/>
      </c>
      <c r="CE9" s="19">
        <f>CE8-Waterfall!CE23</f>
        <v/>
      </c>
      <c r="CF9" s="19">
        <f>CF8-Waterfall!CF23</f>
        <v/>
      </c>
      <c r="CG9" s="19">
        <f>CG8-Waterfall!CG23</f>
        <v/>
      </c>
      <c r="CH9" s="19">
        <f>CH8-Waterfall!CH23</f>
        <v/>
      </c>
      <c r="CI9" s="19">
        <f>CI8-Waterfall!CI23</f>
        <v/>
      </c>
      <c r="CJ9" s="19">
        <f>CJ8-Waterfall!CJ23</f>
        <v/>
      </c>
      <c r="CK9" s="19">
        <f>CK8-Waterfall!CK23</f>
        <v/>
      </c>
      <c r="CL9" s="19">
        <f>CL8-Waterfall!CL23</f>
        <v/>
      </c>
      <c r="CM9" s="19">
        <f>CM8-Waterfall!CM23</f>
        <v/>
      </c>
      <c r="CN9" s="19">
        <f>CN8-Waterfall!CN23</f>
        <v/>
      </c>
      <c r="CO9" s="19">
        <f>CO8-Waterfall!CO23</f>
        <v/>
      </c>
      <c r="CP9" s="19">
        <f>CP8-Waterfall!CP23</f>
        <v/>
      </c>
      <c r="CQ9" s="19">
        <f>CQ8-Waterfall!CQ23</f>
        <v/>
      </c>
      <c r="CR9" s="19">
        <f>CR8-Waterfall!CR23</f>
        <v/>
      </c>
      <c r="CS9" s="19">
        <f>CS8-Waterfall!CS23</f>
        <v/>
      </c>
      <c r="CT9" s="19">
        <f>CT8-Waterfall!CT23</f>
        <v/>
      </c>
      <c r="CU9" s="19">
        <f>CU8-Waterfall!CU23</f>
        <v/>
      </c>
      <c r="CV9" s="19">
        <f>CV8-Waterfall!CV23</f>
        <v/>
      </c>
      <c r="CW9" s="19">
        <f>CW8-Waterfall!CW23</f>
        <v/>
      </c>
      <c r="CX9" s="19">
        <f>CX8-Waterfall!CX23</f>
        <v/>
      </c>
      <c r="CY9" s="19">
        <f>CY8-Waterfall!CY23</f>
        <v/>
      </c>
      <c r="CZ9" s="19">
        <f>CZ8-Waterfall!CZ23</f>
        <v/>
      </c>
      <c r="DA9" s="19">
        <f>DA8-Waterfall!DA23</f>
        <v/>
      </c>
      <c r="DB9" s="19">
        <f>DB8-Waterfall!DB23</f>
        <v/>
      </c>
    </row>
    <row r="10">
      <c r="D10" t="inlineStr">
        <is>
          <t>Shortfall against target</t>
        </is>
      </c>
      <c r="E10" t="inlineStr">
        <is>
          <t>ARD m</t>
        </is>
      </c>
      <c r="J10" s="19">
        <f>J7-J9</f>
        <v/>
      </c>
      <c r="K10" s="19">
        <f>K7-K9</f>
        <v/>
      </c>
      <c r="L10" s="19">
        <f>L7-L9</f>
        <v/>
      </c>
      <c r="M10" s="19">
        <f>M7-M9</f>
        <v/>
      </c>
      <c r="N10" s="19">
        <f>N7-N9</f>
        <v/>
      </c>
      <c r="O10" s="19">
        <f>O7-O9</f>
        <v/>
      </c>
      <c r="P10" s="19">
        <f>P7-P9</f>
        <v/>
      </c>
      <c r="Q10" s="19">
        <f>Q7-Q9</f>
        <v/>
      </c>
      <c r="R10" s="19">
        <f>R7-R9</f>
        <v/>
      </c>
      <c r="S10" s="19">
        <f>S7-S9</f>
        <v/>
      </c>
      <c r="T10" s="19">
        <f>T7-T9</f>
        <v/>
      </c>
      <c r="U10" s="19">
        <f>U7-U9</f>
        <v/>
      </c>
      <c r="V10" s="19">
        <f>V7-V9</f>
        <v/>
      </c>
      <c r="W10" s="19">
        <f>W7-W9</f>
        <v/>
      </c>
      <c r="X10" s="19">
        <f>X7-X9</f>
        <v/>
      </c>
      <c r="Y10" s="19">
        <f>Y7-Y9</f>
        <v/>
      </c>
      <c r="Z10" s="19">
        <f>Z7-Z9</f>
        <v/>
      </c>
      <c r="AA10" s="19">
        <f>AA7-AA9</f>
        <v/>
      </c>
      <c r="AB10" s="19">
        <f>AB7-AB9</f>
        <v/>
      </c>
      <c r="AC10" s="19">
        <f>AC7-AC9</f>
        <v/>
      </c>
      <c r="AD10" s="19">
        <f>AD7-AD9</f>
        <v/>
      </c>
      <c r="AE10" s="19">
        <f>AE7-AE9</f>
        <v/>
      </c>
      <c r="AF10" s="19">
        <f>AF7-AF9</f>
        <v/>
      </c>
      <c r="AG10" s="19">
        <f>AG7-AG9</f>
        <v/>
      </c>
      <c r="AH10" s="19">
        <f>AH7-AH9</f>
        <v/>
      </c>
      <c r="AI10" s="19">
        <f>AI7-AI9</f>
        <v/>
      </c>
      <c r="AJ10" s="19">
        <f>AJ7-AJ9</f>
        <v/>
      </c>
      <c r="AK10" s="19">
        <f>AK7-AK9</f>
        <v/>
      </c>
      <c r="AL10" s="19">
        <f>AL7-AL9</f>
        <v/>
      </c>
      <c r="AM10" s="19">
        <f>AM7-AM9</f>
        <v/>
      </c>
      <c r="AN10" s="19">
        <f>AN7-AN9</f>
        <v/>
      </c>
      <c r="AO10" s="19">
        <f>AO7-AO9</f>
        <v/>
      </c>
      <c r="AP10" s="19">
        <f>AP7-AP9</f>
        <v/>
      </c>
      <c r="AQ10" s="19">
        <f>AQ7-AQ9</f>
        <v/>
      </c>
      <c r="AR10" s="19">
        <f>AR7-AR9</f>
        <v/>
      </c>
      <c r="AS10" s="19">
        <f>AS7-AS9</f>
        <v/>
      </c>
      <c r="AT10" s="19">
        <f>AT7-AT9</f>
        <v/>
      </c>
      <c r="AU10" s="19">
        <f>AU7-AU9</f>
        <v/>
      </c>
      <c r="AV10" s="19">
        <f>AV7-AV9</f>
        <v/>
      </c>
      <c r="AW10" s="19">
        <f>AW7-AW9</f>
        <v/>
      </c>
      <c r="AX10" s="19">
        <f>AX7-AX9</f>
        <v/>
      </c>
      <c r="AY10" s="19">
        <f>AY7-AY9</f>
        <v/>
      </c>
      <c r="AZ10" s="19">
        <f>AZ7-AZ9</f>
        <v/>
      </c>
      <c r="BA10" s="19">
        <f>BA7-BA9</f>
        <v/>
      </c>
      <c r="BB10" s="19">
        <f>BB7-BB9</f>
        <v/>
      </c>
      <c r="BC10" s="19">
        <f>BC7-BC9</f>
        <v/>
      </c>
      <c r="BD10" s="19">
        <f>BD7-BD9</f>
        <v/>
      </c>
      <c r="BE10" s="19">
        <f>BE7-BE9</f>
        <v/>
      </c>
      <c r="BF10" s="19">
        <f>BF7-BF9</f>
        <v/>
      </c>
      <c r="BG10" s="19">
        <f>BG7-BG9</f>
        <v/>
      </c>
      <c r="BH10" s="19">
        <f>BH7-BH9</f>
        <v/>
      </c>
      <c r="BI10" s="19">
        <f>BI7-BI9</f>
        <v/>
      </c>
      <c r="BJ10" s="19">
        <f>BJ7-BJ9</f>
        <v/>
      </c>
      <c r="BK10" s="19">
        <f>BK7-BK9</f>
        <v/>
      </c>
      <c r="BL10" s="19">
        <f>BL7-BL9</f>
        <v/>
      </c>
      <c r="BM10" s="19">
        <f>BM7-BM9</f>
        <v/>
      </c>
      <c r="BN10" s="19">
        <f>BN7-BN9</f>
        <v/>
      </c>
      <c r="BO10" s="19">
        <f>BO7-BO9</f>
        <v/>
      </c>
      <c r="BP10" s="19">
        <f>BP7-BP9</f>
        <v/>
      </c>
      <c r="BQ10" s="19">
        <f>BQ7-BQ9</f>
        <v/>
      </c>
      <c r="BR10" s="19">
        <f>BR7-BR9</f>
        <v/>
      </c>
      <c r="BS10" s="19">
        <f>BS7-BS9</f>
        <v/>
      </c>
      <c r="BT10" s="19">
        <f>BT7-BT9</f>
        <v/>
      </c>
      <c r="BU10" s="19">
        <f>BU7-BU9</f>
        <v/>
      </c>
      <c r="BV10" s="19">
        <f>BV7-BV9</f>
        <v/>
      </c>
      <c r="BW10" s="19">
        <f>BW7-BW9</f>
        <v/>
      </c>
      <c r="BX10" s="19">
        <f>BX7-BX9</f>
        <v/>
      </c>
      <c r="BY10" s="19">
        <f>BY7-BY9</f>
        <v/>
      </c>
      <c r="BZ10" s="19">
        <f>BZ7-BZ9</f>
        <v/>
      </c>
      <c r="CA10" s="19">
        <f>CA7-CA9</f>
        <v/>
      </c>
      <c r="CB10" s="19">
        <f>CB7-CB9</f>
        <v/>
      </c>
      <c r="CC10" s="19">
        <f>CC7-CC9</f>
        <v/>
      </c>
      <c r="CD10" s="19">
        <f>CD7-CD9</f>
        <v/>
      </c>
      <c r="CE10" s="19">
        <f>CE7-CE9</f>
        <v/>
      </c>
      <c r="CF10" s="19">
        <f>CF7-CF9</f>
        <v/>
      </c>
      <c r="CG10" s="19">
        <f>CG7-CG9</f>
        <v/>
      </c>
      <c r="CH10" s="19">
        <f>CH7-CH9</f>
        <v/>
      </c>
      <c r="CI10" s="19">
        <f>CI7-CI9</f>
        <v/>
      </c>
      <c r="CJ10" s="19">
        <f>CJ7-CJ9</f>
        <v/>
      </c>
      <c r="CK10" s="19">
        <f>CK7-CK9</f>
        <v/>
      </c>
      <c r="CL10" s="19">
        <f>CL7-CL9</f>
        <v/>
      </c>
      <c r="CM10" s="19">
        <f>CM7-CM9</f>
        <v/>
      </c>
      <c r="CN10" s="19">
        <f>CN7-CN9</f>
        <v/>
      </c>
      <c r="CO10" s="19">
        <f>CO7-CO9</f>
        <v/>
      </c>
      <c r="CP10" s="19">
        <f>CP7-CP9</f>
        <v/>
      </c>
      <c r="CQ10" s="19">
        <f>CQ7-CQ9</f>
        <v/>
      </c>
      <c r="CR10" s="19">
        <f>CR7-CR9</f>
        <v/>
      </c>
      <c r="CS10" s="19">
        <f>CS7-CS9</f>
        <v/>
      </c>
      <c r="CT10" s="19">
        <f>CT7-CT9</f>
        <v/>
      </c>
      <c r="CU10" s="19">
        <f>CU7-CU9</f>
        <v/>
      </c>
      <c r="CV10" s="19">
        <f>CV7-CV9</f>
        <v/>
      </c>
      <c r="CW10" s="19">
        <f>CW7-CW9</f>
        <v/>
      </c>
      <c r="CX10" s="19">
        <f>CX7-CX9</f>
        <v/>
      </c>
      <c r="CY10" s="19">
        <f>CY7-CY9</f>
        <v/>
      </c>
      <c r="CZ10" s="19">
        <f>CZ7-CZ9</f>
        <v/>
      </c>
      <c r="DA10" s="19">
        <f>DA7-DA9</f>
        <v/>
      </c>
      <c r="DB10" s="19">
        <f>DB7-DB9</f>
        <v/>
      </c>
    </row>
    <row r="11">
      <c r="D11" t="inlineStr">
        <is>
          <t>Top-up from cash flow</t>
        </is>
      </c>
      <c r="E11" t="inlineStr">
        <is>
          <t>ARD m</t>
        </is>
      </c>
      <c r="G11" s="19">
        <f>SUM(J11:DB11)</f>
        <v/>
      </c>
      <c r="J11" s="19">
        <f>MIN(MAX(0,Waterfall!J24),MAX(0,J10))*(1-Time!J20)</f>
        <v/>
      </c>
      <c r="K11" s="19">
        <f>MIN(MAX(0,Waterfall!K24),MAX(0,K10))*(1-Time!K20)</f>
        <v/>
      </c>
      <c r="L11" s="19">
        <f>MIN(MAX(0,Waterfall!L24),MAX(0,L10))*(1-Time!L20)</f>
        <v/>
      </c>
      <c r="M11" s="19">
        <f>MIN(MAX(0,Waterfall!M24),MAX(0,M10))*(1-Time!M20)</f>
        <v/>
      </c>
      <c r="N11" s="19">
        <f>MIN(MAX(0,Waterfall!N24),MAX(0,N10))*(1-Time!N20)</f>
        <v/>
      </c>
      <c r="O11" s="19">
        <f>MIN(MAX(0,Waterfall!O24),MAX(0,O10))*(1-Time!O20)</f>
        <v/>
      </c>
      <c r="P11" s="19">
        <f>MIN(MAX(0,Waterfall!P24),MAX(0,P10))*(1-Time!P20)</f>
        <v/>
      </c>
      <c r="Q11" s="19">
        <f>MIN(MAX(0,Waterfall!Q24),MAX(0,Q10))*(1-Time!Q20)</f>
        <v/>
      </c>
      <c r="R11" s="19">
        <f>MIN(MAX(0,Waterfall!R24),MAX(0,R10))*(1-Time!R20)</f>
        <v/>
      </c>
      <c r="S11" s="19">
        <f>MIN(MAX(0,Waterfall!S24),MAX(0,S10))*(1-Time!S20)</f>
        <v/>
      </c>
      <c r="T11" s="19">
        <f>MIN(MAX(0,Waterfall!T24),MAX(0,T10))*(1-Time!T20)</f>
        <v/>
      </c>
      <c r="U11" s="19">
        <f>MIN(MAX(0,Waterfall!U24),MAX(0,U10))*(1-Time!U20)</f>
        <v/>
      </c>
      <c r="V11" s="19">
        <f>MIN(MAX(0,Waterfall!V24),MAX(0,V10))*(1-Time!V20)</f>
        <v/>
      </c>
      <c r="W11" s="19">
        <f>MIN(MAX(0,Waterfall!W24),MAX(0,W10))*(1-Time!W20)</f>
        <v/>
      </c>
      <c r="X11" s="19">
        <f>MIN(MAX(0,Waterfall!X24),MAX(0,X10))*(1-Time!X20)</f>
        <v/>
      </c>
      <c r="Y11" s="19">
        <f>MIN(MAX(0,Waterfall!Y24),MAX(0,Y10))*(1-Time!Y20)</f>
        <v/>
      </c>
      <c r="Z11" s="19">
        <f>MIN(MAX(0,Waterfall!Z24),MAX(0,Z10))*(1-Time!Z20)</f>
        <v/>
      </c>
      <c r="AA11" s="19">
        <f>MIN(MAX(0,Waterfall!AA24),MAX(0,AA10))*(1-Time!AA20)</f>
        <v/>
      </c>
      <c r="AB11" s="19">
        <f>MIN(MAX(0,Waterfall!AB24),MAX(0,AB10))*(1-Time!AB20)</f>
        <v/>
      </c>
      <c r="AC11" s="19">
        <f>MIN(MAX(0,Waterfall!AC24),MAX(0,AC10))*(1-Time!AC20)</f>
        <v/>
      </c>
      <c r="AD11" s="19">
        <f>MIN(MAX(0,Waterfall!AD24),MAX(0,AD10))*(1-Time!AD20)</f>
        <v/>
      </c>
      <c r="AE11" s="19">
        <f>MIN(MAX(0,Waterfall!AE24),MAX(0,AE10))*(1-Time!AE20)</f>
        <v/>
      </c>
      <c r="AF11" s="19">
        <f>MIN(MAX(0,Waterfall!AF24),MAX(0,AF10))*(1-Time!AF20)</f>
        <v/>
      </c>
      <c r="AG11" s="19">
        <f>MIN(MAX(0,Waterfall!AG24),MAX(0,AG10))*(1-Time!AG20)</f>
        <v/>
      </c>
      <c r="AH11" s="19">
        <f>MIN(MAX(0,Waterfall!AH24),MAX(0,AH10))*(1-Time!AH20)</f>
        <v/>
      </c>
      <c r="AI11" s="19">
        <f>MIN(MAX(0,Waterfall!AI24),MAX(0,AI10))*(1-Time!AI20)</f>
        <v/>
      </c>
      <c r="AJ11" s="19">
        <f>MIN(MAX(0,Waterfall!AJ24),MAX(0,AJ10))*(1-Time!AJ20)</f>
        <v/>
      </c>
      <c r="AK11" s="19">
        <f>MIN(MAX(0,Waterfall!AK24),MAX(0,AK10))*(1-Time!AK20)</f>
        <v/>
      </c>
      <c r="AL11" s="19">
        <f>MIN(MAX(0,Waterfall!AL24),MAX(0,AL10))*(1-Time!AL20)</f>
        <v/>
      </c>
      <c r="AM11" s="19">
        <f>MIN(MAX(0,Waterfall!AM24),MAX(0,AM10))*(1-Time!AM20)</f>
        <v/>
      </c>
      <c r="AN11" s="19">
        <f>MIN(MAX(0,Waterfall!AN24),MAX(0,AN10))*(1-Time!AN20)</f>
        <v/>
      </c>
      <c r="AO11" s="19">
        <f>MIN(MAX(0,Waterfall!AO24),MAX(0,AO10))*(1-Time!AO20)</f>
        <v/>
      </c>
      <c r="AP11" s="19">
        <f>MIN(MAX(0,Waterfall!AP24),MAX(0,AP10))*(1-Time!AP20)</f>
        <v/>
      </c>
      <c r="AQ11" s="19">
        <f>MIN(MAX(0,Waterfall!AQ24),MAX(0,AQ10))*(1-Time!AQ20)</f>
        <v/>
      </c>
      <c r="AR11" s="19">
        <f>MIN(MAX(0,Waterfall!AR24),MAX(0,AR10))*(1-Time!AR20)</f>
        <v/>
      </c>
      <c r="AS11" s="19">
        <f>MIN(MAX(0,Waterfall!AS24),MAX(0,AS10))*(1-Time!AS20)</f>
        <v/>
      </c>
      <c r="AT11" s="19">
        <f>MIN(MAX(0,Waterfall!AT24),MAX(0,AT10))*(1-Time!AT20)</f>
        <v/>
      </c>
      <c r="AU11" s="19">
        <f>MIN(MAX(0,Waterfall!AU24),MAX(0,AU10))*(1-Time!AU20)</f>
        <v/>
      </c>
      <c r="AV11" s="19">
        <f>MIN(MAX(0,Waterfall!AV24),MAX(0,AV10))*(1-Time!AV20)</f>
        <v/>
      </c>
      <c r="AW11" s="19">
        <f>MIN(MAX(0,Waterfall!AW24),MAX(0,AW10))*(1-Time!AW20)</f>
        <v/>
      </c>
      <c r="AX11" s="19">
        <f>MIN(MAX(0,Waterfall!AX24),MAX(0,AX10))*(1-Time!AX20)</f>
        <v/>
      </c>
      <c r="AY11" s="19">
        <f>MIN(MAX(0,Waterfall!AY24),MAX(0,AY10))*(1-Time!AY20)</f>
        <v/>
      </c>
      <c r="AZ11" s="19">
        <f>MIN(MAX(0,Waterfall!AZ24),MAX(0,AZ10))*(1-Time!AZ20)</f>
        <v/>
      </c>
      <c r="BA11" s="19">
        <f>MIN(MAX(0,Waterfall!BA24),MAX(0,BA10))*(1-Time!BA20)</f>
        <v/>
      </c>
      <c r="BB11" s="19">
        <f>MIN(MAX(0,Waterfall!BB24),MAX(0,BB10))*(1-Time!BB20)</f>
        <v/>
      </c>
      <c r="BC11" s="19">
        <f>MIN(MAX(0,Waterfall!BC24),MAX(0,BC10))*(1-Time!BC20)</f>
        <v/>
      </c>
      <c r="BD11" s="19">
        <f>MIN(MAX(0,Waterfall!BD24),MAX(0,BD10))*(1-Time!BD20)</f>
        <v/>
      </c>
      <c r="BE11" s="19">
        <f>MIN(MAX(0,Waterfall!BE24),MAX(0,BE10))*(1-Time!BE20)</f>
        <v/>
      </c>
      <c r="BF11" s="19">
        <f>MIN(MAX(0,Waterfall!BF24),MAX(0,BF10))*(1-Time!BF20)</f>
        <v/>
      </c>
      <c r="BG11" s="19">
        <f>MIN(MAX(0,Waterfall!BG24),MAX(0,BG10))*(1-Time!BG20)</f>
        <v/>
      </c>
      <c r="BH11" s="19">
        <f>MIN(MAX(0,Waterfall!BH24),MAX(0,BH10))*(1-Time!BH20)</f>
        <v/>
      </c>
      <c r="BI11" s="19">
        <f>MIN(MAX(0,Waterfall!BI24),MAX(0,BI10))*(1-Time!BI20)</f>
        <v/>
      </c>
      <c r="BJ11" s="19">
        <f>MIN(MAX(0,Waterfall!BJ24),MAX(0,BJ10))*(1-Time!BJ20)</f>
        <v/>
      </c>
      <c r="BK11" s="19">
        <f>MIN(MAX(0,Waterfall!BK24),MAX(0,BK10))*(1-Time!BK20)</f>
        <v/>
      </c>
      <c r="BL11" s="19">
        <f>MIN(MAX(0,Waterfall!BL24),MAX(0,BL10))*(1-Time!BL20)</f>
        <v/>
      </c>
      <c r="BM11" s="19">
        <f>MIN(MAX(0,Waterfall!BM24),MAX(0,BM10))*(1-Time!BM20)</f>
        <v/>
      </c>
      <c r="BN11" s="19">
        <f>MIN(MAX(0,Waterfall!BN24),MAX(0,BN10))*(1-Time!BN20)</f>
        <v/>
      </c>
      <c r="BO11" s="19">
        <f>MIN(MAX(0,Waterfall!BO24),MAX(0,BO10))*(1-Time!BO20)</f>
        <v/>
      </c>
      <c r="BP11" s="19">
        <f>MIN(MAX(0,Waterfall!BP24),MAX(0,BP10))*(1-Time!BP20)</f>
        <v/>
      </c>
      <c r="BQ11" s="19">
        <f>MIN(MAX(0,Waterfall!BQ24),MAX(0,BQ10))*(1-Time!BQ20)</f>
        <v/>
      </c>
      <c r="BR11" s="19">
        <f>MIN(MAX(0,Waterfall!BR24),MAX(0,BR10))*(1-Time!BR20)</f>
        <v/>
      </c>
      <c r="BS11" s="19">
        <f>MIN(MAX(0,Waterfall!BS24),MAX(0,BS10))*(1-Time!BS20)</f>
        <v/>
      </c>
      <c r="BT11" s="19">
        <f>MIN(MAX(0,Waterfall!BT24),MAX(0,BT10))*(1-Time!BT20)</f>
        <v/>
      </c>
      <c r="BU11" s="19">
        <f>MIN(MAX(0,Waterfall!BU24),MAX(0,BU10))*(1-Time!BU20)</f>
        <v/>
      </c>
      <c r="BV11" s="19">
        <f>MIN(MAX(0,Waterfall!BV24),MAX(0,BV10))*(1-Time!BV20)</f>
        <v/>
      </c>
      <c r="BW11" s="19">
        <f>MIN(MAX(0,Waterfall!BW24),MAX(0,BW10))*(1-Time!BW20)</f>
        <v/>
      </c>
      <c r="BX11" s="19">
        <f>MIN(MAX(0,Waterfall!BX24),MAX(0,BX10))*(1-Time!BX20)</f>
        <v/>
      </c>
      <c r="BY11" s="19">
        <f>MIN(MAX(0,Waterfall!BY24),MAX(0,BY10))*(1-Time!BY20)</f>
        <v/>
      </c>
      <c r="BZ11" s="19">
        <f>MIN(MAX(0,Waterfall!BZ24),MAX(0,BZ10))*(1-Time!BZ20)</f>
        <v/>
      </c>
      <c r="CA11" s="19">
        <f>MIN(MAX(0,Waterfall!CA24),MAX(0,CA10))*(1-Time!CA20)</f>
        <v/>
      </c>
      <c r="CB11" s="19">
        <f>MIN(MAX(0,Waterfall!CB24),MAX(0,CB10))*(1-Time!CB20)</f>
        <v/>
      </c>
      <c r="CC11" s="19">
        <f>MIN(MAX(0,Waterfall!CC24),MAX(0,CC10))*(1-Time!CC20)</f>
        <v/>
      </c>
      <c r="CD11" s="19">
        <f>MIN(MAX(0,Waterfall!CD24),MAX(0,CD10))*(1-Time!CD20)</f>
        <v/>
      </c>
      <c r="CE11" s="19">
        <f>MIN(MAX(0,Waterfall!CE24),MAX(0,CE10))*(1-Time!CE20)</f>
        <v/>
      </c>
      <c r="CF11" s="19">
        <f>MIN(MAX(0,Waterfall!CF24),MAX(0,CF10))*(1-Time!CF20)</f>
        <v/>
      </c>
      <c r="CG11" s="19">
        <f>MIN(MAX(0,Waterfall!CG24),MAX(0,CG10))*(1-Time!CG20)</f>
        <v/>
      </c>
      <c r="CH11" s="19">
        <f>MIN(MAX(0,Waterfall!CH24),MAX(0,CH10))*(1-Time!CH20)</f>
        <v/>
      </c>
      <c r="CI11" s="19">
        <f>MIN(MAX(0,Waterfall!CI24),MAX(0,CI10))*(1-Time!CI20)</f>
        <v/>
      </c>
      <c r="CJ11" s="19">
        <f>MIN(MAX(0,Waterfall!CJ24),MAX(0,CJ10))*(1-Time!CJ20)</f>
        <v/>
      </c>
      <c r="CK11" s="19">
        <f>MIN(MAX(0,Waterfall!CK24),MAX(0,CK10))*(1-Time!CK20)</f>
        <v/>
      </c>
      <c r="CL11" s="19">
        <f>MIN(MAX(0,Waterfall!CL24),MAX(0,CL10))*(1-Time!CL20)</f>
        <v/>
      </c>
      <c r="CM11" s="19">
        <f>MIN(MAX(0,Waterfall!CM24),MAX(0,CM10))*(1-Time!CM20)</f>
        <v/>
      </c>
      <c r="CN11" s="19">
        <f>MIN(MAX(0,Waterfall!CN24),MAX(0,CN10))*(1-Time!CN20)</f>
        <v/>
      </c>
      <c r="CO11" s="19">
        <f>MIN(MAX(0,Waterfall!CO24),MAX(0,CO10))*(1-Time!CO20)</f>
        <v/>
      </c>
      <c r="CP11" s="19">
        <f>MIN(MAX(0,Waterfall!CP24),MAX(0,CP10))*(1-Time!CP20)</f>
        <v/>
      </c>
      <c r="CQ11" s="19">
        <f>MIN(MAX(0,Waterfall!CQ24),MAX(0,CQ10))*(1-Time!CQ20)</f>
        <v/>
      </c>
      <c r="CR11" s="19">
        <f>MIN(MAX(0,Waterfall!CR24),MAX(0,CR10))*(1-Time!CR20)</f>
        <v/>
      </c>
      <c r="CS11" s="19">
        <f>MIN(MAX(0,Waterfall!CS24),MAX(0,CS10))*(1-Time!CS20)</f>
        <v/>
      </c>
      <c r="CT11" s="19">
        <f>MIN(MAX(0,Waterfall!CT24),MAX(0,CT10))*(1-Time!CT20)</f>
        <v/>
      </c>
      <c r="CU11" s="19">
        <f>MIN(MAX(0,Waterfall!CU24),MAX(0,CU10))*(1-Time!CU20)</f>
        <v/>
      </c>
      <c r="CV11" s="19">
        <f>MIN(MAX(0,Waterfall!CV24),MAX(0,CV10))*(1-Time!CV20)</f>
        <v/>
      </c>
      <c r="CW11" s="19">
        <f>MIN(MAX(0,Waterfall!CW24),MAX(0,CW10))*(1-Time!CW20)</f>
        <v/>
      </c>
      <c r="CX11" s="19">
        <f>MIN(MAX(0,Waterfall!CX24),MAX(0,CX10))*(1-Time!CX20)</f>
        <v/>
      </c>
      <c r="CY11" s="19">
        <f>MIN(MAX(0,Waterfall!CY24),MAX(0,CY10))*(1-Time!CY20)</f>
        <v/>
      </c>
      <c r="CZ11" s="19">
        <f>MIN(MAX(0,Waterfall!CZ24),MAX(0,CZ10))*(1-Time!CZ20)</f>
        <v/>
      </c>
      <c r="DA11" s="19">
        <f>MIN(MAX(0,Waterfall!DA24),MAX(0,DA10))*(1-Time!DA20)</f>
        <v/>
      </c>
      <c r="DB11" s="19">
        <f>MIN(MAX(0,Waterfall!DB24),MAX(0,DB10))*(1-Time!DB20)</f>
        <v/>
      </c>
    </row>
    <row r="12">
      <c r="D12" t="inlineStr">
        <is>
          <t>Release of excess</t>
        </is>
      </c>
      <c r="E12" t="inlineStr">
        <is>
          <t>ARD m</t>
        </is>
      </c>
      <c r="G12" s="19">
        <f>SUM(J12:DB12)</f>
        <v/>
      </c>
      <c r="J12" s="19">
        <f>MAX(0,-J10)*(1-Time!J20)</f>
        <v/>
      </c>
      <c r="K12" s="19">
        <f>MAX(0,-K10)*(1-Time!K20)</f>
        <v/>
      </c>
      <c r="L12" s="19">
        <f>MAX(0,-L10)*(1-Time!L20)</f>
        <v/>
      </c>
      <c r="M12" s="19">
        <f>MAX(0,-M10)*(1-Time!M20)</f>
        <v/>
      </c>
      <c r="N12" s="19">
        <f>MAX(0,-N10)*(1-Time!N20)</f>
        <v/>
      </c>
      <c r="O12" s="19">
        <f>MAX(0,-O10)*(1-Time!O20)</f>
        <v/>
      </c>
      <c r="P12" s="19">
        <f>MAX(0,-P10)*(1-Time!P20)</f>
        <v/>
      </c>
      <c r="Q12" s="19">
        <f>MAX(0,-Q10)*(1-Time!Q20)</f>
        <v/>
      </c>
      <c r="R12" s="19">
        <f>MAX(0,-R10)*(1-Time!R20)</f>
        <v/>
      </c>
      <c r="S12" s="19">
        <f>MAX(0,-S10)*(1-Time!S20)</f>
        <v/>
      </c>
      <c r="T12" s="19">
        <f>MAX(0,-T10)*(1-Time!T20)</f>
        <v/>
      </c>
      <c r="U12" s="19">
        <f>MAX(0,-U10)*(1-Time!U20)</f>
        <v/>
      </c>
      <c r="V12" s="19">
        <f>MAX(0,-V10)*(1-Time!V20)</f>
        <v/>
      </c>
      <c r="W12" s="19">
        <f>MAX(0,-W10)*(1-Time!W20)</f>
        <v/>
      </c>
      <c r="X12" s="19">
        <f>MAX(0,-X10)*(1-Time!X20)</f>
        <v/>
      </c>
      <c r="Y12" s="19">
        <f>MAX(0,-Y10)*(1-Time!Y20)</f>
        <v/>
      </c>
      <c r="Z12" s="19">
        <f>MAX(0,-Z10)*(1-Time!Z20)</f>
        <v/>
      </c>
      <c r="AA12" s="19">
        <f>MAX(0,-AA10)*(1-Time!AA20)</f>
        <v/>
      </c>
      <c r="AB12" s="19">
        <f>MAX(0,-AB10)*(1-Time!AB20)</f>
        <v/>
      </c>
      <c r="AC12" s="19">
        <f>MAX(0,-AC10)*(1-Time!AC20)</f>
        <v/>
      </c>
      <c r="AD12" s="19">
        <f>MAX(0,-AD10)*(1-Time!AD20)</f>
        <v/>
      </c>
      <c r="AE12" s="19">
        <f>MAX(0,-AE10)*(1-Time!AE20)</f>
        <v/>
      </c>
      <c r="AF12" s="19">
        <f>MAX(0,-AF10)*(1-Time!AF20)</f>
        <v/>
      </c>
      <c r="AG12" s="19">
        <f>MAX(0,-AG10)*(1-Time!AG20)</f>
        <v/>
      </c>
      <c r="AH12" s="19">
        <f>MAX(0,-AH10)*(1-Time!AH20)</f>
        <v/>
      </c>
      <c r="AI12" s="19">
        <f>MAX(0,-AI10)*(1-Time!AI20)</f>
        <v/>
      </c>
      <c r="AJ12" s="19">
        <f>MAX(0,-AJ10)*(1-Time!AJ20)</f>
        <v/>
      </c>
      <c r="AK12" s="19">
        <f>MAX(0,-AK10)*(1-Time!AK20)</f>
        <v/>
      </c>
      <c r="AL12" s="19">
        <f>MAX(0,-AL10)*(1-Time!AL20)</f>
        <v/>
      </c>
      <c r="AM12" s="19">
        <f>MAX(0,-AM10)*(1-Time!AM20)</f>
        <v/>
      </c>
      <c r="AN12" s="19">
        <f>MAX(0,-AN10)*(1-Time!AN20)</f>
        <v/>
      </c>
      <c r="AO12" s="19">
        <f>MAX(0,-AO10)*(1-Time!AO20)</f>
        <v/>
      </c>
      <c r="AP12" s="19">
        <f>MAX(0,-AP10)*(1-Time!AP20)</f>
        <v/>
      </c>
      <c r="AQ12" s="19">
        <f>MAX(0,-AQ10)*(1-Time!AQ20)</f>
        <v/>
      </c>
      <c r="AR12" s="19">
        <f>MAX(0,-AR10)*(1-Time!AR20)</f>
        <v/>
      </c>
      <c r="AS12" s="19">
        <f>MAX(0,-AS10)*(1-Time!AS20)</f>
        <v/>
      </c>
      <c r="AT12" s="19">
        <f>MAX(0,-AT10)*(1-Time!AT20)</f>
        <v/>
      </c>
      <c r="AU12" s="19">
        <f>MAX(0,-AU10)*(1-Time!AU20)</f>
        <v/>
      </c>
      <c r="AV12" s="19">
        <f>MAX(0,-AV10)*(1-Time!AV20)</f>
        <v/>
      </c>
      <c r="AW12" s="19">
        <f>MAX(0,-AW10)*(1-Time!AW20)</f>
        <v/>
      </c>
      <c r="AX12" s="19">
        <f>MAX(0,-AX10)*(1-Time!AX20)</f>
        <v/>
      </c>
      <c r="AY12" s="19">
        <f>MAX(0,-AY10)*(1-Time!AY20)</f>
        <v/>
      </c>
      <c r="AZ12" s="19">
        <f>MAX(0,-AZ10)*(1-Time!AZ20)</f>
        <v/>
      </c>
      <c r="BA12" s="19">
        <f>MAX(0,-BA10)*(1-Time!BA20)</f>
        <v/>
      </c>
      <c r="BB12" s="19">
        <f>MAX(0,-BB10)*(1-Time!BB20)</f>
        <v/>
      </c>
      <c r="BC12" s="19">
        <f>MAX(0,-BC10)*(1-Time!BC20)</f>
        <v/>
      </c>
      <c r="BD12" s="19">
        <f>MAX(0,-BD10)*(1-Time!BD20)</f>
        <v/>
      </c>
      <c r="BE12" s="19">
        <f>MAX(0,-BE10)*(1-Time!BE20)</f>
        <v/>
      </c>
      <c r="BF12" s="19">
        <f>MAX(0,-BF10)*(1-Time!BF20)</f>
        <v/>
      </c>
      <c r="BG12" s="19">
        <f>MAX(0,-BG10)*(1-Time!BG20)</f>
        <v/>
      </c>
      <c r="BH12" s="19">
        <f>MAX(0,-BH10)*(1-Time!BH20)</f>
        <v/>
      </c>
      <c r="BI12" s="19">
        <f>MAX(0,-BI10)*(1-Time!BI20)</f>
        <v/>
      </c>
      <c r="BJ12" s="19">
        <f>MAX(0,-BJ10)*(1-Time!BJ20)</f>
        <v/>
      </c>
      <c r="BK12" s="19">
        <f>MAX(0,-BK10)*(1-Time!BK20)</f>
        <v/>
      </c>
      <c r="BL12" s="19">
        <f>MAX(0,-BL10)*(1-Time!BL20)</f>
        <v/>
      </c>
      <c r="BM12" s="19">
        <f>MAX(0,-BM10)*(1-Time!BM20)</f>
        <v/>
      </c>
      <c r="BN12" s="19">
        <f>MAX(0,-BN10)*(1-Time!BN20)</f>
        <v/>
      </c>
      <c r="BO12" s="19">
        <f>MAX(0,-BO10)*(1-Time!BO20)</f>
        <v/>
      </c>
      <c r="BP12" s="19">
        <f>MAX(0,-BP10)*(1-Time!BP20)</f>
        <v/>
      </c>
      <c r="BQ12" s="19">
        <f>MAX(0,-BQ10)*(1-Time!BQ20)</f>
        <v/>
      </c>
      <c r="BR12" s="19">
        <f>MAX(0,-BR10)*(1-Time!BR20)</f>
        <v/>
      </c>
      <c r="BS12" s="19">
        <f>MAX(0,-BS10)*(1-Time!BS20)</f>
        <v/>
      </c>
      <c r="BT12" s="19">
        <f>MAX(0,-BT10)*(1-Time!BT20)</f>
        <v/>
      </c>
      <c r="BU12" s="19">
        <f>MAX(0,-BU10)*(1-Time!BU20)</f>
        <v/>
      </c>
      <c r="BV12" s="19">
        <f>MAX(0,-BV10)*(1-Time!BV20)</f>
        <v/>
      </c>
      <c r="BW12" s="19">
        <f>MAX(0,-BW10)*(1-Time!BW20)</f>
        <v/>
      </c>
      <c r="BX12" s="19">
        <f>MAX(0,-BX10)*(1-Time!BX20)</f>
        <v/>
      </c>
      <c r="BY12" s="19">
        <f>MAX(0,-BY10)*(1-Time!BY20)</f>
        <v/>
      </c>
      <c r="BZ12" s="19">
        <f>MAX(0,-BZ10)*(1-Time!BZ20)</f>
        <v/>
      </c>
      <c r="CA12" s="19">
        <f>MAX(0,-CA10)*(1-Time!CA20)</f>
        <v/>
      </c>
      <c r="CB12" s="19">
        <f>MAX(0,-CB10)*(1-Time!CB20)</f>
        <v/>
      </c>
      <c r="CC12" s="19">
        <f>MAX(0,-CC10)*(1-Time!CC20)</f>
        <v/>
      </c>
      <c r="CD12" s="19">
        <f>MAX(0,-CD10)*(1-Time!CD20)</f>
        <v/>
      </c>
      <c r="CE12" s="19">
        <f>MAX(0,-CE10)*(1-Time!CE20)</f>
        <v/>
      </c>
      <c r="CF12" s="19">
        <f>MAX(0,-CF10)*(1-Time!CF20)</f>
        <v/>
      </c>
      <c r="CG12" s="19">
        <f>MAX(0,-CG10)*(1-Time!CG20)</f>
        <v/>
      </c>
      <c r="CH12" s="19">
        <f>MAX(0,-CH10)*(1-Time!CH20)</f>
        <v/>
      </c>
      <c r="CI12" s="19">
        <f>MAX(0,-CI10)*(1-Time!CI20)</f>
        <v/>
      </c>
      <c r="CJ12" s="19">
        <f>MAX(0,-CJ10)*(1-Time!CJ20)</f>
        <v/>
      </c>
      <c r="CK12" s="19">
        <f>MAX(0,-CK10)*(1-Time!CK20)</f>
        <v/>
      </c>
      <c r="CL12" s="19">
        <f>MAX(0,-CL10)*(1-Time!CL20)</f>
        <v/>
      </c>
      <c r="CM12" s="19">
        <f>MAX(0,-CM10)*(1-Time!CM20)</f>
        <v/>
      </c>
      <c r="CN12" s="19">
        <f>MAX(0,-CN10)*(1-Time!CN20)</f>
        <v/>
      </c>
      <c r="CO12" s="19">
        <f>MAX(0,-CO10)*(1-Time!CO20)</f>
        <v/>
      </c>
      <c r="CP12" s="19">
        <f>MAX(0,-CP10)*(1-Time!CP20)</f>
        <v/>
      </c>
      <c r="CQ12" s="19">
        <f>MAX(0,-CQ10)*(1-Time!CQ20)</f>
        <v/>
      </c>
      <c r="CR12" s="19">
        <f>MAX(0,-CR10)*(1-Time!CR20)</f>
        <v/>
      </c>
      <c r="CS12" s="19">
        <f>MAX(0,-CS10)*(1-Time!CS20)</f>
        <v/>
      </c>
      <c r="CT12" s="19">
        <f>MAX(0,-CT10)*(1-Time!CT20)</f>
        <v/>
      </c>
      <c r="CU12" s="19">
        <f>MAX(0,-CU10)*(1-Time!CU20)</f>
        <v/>
      </c>
      <c r="CV12" s="19">
        <f>MAX(0,-CV10)*(1-Time!CV20)</f>
        <v/>
      </c>
      <c r="CW12" s="19">
        <f>MAX(0,-CW10)*(1-Time!CW20)</f>
        <v/>
      </c>
      <c r="CX12" s="19">
        <f>MAX(0,-CX10)*(1-Time!CX20)</f>
        <v/>
      </c>
      <c r="CY12" s="19">
        <f>MAX(0,-CY10)*(1-Time!CY20)</f>
        <v/>
      </c>
      <c r="CZ12" s="19">
        <f>MAX(0,-CZ10)*(1-Time!CZ20)</f>
        <v/>
      </c>
      <c r="DA12" s="19">
        <f>MAX(0,-DA10)*(1-Time!DA20)</f>
        <v/>
      </c>
      <c r="DB12" s="19">
        <f>MAX(0,-DB10)*(1-Time!DB20)</f>
        <v/>
      </c>
    </row>
    <row r="13">
      <c r="D13" t="inlineStr">
        <is>
          <t>DSRA: closing</t>
        </is>
      </c>
      <c r="E13" t="inlineStr">
        <is>
          <t>ARD m</t>
        </is>
      </c>
      <c r="J13" s="19">
        <f>IF(Time!J20=1,J8+Funding!J21,J9+J11-J12)</f>
        <v/>
      </c>
      <c r="K13" s="19">
        <f>IF(Time!K20=1,K8+Funding!K21,K9+K11-K12)</f>
        <v/>
      </c>
      <c r="L13" s="19">
        <f>IF(Time!L20=1,L8+Funding!L21,L9+L11-L12)</f>
        <v/>
      </c>
      <c r="M13" s="19">
        <f>IF(Time!M20=1,M8+Funding!M21,M9+M11-M12)</f>
        <v/>
      </c>
      <c r="N13" s="19">
        <f>IF(Time!N20=1,N8+Funding!N21,N9+N11-N12)</f>
        <v/>
      </c>
      <c r="O13" s="19">
        <f>IF(Time!O20=1,O8+Funding!O21,O9+O11-O12)</f>
        <v/>
      </c>
      <c r="P13" s="19">
        <f>IF(Time!P20=1,P8+Funding!P21,P9+P11-P12)</f>
        <v/>
      </c>
      <c r="Q13" s="19">
        <f>IF(Time!Q20=1,Q8+Funding!Q21,Q9+Q11-Q12)</f>
        <v/>
      </c>
      <c r="R13" s="19">
        <f>IF(Time!R20=1,R8+Funding!R21,R9+R11-R12)</f>
        <v/>
      </c>
      <c r="S13" s="19">
        <f>IF(Time!S20=1,S8+Funding!S21,S9+S11-S12)</f>
        <v/>
      </c>
      <c r="T13" s="19">
        <f>IF(Time!T20=1,T8+Funding!T21,T9+T11-T12)</f>
        <v/>
      </c>
      <c r="U13" s="19">
        <f>IF(Time!U20=1,U8+Funding!U21,U9+U11-U12)</f>
        <v/>
      </c>
      <c r="V13" s="19">
        <f>IF(Time!V20=1,V8+Funding!V21,V9+V11-V12)</f>
        <v/>
      </c>
      <c r="W13" s="19">
        <f>IF(Time!W20=1,W8+Funding!W21,W9+W11-W12)</f>
        <v/>
      </c>
      <c r="X13" s="19">
        <f>IF(Time!X20=1,X8+Funding!X21,X9+X11-X12)</f>
        <v/>
      </c>
      <c r="Y13" s="19">
        <f>IF(Time!Y20=1,Y8+Funding!Y21,Y9+Y11-Y12)</f>
        <v/>
      </c>
      <c r="Z13" s="19">
        <f>IF(Time!Z20=1,Z8+Funding!Z21,Z9+Z11-Z12)</f>
        <v/>
      </c>
      <c r="AA13" s="19">
        <f>IF(Time!AA20=1,AA8+Funding!AA21,AA9+AA11-AA12)</f>
        <v/>
      </c>
      <c r="AB13" s="19">
        <f>IF(Time!AB20=1,AB8+Funding!AB21,AB9+AB11-AB12)</f>
        <v/>
      </c>
      <c r="AC13" s="19">
        <f>IF(Time!AC20=1,AC8+Funding!AC21,AC9+AC11-AC12)</f>
        <v/>
      </c>
      <c r="AD13" s="19">
        <f>IF(Time!AD20=1,AD8+Funding!AD21,AD9+AD11-AD12)</f>
        <v/>
      </c>
      <c r="AE13" s="19">
        <f>IF(Time!AE20=1,AE8+Funding!AE21,AE9+AE11-AE12)</f>
        <v/>
      </c>
      <c r="AF13" s="19">
        <f>IF(Time!AF20=1,AF8+Funding!AF21,AF9+AF11-AF12)</f>
        <v/>
      </c>
      <c r="AG13" s="19">
        <f>IF(Time!AG20=1,AG8+Funding!AG21,AG9+AG11-AG12)</f>
        <v/>
      </c>
      <c r="AH13" s="19">
        <f>IF(Time!AH20=1,AH8+Funding!AH21,AH9+AH11-AH12)</f>
        <v/>
      </c>
      <c r="AI13" s="19">
        <f>IF(Time!AI20=1,AI8+Funding!AI21,AI9+AI11-AI12)</f>
        <v/>
      </c>
      <c r="AJ13" s="19">
        <f>IF(Time!AJ20=1,AJ8+Funding!AJ21,AJ9+AJ11-AJ12)</f>
        <v/>
      </c>
      <c r="AK13" s="19">
        <f>IF(Time!AK20=1,AK8+Funding!AK21,AK9+AK11-AK12)</f>
        <v/>
      </c>
      <c r="AL13" s="19">
        <f>IF(Time!AL20=1,AL8+Funding!AL21,AL9+AL11-AL12)</f>
        <v/>
      </c>
      <c r="AM13" s="19">
        <f>IF(Time!AM20=1,AM8+Funding!AM21,AM9+AM11-AM12)</f>
        <v/>
      </c>
      <c r="AN13" s="19">
        <f>IF(Time!AN20=1,AN8+Funding!AN21,AN9+AN11-AN12)</f>
        <v/>
      </c>
      <c r="AO13" s="19">
        <f>IF(Time!AO20=1,AO8+Funding!AO21,AO9+AO11-AO12)</f>
        <v/>
      </c>
      <c r="AP13" s="19">
        <f>IF(Time!AP20=1,AP8+Funding!AP21,AP9+AP11-AP12)</f>
        <v/>
      </c>
      <c r="AQ13" s="19">
        <f>IF(Time!AQ20=1,AQ8+Funding!AQ21,AQ9+AQ11-AQ12)</f>
        <v/>
      </c>
      <c r="AR13" s="19">
        <f>IF(Time!AR20=1,AR8+Funding!AR21,AR9+AR11-AR12)</f>
        <v/>
      </c>
      <c r="AS13" s="19">
        <f>IF(Time!AS20=1,AS8+Funding!AS21,AS9+AS11-AS12)</f>
        <v/>
      </c>
      <c r="AT13" s="19">
        <f>IF(Time!AT20=1,AT8+Funding!AT21,AT9+AT11-AT12)</f>
        <v/>
      </c>
      <c r="AU13" s="19">
        <f>IF(Time!AU20=1,AU8+Funding!AU21,AU9+AU11-AU12)</f>
        <v/>
      </c>
      <c r="AV13" s="19">
        <f>IF(Time!AV20=1,AV8+Funding!AV21,AV9+AV11-AV12)</f>
        <v/>
      </c>
      <c r="AW13" s="19">
        <f>IF(Time!AW20=1,AW8+Funding!AW21,AW9+AW11-AW12)</f>
        <v/>
      </c>
      <c r="AX13" s="19">
        <f>IF(Time!AX20=1,AX8+Funding!AX21,AX9+AX11-AX12)</f>
        <v/>
      </c>
      <c r="AY13" s="19">
        <f>IF(Time!AY20=1,AY8+Funding!AY21,AY9+AY11-AY12)</f>
        <v/>
      </c>
      <c r="AZ13" s="19">
        <f>IF(Time!AZ20=1,AZ8+Funding!AZ21,AZ9+AZ11-AZ12)</f>
        <v/>
      </c>
      <c r="BA13" s="19">
        <f>IF(Time!BA20=1,BA8+Funding!BA21,BA9+BA11-BA12)</f>
        <v/>
      </c>
      <c r="BB13" s="19">
        <f>IF(Time!BB20=1,BB8+Funding!BB21,BB9+BB11-BB12)</f>
        <v/>
      </c>
      <c r="BC13" s="19">
        <f>IF(Time!BC20=1,BC8+Funding!BC21,BC9+BC11-BC12)</f>
        <v/>
      </c>
      <c r="BD13" s="19">
        <f>IF(Time!BD20=1,BD8+Funding!BD21,BD9+BD11-BD12)</f>
        <v/>
      </c>
      <c r="BE13" s="19">
        <f>IF(Time!BE20=1,BE8+Funding!BE21,BE9+BE11-BE12)</f>
        <v/>
      </c>
      <c r="BF13" s="19">
        <f>IF(Time!BF20=1,BF8+Funding!BF21,BF9+BF11-BF12)</f>
        <v/>
      </c>
      <c r="BG13" s="19">
        <f>IF(Time!BG20=1,BG8+Funding!BG21,BG9+BG11-BG12)</f>
        <v/>
      </c>
      <c r="BH13" s="19">
        <f>IF(Time!BH20=1,BH8+Funding!BH21,BH9+BH11-BH12)</f>
        <v/>
      </c>
      <c r="BI13" s="19">
        <f>IF(Time!BI20=1,BI8+Funding!BI21,BI9+BI11-BI12)</f>
        <v/>
      </c>
      <c r="BJ13" s="19">
        <f>IF(Time!BJ20=1,BJ8+Funding!BJ21,BJ9+BJ11-BJ12)</f>
        <v/>
      </c>
      <c r="BK13" s="19">
        <f>IF(Time!BK20=1,BK8+Funding!BK21,BK9+BK11-BK12)</f>
        <v/>
      </c>
      <c r="BL13" s="19">
        <f>IF(Time!BL20=1,BL8+Funding!BL21,BL9+BL11-BL12)</f>
        <v/>
      </c>
      <c r="BM13" s="19">
        <f>IF(Time!BM20=1,BM8+Funding!BM21,BM9+BM11-BM12)</f>
        <v/>
      </c>
      <c r="BN13" s="19">
        <f>IF(Time!BN20=1,BN8+Funding!BN21,BN9+BN11-BN12)</f>
        <v/>
      </c>
      <c r="BO13" s="19">
        <f>IF(Time!BO20=1,BO8+Funding!BO21,BO9+BO11-BO12)</f>
        <v/>
      </c>
      <c r="BP13" s="19">
        <f>IF(Time!BP20=1,BP8+Funding!BP21,BP9+BP11-BP12)</f>
        <v/>
      </c>
      <c r="BQ13" s="19">
        <f>IF(Time!BQ20=1,BQ8+Funding!BQ21,BQ9+BQ11-BQ12)</f>
        <v/>
      </c>
      <c r="BR13" s="19">
        <f>IF(Time!BR20=1,BR8+Funding!BR21,BR9+BR11-BR12)</f>
        <v/>
      </c>
      <c r="BS13" s="19">
        <f>IF(Time!BS20=1,BS8+Funding!BS21,BS9+BS11-BS12)</f>
        <v/>
      </c>
      <c r="BT13" s="19">
        <f>IF(Time!BT20=1,BT8+Funding!BT21,BT9+BT11-BT12)</f>
        <v/>
      </c>
      <c r="BU13" s="19">
        <f>IF(Time!BU20=1,BU8+Funding!BU21,BU9+BU11-BU12)</f>
        <v/>
      </c>
      <c r="BV13" s="19">
        <f>IF(Time!BV20=1,BV8+Funding!BV21,BV9+BV11-BV12)</f>
        <v/>
      </c>
      <c r="BW13" s="19">
        <f>IF(Time!BW20=1,BW8+Funding!BW21,BW9+BW11-BW12)</f>
        <v/>
      </c>
      <c r="BX13" s="19">
        <f>IF(Time!BX20=1,BX8+Funding!BX21,BX9+BX11-BX12)</f>
        <v/>
      </c>
      <c r="BY13" s="19">
        <f>IF(Time!BY20=1,BY8+Funding!BY21,BY9+BY11-BY12)</f>
        <v/>
      </c>
      <c r="BZ13" s="19">
        <f>IF(Time!BZ20=1,BZ8+Funding!BZ21,BZ9+BZ11-BZ12)</f>
        <v/>
      </c>
      <c r="CA13" s="19">
        <f>IF(Time!CA20=1,CA8+Funding!CA21,CA9+CA11-CA12)</f>
        <v/>
      </c>
      <c r="CB13" s="19">
        <f>IF(Time!CB20=1,CB8+Funding!CB21,CB9+CB11-CB12)</f>
        <v/>
      </c>
      <c r="CC13" s="19">
        <f>IF(Time!CC20=1,CC8+Funding!CC21,CC9+CC11-CC12)</f>
        <v/>
      </c>
      <c r="CD13" s="19">
        <f>IF(Time!CD20=1,CD8+Funding!CD21,CD9+CD11-CD12)</f>
        <v/>
      </c>
      <c r="CE13" s="19">
        <f>IF(Time!CE20=1,CE8+Funding!CE21,CE9+CE11-CE12)</f>
        <v/>
      </c>
      <c r="CF13" s="19">
        <f>IF(Time!CF20=1,CF8+Funding!CF21,CF9+CF11-CF12)</f>
        <v/>
      </c>
      <c r="CG13" s="19">
        <f>IF(Time!CG20=1,CG8+Funding!CG21,CG9+CG11-CG12)</f>
        <v/>
      </c>
      <c r="CH13" s="19">
        <f>IF(Time!CH20=1,CH8+Funding!CH21,CH9+CH11-CH12)</f>
        <v/>
      </c>
      <c r="CI13" s="19">
        <f>IF(Time!CI20=1,CI8+Funding!CI21,CI9+CI11-CI12)</f>
        <v/>
      </c>
      <c r="CJ13" s="19">
        <f>IF(Time!CJ20=1,CJ8+Funding!CJ21,CJ9+CJ11-CJ12)</f>
        <v/>
      </c>
      <c r="CK13" s="19">
        <f>IF(Time!CK20=1,CK8+Funding!CK21,CK9+CK11-CK12)</f>
        <v/>
      </c>
      <c r="CL13" s="19">
        <f>IF(Time!CL20=1,CL8+Funding!CL21,CL9+CL11-CL12)</f>
        <v/>
      </c>
      <c r="CM13" s="19">
        <f>IF(Time!CM20=1,CM8+Funding!CM21,CM9+CM11-CM12)</f>
        <v/>
      </c>
      <c r="CN13" s="19">
        <f>IF(Time!CN20=1,CN8+Funding!CN21,CN9+CN11-CN12)</f>
        <v/>
      </c>
      <c r="CO13" s="19">
        <f>IF(Time!CO20=1,CO8+Funding!CO21,CO9+CO11-CO12)</f>
        <v/>
      </c>
      <c r="CP13" s="19">
        <f>IF(Time!CP20=1,CP8+Funding!CP21,CP9+CP11-CP12)</f>
        <v/>
      </c>
      <c r="CQ13" s="19">
        <f>IF(Time!CQ20=1,CQ8+Funding!CQ21,CQ9+CQ11-CQ12)</f>
        <v/>
      </c>
      <c r="CR13" s="19">
        <f>IF(Time!CR20=1,CR8+Funding!CR21,CR9+CR11-CR12)</f>
        <v/>
      </c>
      <c r="CS13" s="19">
        <f>IF(Time!CS20=1,CS8+Funding!CS21,CS9+CS11-CS12)</f>
        <v/>
      </c>
      <c r="CT13" s="19">
        <f>IF(Time!CT20=1,CT8+Funding!CT21,CT9+CT11-CT12)</f>
        <v/>
      </c>
      <c r="CU13" s="19">
        <f>IF(Time!CU20=1,CU8+Funding!CU21,CU9+CU11-CU12)</f>
        <v/>
      </c>
      <c r="CV13" s="19">
        <f>IF(Time!CV20=1,CV8+Funding!CV21,CV9+CV11-CV12)</f>
        <v/>
      </c>
      <c r="CW13" s="19">
        <f>IF(Time!CW20=1,CW8+Funding!CW21,CW9+CW11-CW12)</f>
        <v/>
      </c>
      <c r="CX13" s="19">
        <f>IF(Time!CX20=1,CX8+Funding!CX21,CX9+CX11-CX12)</f>
        <v/>
      </c>
      <c r="CY13" s="19">
        <f>IF(Time!CY20=1,CY8+Funding!CY21,CY9+CY11-CY12)</f>
        <v/>
      </c>
      <c r="CZ13" s="19">
        <f>IF(Time!CZ20=1,CZ8+Funding!CZ21,CZ9+CZ11-CZ12)</f>
        <v/>
      </c>
      <c r="DA13" s="19">
        <f>IF(Time!DA20=1,DA8+Funding!DA21,DA9+DA11-DA12)</f>
        <v/>
      </c>
      <c r="DB13" s="19">
        <f>IF(Time!DB20=1,DB8+Funding!DB21,DB9+DB11-DB12)</f>
        <v/>
      </c>
    </row>
    <row r="14">
      <c r="D14" s="3" t="inlineStr">
        <is>
          <t>Ramp-up interest account</t>
        </is>
      </c>
    </row>
    <row r="15">
      <c r="D15" t="inlineStr">
        <is>
          <t>Opening</t>
        </is>
      </c>
      <c r="E15" t="inlineStr">
        <is>
          <t>ARD m</t>
        </is>
      </c>
      <c r="J15" s="19">
        <f>I16</f>
        <v/>
      </c>
      <c r="K15" s="19">
        <f>J16</f>
        <v/>
      </c>
      <c r="L15" s="19">
        <f>K16</f>
        <v/>
      </c>
      <c r="M15" s="19">
        <f>L16</f>
        <v/>
      </c>
      <c r="N15" s="19">
        <f>M16</f>
        <v/>
      </c>
      <c r="O15" s="19">
        <f>N16</f>
        <v/>
      </c>
      <c r="P15" s="19">
        <f>O16</f>
        <v/>
      </c>
      <c r="Q15" s="19">
        <f>P16</f>
        <v/>
      </c>
      <c r="R15" s="19">
        <f>Q16</f>
        <v/>
      </c>
      <c r="S15" s="19">
        <f>R16</f>
        <v/>
      </c>
      <c r="T15" s="19">
        <f>S16</f>
        <v/>
      </c>
      <c r="U15" s="19">
        <f>T16</f>
        <v/>
      </c>
      <c r="V15" s="19">
        <f>U16</f>
        <v/>
      </c>
      <c r="W15" s="19">
        <f>V16</f>
        <v/>
      </c>
      <c r="X15" s="19">
        <f>W16</f>
        <v/>
      </c>
      <c r="Y15" s="19">
        <f>X16</f>
        <v/>
      </c>
      <c r="Z15" s="19">
        <f>Y16</f>
        <v/>
      </c>
      <c r="AA15" s="19">
        <f>Z16</f>
        <v/>
      </c>
      <c r="AB15" s="19">
        <f>AA16</f>
        <v/>
      </c>
      <c r="AC15" s="19">
        <f>AB16</f>
        <v/>
      </c>
      <c r="AD15" s="19">
        <f>AC16</f>
        <v/>
      </c>
      <c r="AE15" s="19">
        <f>AD16</f>
        <v/>
      </c>
      <c r="AF15" s="19">
        <f>AE16</f>
        <v/>
      </c>
      <c r="AG15" s="19">
        <f>AF16</f>
        <v/>
      </c>
      <c r="AH15" s="19">
        <f>AG16</f>
        <v/>
      </c>
      <c r="AI15" s="19">
        <f>AH16</f>
        <v/>
      </c>
      <c r="AJ15" s="19">
        <f>AI16</f>
        <v/>
      </c>
      <c r="AK15" s="19">
        <f>AJ16</f>
        <v/>
      </c>
      <c r="AL15" s="19">
        <f>AK16</f>
        <v/>
      </c>
      <c r="AM15" s="19">
        <f>AL16</f>
        <v/>
      </c>
      <c r="AN15" s="19">
        <f>AM16</f>
        <v/>
      </c>
      <c r="AO15" s="19">
        <f>AN16</f>
        <v/>
      </c>
      <c r="AP15" s="19">
        <f>AO16</f>
        <v/>
      </c>
      <c r="AQ15" s="19">
        <f>AP16</f>
        <v/>
      </c>
      <c r="AR15" s="19">
        <f>AQ16</f>
        <v/>
      </c>
      <c r="AS15" s="19">
        <f>AR16</f>
        <v/>
      </c>
      <c r="AT15" s="19">
        <f>AS16</f>
        <v/>
      </c>
      <c r="AU15" s="19">
        <f>AT16</f>
        <v/>
      </c>
      <c r="AV15" s="19">
        <f>AU16</f>
        <v/>
      </c>
      <c r="AW15" s="19">
        <f>AV16</f>
        <v/>
      </c>
      <c r="AX15" s="19">
        <f>AW16</f>
        <v/>
      </c>
      <c r="AY15" s="19">
        <f>AX16</f>
        <v/>
      </c>
      <c r="AZ15" s="19">
        <f>AY16</f>
        <v/>
      </c>
      <c r="BA15" s="19">
        <f>AZ16</f>
        <v/>
      </c>
      <c r="BB15" s="19">
        <f>BA16</f>
        <v/>
      </c>
      <c r="BC15" s="19">
        <f>BB16</f>
        <v/>
      </c>
      <c r="BD15" s="19">
        <f>BC16</f>
        <v/>
      </c>
      <c r="BE15" s="19">
        <f>BD16</f>
        <v/>
      </c>
      <c r="BF15" s="19">
        <f>BE16</f>
        <v/>
      </c>
      <c r="BG15" s="19">
        <f>BF16</f>
        <v/>
      </c>
      <c r="BH15" s="19">
        <f>BG16</f>
        <v/>
      </c>
      <c r="BI15" s="19">
        <f>BH16</f>
        <v/>
      </c>
      <c r="BJ15" s="19">
        <f>BI16</f>
        <v/>
      </c>
      <c r="BK15" s="19">
        <f>BJ16</f>
        <v/>
      </c>
      <c r="BL15" s="19">
        <f>BK16</f>
        <v/>
      </c>
      <c r="BM15" s="19">
        <f>BL16</f>
        <v/>
      </c>
      <c r="BN15" s="19">
        <f>BM16</f>
        <v/>
      </c>
      <c r="BO15" s="19">
        <f>BN16</f>
        <v/>
      </c>
      <c r="BP15" s="19">
        <f>BO16</f>
        <v/>
      </c>
      <c r="BQ15" s="19">
        <f>BP16</f>
        <v/>
      </c>
      <c r="BR15" s="19">
        <f>BQ16</f>
        <v/>
      </c>
      <c r="BS15" s="19">
        <f>BR16</f>
        <v/>
      </c>
      <c r="BT15" s="19">
        <f>BS16</f>
        <v/>
      </c>
      <c r="BU15" s="19">
        <f>BT16</f>
        <v/>
      </c>
      <c r="BV15" s="19">
        <f>BU16</f>
        <v/>
      </c>
      <c r="BW15" s="19">
        <f>BV16</f>
        <v/>
      </c>
      <c r="BX15" s="19">
        <f>BW16</f>
        <v/>
      </c>
      <c r="BY15" s="19">
        <f>BX16</f>
        <v/>
      </c>
      <c r="BZ15" s="19">
        <f>BY16</f>
        <v/>
      </c>
      <c r="CA15" s="19">
        <f>BZ16</f>
        <v/>
      </c>
      <c r="CB15" s="19">
        <f>CA16</f>
        <v/>
      </c>
      <c r="CC15" s="19">
        <f>CB16</f>
        <v/>
      </c>
      <c r="CD15" s="19">
        <f>CC16</f>
        <v/>
      </c>
      <c r="CE15" s="19">
        <f>CD16</f>
        <v/>
      </c>
      <c r="CF15" s="19">
        <f>CE16</f>
        <v/>
      </c>
      <c r="CG15" s="19">
        <f>CF16</f>
        <v/>
      </c>
      <c r="CH15" s="19">
        <f>CG16</f>
        <v/>
      </c>
      <c r="CI15" s="19">
        <f>CH16</f>
        <v/>
      </c>
      <c r="CJ15" s="19">
        <f>CI16</f>
        <v/>
      </c>
      <c r="CK15" s="19">
        <f>CJ16</f>
        <v/>
      </c>
      <c r="CL15" s="19">
        <f>CK16</f>
        <v/>
      </c>
      <c r="CM15" s="19">
        <f>CL16</f>
        <v/>
      </c>
      <c r="CN15" s="19">
        <f>CM16</f>
        <v/>
      </c>
      <c r="CO15" s="19">
        <f>CN16</f>
        <v/>
      </c>
      <c r="CP15" s="19">
        <f>CO16</f>
        <v/>
      </c>
      <c r="CQ15" s="19">
        <f>CP16</f>
        <v/>
      </c>
      <c r="CR15" s="19">
        <f>CQ16</f>
        <v/>
      </c>
      <c r="CS15" s="19">
        <f>CR16</f>
        <v/>
      </c>
      <c r="CT15" s="19">
        <f>CS16</f>
        <v/>
      </c>
      <c r="CU15" s="19">
        <f>CT16</f>
        <v/>
      </c>
      <c r="CV15" s="19">
        <f>CU16</f>
        <v/>
      </c>
      <c r="CW15" s="19">
        <f>CV16</f>
        <v/>
      </c>
      <c r="CX15" s="19">
        <f>CW16</f>
        <v/>
      </c>
      <c r="CY15" s="19">
        <f>CX16</f>
        <v/>
      </c>
      <c r="CZ15" s="19">
        <f>CY16</f>
        <v/>
      </c>
      <c r="DA15" s="19">
        <f>CZ16</f>
        <v/>
      </c>
      <c r="DB15" s="19">
        <f>DA16</f>
        <v/>
      </c>
    </row>
    <row r="16">
      <c r="D16" t="inlineStr">
        <is>
          <t>Closing</t>
        </is>
      </c>
      <c r="E16" t="inlineStr">
        <is>
          <t>ARD m</t>
        </is>
      </c>
      <c r="J16" s="19">
        <f>J15+Funding!J22-Debt!J39</f>
        <v/>
      </c>
      <c r="K16" s="19">
        <f>K15+Funding!K22-Debt!K39</f>
        <v/>
      </c>
      <c r="L16" s="19">
        <f>L15+Funding!L22-Debt!L39</f>
        <v/>
      </c>
      <c r="M16" s="19">
        <f>M15+Funding!M22-Debt!M39</f>
        <v/>
      </c>
      <c r="N16" s="19">
        <f>N15+Funding!N22-Debt!N39</f>
        <v/>
      </c>
      <c r="O16" s="19">
        <f>O15+Funding!O22-Debt!O39</f>
        <v/>
      </c>
      <c r="P16" s="19">
        <f>P15+Funding!P22-Debt!P39</f>
        <v/>
      </c>
      <c r="Q16" s="19">
        <f>Q15+Funding!Q22-Debt!Q39</f>
        <v/>
      </c>
      <c r="R16" s="19">
        <f>R15+Funding!R22-Debt!R39</f>
        <v/>
      </c>
      <c r="S16" s="19">
        <f>S15+Funding!S22-Debt!S39</f>
        <v/>
      </c>
      <c r="T16" s="19">
        <f>T15+Funding!T22-Debt!T39</f>
        <v/>
      </c>
      <c r="U16" s="19">
        <f>U15+Funding!U22-Debt!U39</f>
        <v/>
      </c>
      <c r="V16" s="19">
        <f>V15+Funding!V22-Debt!V39</f>
        <v/>
      </c>
      <c r="W16" s="19">
        <f>W15+Funding!W22-Debt!W39</f>
        <v/>
      </c>
      <c r="X16" s="19">
        <f>X15+Funding!X22-Debt!X39</f>
        <v/>
      </c>
      <c r="Y16" s="19">
        <f>Y15+Funding!Y22-Debt!Y39</f>
        <v/>
      </c>
      <c r="Z16" s="19">
        <f>Z15+Funding!Z22-Debt!Z39</f>
        <v/>
      </c>
      <c r="AA16" s="19">
        <f>AA15+Funding!AA22-Debt!AA39</f>
        <v/>
      </c>
      <c r="AB16" s="19">
        <f>AB15+Funding!AB22-Debt!AB39</f>
        <v/>
      </c>
      <c r="AC16" s="19">
        <f>AC15+Funding!AC22-Debt!AC39</f>
        <v/>
      </c>
      <c r="AD16" s="19">
        <f>AD15+Funding!AD22-Debt!AD39</f>
        <v/>
      </c>
      <c r="AE16" s="19">
        <f>AE15+Funding!AE22-Debt!AE39</f>
        <v/>
      </c>
      <c r="AF16" s="19">
        <f>AF15+Funding!AF22-Debt!AF39</f>
        <v/>
      </c>
      <c r="AG16" s="19">
        <f>AG15+Funding!AG22-Debt!AG39</f>
        <v/>
      </c>
      <c r="AH16" s="19">
        <f>AH15+Funding!AH22-Debt!AH39</f>
        <v/>
      </c>
      <c r="AI16" s="19">
        <f>AI15+Funding!AI22-Debt!AI39</f>
        <v/>
      </c>
      <c r="AJ16" s="19">
        <f>AJ15+Funding!AJ22-Debt!AJ39</f>
        <v/>
      </c>
      <c r="AK16" s="19">
        <f>AK15+Funding!AK22-Debt!AK39</f>
        <v/>
      </c>
      <c r="AL16" s="19">
        <f>AL15+Funding!AL22-Debt!AL39</f>
        <v/>
      </c>
      <c r="AM16" s="19">
        <f>AM15+Funding!AM22-Debt!AM39</f>
        <v/>
      </c>
      <c r="AN16" s="19">
        <f>AN15+Funding!AN22-Debt!AN39</f>
        <v/>
      </c>
      <c r="AO16" s="19">
        <f>AO15+Funding!AO22-Debt!AO39</f>
        <v/>
      </c>
      <c r="AP16" s="19">
        <f>AP15+Funding!AP22-Debt!AP39</f>
        <v/>
      </c>
      <c r="AQ16" s="19">
        <f>AQ15+Funding!AQ22-Debt!AQ39</f>
        <v/>
      </c>
      <c r="AR16" s="19">
        <f>AR15+Funding!AR22-Debt!AR39</f>
        <v/>
      </c>
      <c r="AS16" s="19">
        <f>AS15+Funding!AS22-Debt!AS39</f>
        <v/>
      </c>
      <c r="AT16" s="19">
        <f>AT15+Funding!AT22-Debt!AT39</f>
        <v/>
      </c>
      <c r="AU16" s="19">
        <f>AU15+Funding!AU22-Debt!AU39</f>
        <v/>
      </c>
      <c r="AV16" s="19">
        <f>AV15+Funding!AV22-Debt!AV39</f>
        <v/>
      </c>
      <c r="AW16" s="19">
        <f>AW15+Funding!AW22-Debt!AW39</f>
        <v/>
      </c>
      <c r="AX16" s="19">
        <f>AX15+Funding!AX22-Debt!AX39</f>
        <v/>
      </c>
      <c r="AY16" s="19">
        <f>AY15+Funding!AY22-Debt!AY39</f>
        <v/>
      </c>
      <c r="AZ16" s="19">
        <f>AZ15+Funding!AZ22-Debt!AZ39</f>
        <v/>
      </c>
      <c r="BA16" s="19">
        <f>BA15+Funding!BA22-Debt!BA39</f>
        <v/>
      </c>
      <c r="BB16" s="19">
        <f>BB15+Funding!BB22-Debt!BB39</f>
        <v/>
      </c>
      <c r="BC16" s="19">
        <f>BC15+Funding!BC22-Debt!BC39</f>
        <v/>
      </c>
      <c r="BD16" s="19">
        <f>BD15+Funding!BD22-Debt!BD39</f>
        <v/>
      </c>
      <c r="BE16" s="19">
        <f>BE15+Funding!BE22-Debt!BE39</f>
        <v/>
      </c>
      <c r="BF16" s="19">
        <f>BF15+Funding!BF22-Debt!BF39</f>
        <v/>
      </c>
      <c r="BG16" s="19">
        <f>BG15+Funding!BG22-Debt!BG39</f>
        <v/>
      </c>
      <c r="BH16" s="19">
        <f>BH15+Funding!BH22-Debt!BH39</f>
        <v/>
      </c>
      <c r="BI16" s="19">
        <f>BI15+Funding!BI22-Debt!BI39</f>
        <v/>
      </c>
      <c r="BJ16" s="19">
        <f>BJ15+Funding!BJ22-Debt!BJ39</f>
        <v/>
      </c>
      <c r="BK16" s="19">
        <f>BK15+Funding!BK22-Debt!BK39</f>
        <v/>
      </c>
      <c r="BL16" s="19">
        <f>BL15+Funding!BL22-Debt!BL39</f>
        <v/>
      </c>
      <c r="BM16" s="19">
        <f>BM15+Funding!BM22-Debt!BM39</f>
        <v/>
      </c>
      <c r="BN16" s="19">
        <f>BN15+Funding!BN22-Debt!BN39</f>
        <v/>
      </c>
      <c r="BO16" s="19">
        <f>BO15+Funding!BO22-Debt!BO39</f>
        <v/>
      </c>
      <c r="BP16" s="19">
        <f>BP15+Funding!BP22-Debt!BP39</f>
        <v/>
      </c>
      <c r="BQ16" s="19">
        <f>BQ15+Funding!BQ22-Debt!BQ39</f>
        <v/>
      </c>
      <c r="BR16" s="19">
        <f>BR15+Funding!BR22-Debt!BR39</f>
        <v/>
      </c>
      <c r="BS16" s="19">
        <f>BS15+Funding!BS22-Debt!BS39</f>
        <v/>
      </c>
      <c r="BT16" s="19">
        <f>BT15+Funding!BT22-Debt!BT39</f>
        <v/>
      </c>
      <c r="BU16" s="19">
        <f>BU15+Funding!BU22-Debt!BU39</f>
        <v/>
      </c>
      <c r="BV16" s="19">
        <f>BV15+Funding!BV22-Debt!BV39</f>
        <v/>
      </c>
      <c r="BW16" s="19">
        <f>BW15+Funding!BW22-Debt!BW39</f>
        <v/>
      </c>
      <c r="BX16" s="19">
        <f>BX15+Funding!BX22-Debt!BX39</f>
        <v/>
      </c>
      <c r="BY16" s="19">
        <f>BY15+Funding!BY22-Debt!BY39</f>
        <v/>
      </c>
      <c r="BZ16" s="19">
        <f>BZ15+Funding!BZ22-Debt!BZ39</f>
        <v/>
      </c>
      <c r="CA16" s="19">
        <f>CA15+Funding!CA22-Debt!CA39</f>
        <v/>
      </c>
      <c r="CB16" s="19">
        <f>CB15+Funding!CB22-Debt!CB39</f>
        <v/>
      </c>
      <c r="CC16" s="19">
        <f>CC15+Funding!CC22-Debt!CC39</f>
        <v/>
      </c>
      <c r="CD16" s="19">
        <f>CD15+Funding!CD22-Debt!CD39</f>
        <v/>
      </c>
      <c r="CE16" s="19">
        <f>CE15+Funding!CE22-Debt!CE39</f>
        <v/>
      </c>
      <c r="CF16" s="19">
        <f>CF15+Funding!CF22-Debt!CF39</f>
        <v/>
      </c>
      <c r="CG16" s="19">
        <f>CG15+Funding!CG22-Debt!CG39</f>
        <v/>
      </c>
      <c r="CH16" s="19">
        <f>CH15+Funding!CH22-Debt!CH39</f>
        <v/>
      </c>
      <c r="CI16" s="19">
        <f>CI15+Funding!CI22-Debt!CI39</f>
        <v/>
      </c>
      <c r="CJ16" s="19">
        <f>CJ15+Funding!CJ22-Debt!CJ39</f>
        <v/>
      </c>
      <c r="CK16" s="19">
        <f>CK15+Funding!CK22-Debt!CK39</f>
        <v/>
      </c>
      <c r="CL16" s="19">
        <f>CL15+Funding!CL22-Debt!CL39</f>
        <v/>
      </c>
      <c r="CM16" s="19">
        <f>CM15+Funding!CM22-Debt!CM39</f>
        <v/>
      </c>
      <c r="CN16" s="19">
        <f>CN15+Funding!CN22-Debt!CN39</f>
        <v/>
      </c>
      <c r="CO16" s="19">
        <f>CO15+Funding!CO22-Debt!CO39</f>
        <v/>
      </c>
      <c r="CP16" s="19">
        <f>CP15+Funding!CP22-Debt!CP39</f>
        <v/>
      </c>
      <c r="CQ16" s="19">
        <f>CQ15+Funding!CQ22-Debt!CQ39</f>
        <v/>
      </c>
      <c r="CR16" s="19">
        <f>CR15+Funding!CR22-Debt!CR39</f>
        <v/>
      </c>
      <c r="CS16" s="19">
        <f>CS15+Funding!CS22-Debt!CS39</f>
        <v/>
      </c>
      <c r="CT16" s="19">
        <f>CT15+Funding!CT22-Debt!CT39</f>
        <v/>
      </c>
      <c r="CU16" s="19">
        <f>CU15+Funding!CU22-Debt!CU39</f>
        <v/>
      </c>
      <c r="CV16" s="19">
        <f>CV15+Funding!CV22-Debt!CV39</f>
        <v/>
      </c>
      <c r="CW16" s="19">
        <f>CW15+Funding!CW22-Debt!CW39</f>
        <v/>
      </c>
      <c r="CX16" s="19">
        <f>CX15+Funding!CX22-Debt!CX39</f>
        <v/>
      </c>
      <c r="CY16" s="19">
        <f>CY15+Funding!CY22-Debt!CY39</f>
        <v/>
      </c>
      <c r="CZ16" s="19">
        <f>CZ15+Funding!CZ22-Debt!CZ39</f>
        <v/>
      </c>
      <c r="DA16" s="19">
        <f>DA15+Funding!DA22-Debt!DA39</f>
        <v/>
      </c>
      <c r="DB16" s="19">
        <f>DB15+Funding!DB22-Debt!DB39</f>
        <v/>
      </c>
    </row>
    <row r="17">
      <c r="D17" s="3" t="inlineStr">
        <is>
          <t>Lifecycle reserve (MMRA)</t>
        </is>
      </c>
    </row>
    <row r="18">
      <c r="D18" t="inlineStr">
        <is>
          <t>Opening</t>
        </is>
      </c>
      <c r="E18" t="inlineStr">
        <is>
          <t>ARD m</t>
        </is>
      </c>
      <c r="J18" s="19">
        <f>I19</f>
        <v/>
      </c>
      <c r="K18" s="19">
        <f>J19</f>
        <v/>
      </c>
      <c r="L18" s="19">
        <f>K19</f>
        <v/>
      </c>
      <c r="M18" s="19">
        <f>L19</f>
        <v/>
      </c>
      <c r="N18" s="19">
        <f>M19</f>
        <v/>
      </c>
      <c r="O18" s="19">
        <f>N19</f>
        <v/>
      </c>
      <c r="P18" s="19">
        <f>O19</f>
        <v/>
      </c>
      <c r="Q18" s="19">
        <f>P19</f>
        <v/>
      </c>
      <c r="R18" s="19">
        <f>Q19</f>
        <v/>
      </c>
      <c r="S18" s="19">
        <f>R19</f>
        <v/>
      </c>
      <c r="T18" s="19">
        <f>S19</f>
        <v/>
      </c>
      <c r="U18" s="19">
        <f>T19</f>
        <v/>
      </c>
      <c r="V18" s="19">
        <f>U19</f>
        <v/>
      </c>
      <c r="W18" s="19">
        <f>V19</f>
        <v/>
      </c>
      <c r="X18" s="19">
        <f>W19</f>
        <v/>
      </c>
      <c r="Y18" s="19">
        <f>X19</f>
        <v/>
      </c>
      <c r="Z18" s="19">
        <f>Y19</f>
        <v/>
      </c>
      <c r="AA18" s="19">
        <f>Z19</f>
        <v/>
      </c>
      <c r="AB18" s="19">
        <f>AA19</f>
        <v/>
      </c>
      <c r="AC18" s="19">
        <f>AB19</f>
        <v/>
      </c>
      <c r="AD18" s="19">
        <f>AC19</f>
        <v/>
      </c>
      <c r="AE18" s="19">
        <f>AD19</f>
        <v/>
      </c>
      <c r="AF18" s="19">
        <f>AE19</f>
        <v/>
      </c>
      <c r="AG18" s="19">
        <f>AF19</f>
        <v/>
      </c>
      <c r="AH18" s="19">
        <f>AG19</f>
        <v/>
      </c>
      <c r="AI18" s="19">
        <f>AH19</f>
        <v/>
      </c>
      <c r="AJ18" s="19">
        <f>AI19</f>
        <v/>
      </c>
      <c r="AK18" s="19">
        <f>AJ19</f>
        <v/>
      </c>
      <c r="AL18" s="19">
        <f>AK19</f>
        <v/>
      </c>
      <c r="AM18" s="19">
        <f>AL19</f>
        <v/>
      </c>
      <c r="AN18" s="19">
        <f>AM19</f>
        <v/>
      </c>
      <c r="AO18" s="19">
        <f>AN19</f>
        <v/>
      </c>
      <c r="AP18" s="19">
        <f>AO19</f>
        <v/>
      </c>
      <c r="AQ18" s="19">
        <f>AP19</f>
        <v/>
      </c>
      <c r="AR18" s="19">
        <f>AQ19</f>
        <v/>
      </c>
      <c r="AS18" s="19">
        <f>AR19</f>
        <v/>
      </c>
      <c r="AT18" s="19">
        <f>AS19</f>
        <v/>
      </c>
      <c r="AU18" s="19">
        <f>AT19</f>
        <v/>
      </c>
      <c r="AV18" s="19">
        <f>AU19</f>
        <v/>
      </c>
      <c r="AW18" s="19">
        <f>AV19</f>
        <v/>
      </c>
      <c r="AX18" s="19">
        <f>AW19</f>
        <v/>
      </c>
      <c r="AY18" s="19">
        <f>AX19</f>
        <v/>
      </c>
      <c r="AZ18" s="19">
        <f>AY19</f>
        <v/>
      </c>
      <c r="BA18" s="19">
        <f>AZ19</f>
        <v/>
      </c>
      <c r="BB18" s="19">
        <f>BA19</f>
        <v/>
      </c>
      <c r="BC18" s="19">
        <f>BB19</f>
        <v/>
      </c>
      <c r="BD18" s="19">
        <f>BC19</f>
        <v/>
      </c>
      <c r="BE18" s="19">
        <f>BD19</f>
        <v/>
      </c>
      <c r="BF18" s="19">
        <f>BE19</f>
        <v/>
      </c>
      <c r="BG18" s="19">
        <f>BF19</f>
        <v/>
      </c>
      <c r="BH18" s="19">
        <f>BG19</f>
        <v/>
      </c>
      <c r="BI18" s="19">
        <f>BH19</f>
        <v/>
      </c>
      <c r="BJ18" s="19">
        <f>BI19</f>
        <v/>
      </c>
      <c r="BK18" s="19">
        <f>BJ19</f>
        <v/>
      </c>
      <c r="BL18" s="19">
        <f>BK19</f>
        <v/>
      </c>
      <c r="BM18" s="19">
        <f>BL19</f>
        <v/>
      </c>
      <c r="BN18" s="19">
        <f>BM19</f>
        <v/>
      </c>
      <c r="BO18" s="19">
        <f>BN19</f>
        <v/>
      </c>
      <c r="BP18" s="19">
        <f>BO19</f>
        <v/>
      </c>
      <c r="BQ18" s="19">
        <f>BP19</f>
        <v/>
      </c>
      <c r="BR18" s="19">
        <f>BQ19</f>
        <v/>
      </c>
      <c r="BS18" s="19">
        <f>BR19</f>
        <v/>
      </c>
      <c r="BT18" s="19">
        <f>BS19</f>
        <v/>
      </c>
      <c r="BU18" s="19">
        <f>BT19</f>
        <v/>
      </c>
      <c r="BV18" s="19">
        <f>BU19</f>
        <v/>
      </c>
      <c r="BW18" s="19">
        <f>BV19</f>
        <v/>
      </c>
      <c r="BX18" s="19">
        <f>BW19</f>
        <v/>
      </c>
      <c r="BY18" s="19">
        <f>BX19</f>
        <v/>
      </c>
      <c r="BZ18" s="19">
        <f>BY19</f>
        <v/>
      </c>
      <c r="CA18" s="19">
        <f>BZ19</f>
        <v/>
      </c>
      <c r="CB18" s="19">
        <f>CA19</f>
        <v/>
      </c>
      <c r="CC18" s="19">
        <f>CB19</f>
        <v/>
      </c>
      <c r="CD18" s="19">
        <f>CC19</f>
        <v/>
      </c>
      <c r="CE18" s="19">
        <f>CD19</f>
        <v/>
      </c>
      <c r="CF18" s="19">
        <f>CE19</f>
        <v/>
      </c>
      <c r="CG18" s="19">
        <f>CF19</f>
        <v/>
      </c>
      <c r="CH18" s="19">
        <f>CG19</f>
        <v/>
      </c>
      <c r="CI18" s="19">
        <f>CH19</f>
        <v/>
      </c>
      <c r="CJ18" s="19">
        <f>CI19</f>
        <v/>
      </c>
      <c r="CK18" s="19">
        <f>CJ19</f>
        <v/>
      </c>
      <c r="CL18" s="19">
        <f>CK19</f>
        <v/>
      </c>
      <c r="CM18" s="19">
        <f>CL19</f>
        <v/>
      </c>
      <c r="CN18" s="19">
        <f>CM19</f>
        <v/>
      </c>
      <c r="CO18" s="19">
        <f>CN19</f>
        <v/>
      </c>
      <c r="CP18" s="19">
        <f>CO19</f>
        <v/>
      </c>
      <c r="CQ18" s="19">
        <f>CP19</f>
        <v/>
      </c>
      <c r="CR18" s="19">
        <f>CQ19</f>
        <v/>
      </c>
      <c r="CS18" s="19">
        <f>CR19</f>
        <v/>
      </c>
      <c r="CT18" s="19">
        <f>CS19</f>
        <v/>
      </c>
      <c r="CU18" s="19">
        <f>CT19</f>
        <v/>
      </c>
      <c r="CV18" s="19">
        <f>CU19</f>
        <v/>
      </c>
      <c r="CW18" s="19">
        <f>CV19</f>
        <v/>
      </c>
      <c r="CX18" s="19">
        <f>CW19</f>
        <v/>
      </c>
      <c r="CY18" s="19">
        <f>CX19</f>
        <v/>
      </c>
      <c r="CZ18" s="19">
        <f>CY19</f>
        <v/>
      </c>
      <c r="DA18" s="19">
        <f>CZ19</f>
        <v/>
      </c>
      <c r="DB18" s="19">
        <f>DA19</f>
        <v/>
      </c>
    </row>
    <row r="19">
      <c r="D19" t="inlineStr">
        <is>
          <t>Closing</t>
        </is>
      </c>
      <c r="E19" t="inlineStr">
        <is>
          <t>ARD m</t>
        </is>
      </c>
      <c r="J19" s="19">
        <f>J18+Operations!J38-Operations!J37</f>
        <v/>
      </c>
      <c r="K19" s="19">
        <f>K18+Operations!K38-Operations!K37</f>
        <v/>
      </c>
      <c r="L19" s="19">
        <f>L18+Operations!L38-Operations!L37</f>
        <v/>
      </c>
      <c r="M19" s="19">
        <f>M18+Operations!M38-Operations!M37</f>
        <v/>
      </c>
      <c r="N19" s="19">
        <f>N18+Operations!N38-Operations!N37</f>
        <v/>
      </c>
      <c r="O19" s="19">
        <f>O18+Operations!O38-Operations!O37</f>
        <v/>
      </c>
      <c r="P19" s="19">
        <f>P18+Operations!P38-Operations!P37</f>
        <v/>
      </c>
      <c r="Q19" s="19">
        <f>Q18+Operations!Q38-Operations!Q37</f>
        <v/>
      </c>
      <c r="R19" s="19">
        <f>R18+Operations!R38-Operations!R37</f>
        <v/>
      </c>
      <c r="S19" s="19">
        <f>S18+Operations!S38-Operations!S37</f>
        <v/>
      </c>
      <c r="T19" s="19">
        <f>T18+Operations!T38-Operations!T37</f>
        <v/>
      </c>
      <c r="U19" s="19">
        <f>U18+Operations!U38-Operations!U37</f>
        <v/>
      </c>
      <c r="V19" s="19">
        <f>V18+Operations!V38-Operations!V37</f>
        <v/>
      </c>
      <c r="W19" s="19">
        <f>W18+Operations!W38-Operations!W37</f>
        <v/>
      </c>
      <c r="X19" s="19">
        <f>X18+Operations!X38-Operations!X37</f>
        <v/>
      </c>
      <c r="Y19" s="19">
        <f>Y18+Operations!Y38-Operations!Y37</f>
        <v/>
      </c>
      <c r="Z19" s="19">
        <f>Z18+Operations!Z38-Operations!Z37</f>
        <v/>
      </c>
      <c r="AA19" s="19">
        <f>AA18+Operations!AA38-Operations!AA37</f>
        <v/>
      </c>
      <c r="AB19" s="19">
        <f>AB18+Operations!AB38-Operations!AB37</f>
        <v/>
      </c>
      <c r="AC19" s="19">
        <f>AC18+Operations!AC38-Operations!AC37</f>
        <v/>
      </c>
      <c r="AD19" s="19">
        <f>AD18+Operations!AD38-Operations!AD37</f>
        <v/>
      </c>
      <c r="AE19" s="19">
        <f>AE18+Operations!AE38-Operations!AE37</f>
        <v/>
      </c>
      <c r="AF19" s="19">
        <f>AF18+Operations!AF38-Operations!AF37</f>
        <v/>
      </c>
      <c r="AG19" s="19">
        <f>AG18+Operations!AG38-Operations!AG37</f>
        <v/>
      </c>
      <c r="AH19" s="19">
        <f>AH18+Operations!AH38-Operations!AH37</f>
        <v/>
      </c>
      <c r="AI19" s="19">
        <f>AI18+Operations!AI38-Operations!AI37</f>
        <v/>
      </c>
      <c r="AJ19" s="19">
        <f>AJ18+Operations!AJ38-Operations!AJ37</f>
        <v/>
      </c>
      <c r="AK19" s="19">
        <f>AK18+Operations!AK38-Operations!AK37</f>
        <v/>
      </c>
      <c r="AL19" s="19">
        <f>AL18+Operations!AL38-Operations!AL37</f>
        <v/>
      </c>
      <c r="AM19" s="19">
        <f>AM18+Operations!AM38-Operations!AM37</f>
        <v/>
      </c>
      <c r="AN19" s="19">
        <f>AN18+Operations!AN38-Operations!AN37</f>
        <v/>
      </c>
      <c r="AO19" s="19">
        <f>AO18+Operations!AO38-Operations!AO37</f>
        <v/>
      </c>
      <c r="AP19" s="19">
        <f>AP18+Operations!AP38-Operations!AP37</f>
        <v/>
      </c>
      <c r="AQ19" s="19">
        <f>AQ18+Operations!AQ38-Operations!AQ37</f>
        <v/>
      </c>
      <c r="AR19" s="19">
        <f>AR18+Operations!AR38-Operations!AR37</f>
        <v/>
      </c>
      <c r="AS19" s="19">
        <f>AS18+Operations!AS38-Operations!AS37</f>
        <v/>
      </c>
      <c r="AT19" s="19">
        <f>AT18+Operations!AT38-Operations!AT37</f>
        <v/>
      </c>
      <c r="AU19" s="19">
        <f>AU18+Operations!AU38-Operations!AU37</f>
        <v/>
      </c>
      <c r="AV19" s="19">
        <f>AV18+Operations!AV38-Operations!AV37</f>
        <v/>
      </c>
      <c r="AW19" s="19">
        <f>AW18+Operations!AW38-Operations!AW37</f>
        <v/>
      </c>
      <c r="AX19" s="19">
        <f>AX18+Operations!AX38-Operations!AX37</f>
        <v/>
      </c>
      <c r="AY19" s="19">
        <f>AY18+Operations!AY38-Operations!AY37</f>
        <v/>
      </c>
      <c r="AZ19" s="19">
        <f>AZ18+Operations!AZ38-Operations!AZ37</f>
        <v/>
      </c>
      <c r="BA19" s="19">
        <f>BA18+Operations!BA38-Operations!BA37</f>
        <v/>
      </c>
      <c r="BB19" s="19">
        <f>BB18+Operations!BB38-Operations!BB37</f>
        <v/>
      </c>
      <c r="BC19" s="19">
        <f>BC18+Operations!BC38-Operations!BC37</f>
        <v/>
      </c>
      <c r="BD19" s="19">
        <f>BD18+Operations!BD38-Operations!BD37</f>
        <v/>
      </c>
      <c r="BE19" s="19">
        <f>BE18+Operations!BE38-Operations!BE37</f>
        <v/>
      </c>
      <c r="BF19" s="19">
        <f>BF18+Operations!BF38-Operations!BF37</f>
        <v/>
      </c>
      <c r="BG19" s="19">
        <f>BG18+Operations!BG38-Operations!BG37</f>
        <v/>
      </c>
      <c r="BH19" s="19">
        <f>BH18+Operations!BH38-Operations!BH37</f>
        <v/>
      </c>
      <c r="BI19" s="19">
        <f>BI18+Operations!BI38-Operations!BI37</f>
        <v/>
      </c>
      <c r="BJ19" s="19">
        <f>BJ18+Operations!BJ38-Operations!BJ37</f>
        <v/>
      </c>
      <c r="BK19" s="19">
        <f>BK18+Operations!BK38-Operations!BK37</f>
        <v/>
      </c>
      <c r="BL19" s="19">
        <f>BL18+Operations!BL38-Operations!BL37</f>
        <v/>
      </c>
      <c r="BM19" s="19">
        <f>BM18+Operations!BM38-Operations!BM37</f>
        <v/>
      </c>
      <c r="BN19" s="19">
        <f>BN18+Operations!BN38-Operations!BN37</f>
        <v/>
      </c>
      <c r="BO19" s="19">
        <f>BO18+Operations!BO38-Operations!BO37</f>
        <v/>
      </c>
      <c r="BP19" s="19">
        <f>BP18+Operations!BP38-Operations!BP37</f>
        <v/>
      </c>
      <c r="BQ19" s="19">
        <f>BQ18+Operations!BQ38-Operations!BQ37</f>
        <v/>
      </c>
      <c r="BR19" s="19">
        <f>BR18+Operations!BR38-Operations!BR37</f>
        <v/>
      </c>
      <c r="BS19" s="19">
        <f>BS18+Operations!BS38-Operations!BS37</f>
        <v/>
      </c>
      <c r="BT19" s="19">
        <f>BT18+Operations!BT38-Operations!BT37</f>
        <v/>
      </c>
      <c r="BU19" s="19">
        <f>BU18+Operations!BU38-Operations!BU37</f>
        <v/>
      </c>
      <c r="BV19" s="19">
        <f>BV18+Operations!BV38-Operations!BV37</f>
        <v/>
      </c>
      <c r="BW19" s="19">
        <f>BW18+Operations!BW38-Operations!BW37</f>
        <v/>
      </c>
      <c r="BX19" s="19">
        <f>BX18+Operations!BX38-Operations!BX37</f>
        <v/>
      </c>
      <c r="BY19" s="19">
        <f>BY18+Operations!BY38-Operations!BY37</f>
        <v/>
      </c>
      <c r="BZ19" s="19">
        <f>BZ18+Operations!BZ38-Operations!BZ37</f>
        <v/>
      </c>
      <c r="CA19" s="19">
        <f>CA18+Operations!CA38-Operations!CA37</f>
        <v/>
      </c>
      <c r="CB19" s="19">
        <f>CB18+Operations!CB38-Operations!CB37</f>
        <v/>
      </c>
      <c r="CC19" s="19">
        <f>CC18+Operations!CC38-Operations!CC37</f>
        <v/>
      </c>
      <c r="CD19" s="19">
        <f>CD18+Operations!CD38-Operations!CD37</f>
        <v/>
      </c>
      <c r="CE19" s="19">
        <f>CE18+Operations!CE38-Operations!CE37</f>
        <v/>
      </c>
      <c r="CF19" s="19">
        <f>CF18+Operations!CF38-Operations!CF37</f>
        <v/>
      </c>
      <c r="CG19" s="19">
        <f>CG18+Operations!CG38-Operations!CG37</f>
        <v/>
      </c>
      <c r="CH19" s="19">
        <f>CH18+Operations!CH38-Operations!CH37</f>
        <v/>
      </c>
      <c r="CI19" s="19">
        <f>CI18+Operations!CI38-Operations!CI37</f>
        <v/>
      </c>
      <c r="CJ19" s="19">
        <f>CJ18+Operations!CJ38-Operations!CJ37</f>
        <v/>
      </c>
      <c r="CK19" s="19">
        <f>CK18+Operations!CK38-Operations!CK37</f>
        <v/>
      </c>
      <c r="CL19" s="19">
        <f>CL18+Operations!CL38-Operations!CL37</f>
        <v/>
      </c>
      <c r="CM19" s="19">
        <f>CM18+Operations!CM38-Operations!CM37</f>
        <v/>
      </c>
      <c r="CN19" s="19">
        <f>CN18+Operations!CN38-Operations!CN37</f>
        <v/>
      </c>
      <c r="CO19" s="19">
        <f>CO18+Operations!CO38-Operations!CO37</f>
        <v/>
      </c>
      <c r="CP19" s="19">
        <f>CP18+Operations!CP38-Operations!CP37</f>
        <v/>
      </c>
      <c r="CQ19" s="19">
        <f>CQ18+Operations!CQ38-Operations!CQ37</f>
        <v/>
      </c>
      <c r="CR19" s="19">
        <f>CR18+Operations!CR38-Operations!CR37</f>
        <v/>
      </c>
      <c r="CS19" s="19">
        <f>CS18+Operations!CS38-Operations!CS37</f>
        <v/>
      </c>
      <c r="CT19" s="19">
        <f>CT18+Operations!CT38-Operations!CT37</f>
        <v/>
      </c>
      <c r="CU19" s="19">
        <f>CU18+Operations!CU38-Operations!CU37</f>
        <v/>
      </c>
      <c r="CV19" s="19">
        <f>CV18+Operations!CV38-Operations!CV37</f>
        <v/>
      </c>
      <c r="CW19" s="19">
        <f>CW18+Operations!CW38-Operations!CW37</f>
        <v/>
      </c>
      <c r="CX19" s="19">
        <f>CX18+Operations!CX38-Operations!CX37</f>
        <v/>
      </c>
      <c r="CY19" s="19">
        <f>CY18+Operations!CY38-Operations!CY37</f>
        <v/>
      </c>
      <c r="CZ19" s="19">
        <f>CZ18+Operations!CZ38-Operations!CZ37</f>
        <v/>
      </c>
      <c r="DA19" s="19">
        <f>DA18+Operations!DA38-Operations!DA37</f>
        <v/>
      </c>
      <c r="DB19" s="19">
        <f>DB18+Operations!DB38-Operations!DB37</f>
        <v/>
      </c>
    </row>
    <row r="20">
      <c r="D20" s="3" t="inlineStr">
        <is>
          <t>Handback reserve</t>
        </is>
      </c>
    </row>
    <row r="21">
      <c r="D21" t="inlineStr">
        <is>
          <t>Opening</t>
        </is>
      </c>
      <c r="E21" t="inlineStr">
        <is>
          <t>ARD m</t>
        </is>
      </c>
      <c r="J21" s="19">
        <f>I23</f>
        <v/>
      </c>
      <c r="K21" s="19">
        <f>J23</f>
        <v/>
      </c>
      <c r="L21" s="19">
        <f>K23</f>
        <v/>
      </c>
      <c r="M21" s="19">
        <f>L23</f>
        <v/>
      </c>
      <c r="N21" s="19">
        <f>M23</f>
        <v/>
      </c>
      <c r="O21" s="19">
        <f>N23</f>
        <v/>
      </c>
      <c r="P21" s="19">
        <f>O23</f>
        <v/>
      </c>
      <c r="Q21" s="19">
        <f>P23</f>
        <v/>
      </c>
      <c r="R21" s="19">
        <f>Q23</f>
        <v/>
      </c>
      <c r="S21" s="19">
        <f>R23</f>
        <v/>
      </c>
      <c r="T21" s="19">
        <f>S23</f>
        <v/>
      </c>
      <c r="U21" s="19">
        <f>T23</f>
        <v/>
      </c>
      <c r="V21" s="19">
        <f>U23</f>
        <v/>
      </c>
      <c r="W21" s="19">
        <f>V23</f>
        <v/>
      </c>
      <c r="X21" s="19">
        <f>W23</f>
        <v/>
      </c>
      <c r="Y21" s="19">
        <f>X23</f>
        <v/>
      </c>
      <c r="Z21" s="19">
        <f>Y23</f>
        <v/>
      </c>
      <c r="AA21" s="19">
        <f>Z23</f>
        <v/>
      </c>
      <c r="AB21" s="19">
        <f>AA23</f>
        <v/>
      </c>
      <c r="AC21" s="19">
        <f>AB23</f>
        <v/>
      </c>
      <c r="AD21" s="19">
        <f>AC23</f>
        <v/>
      </c>
      <c r="AE21" s="19">
        <f>AD23</f>
        <v/>
      </c>
      <c r="AF21" s="19">
        <f>AE23</f>
        <v/>
      </c>
      <c r="AG21" s="19">
        <f>AF23</f>
        <v/>
      </c>
      <c r="AH21" s="19">
        <f>AG23</f>
        <v/>
      </c>
      <c r="AI21" s="19">
        <f>AH23</f>
        <v/>
      </c>
      <c r="AJ21" s="19">
        <f>AI23</f>
        <v/>
      </c>
      <c r="AK21" s="19">
        <f>AJ23</f>
        <v/>
      </c>
      <c r="AL21" s="19">
        <f>AK23</f>
        <v/>
      </c>
      <c r="AM21" s="19">
        <f>AL23</f>
        <v/>
      </c>
      <c r="AN21" s="19">
        <f>AM23</f>
        <v/>
      </c>
      <c r="AO21" s="19">
        <f>AN23</f>
        <v/>
      </c>
      <c r="AP21" s="19">
        <f>AO23</f>
        <v/>
      </c>
      <c r="AQ21" s="19">
        <f>AP23</f>
        <v/>
      </c>
      <c r="AR21" s="19">
        <f>AQ23</f>
        <v/>
      </c>
      <c r="AS21" s="19">
        <f>AR23</f>
        <v/>
      </c>
      <c r="AT21" s="19">
        <f>AS23</f>
        <v/>
      </c>
      <c r="AU21" s="19">
        <f>AT23</f>
        <v/>
      </c>
      <c r="AV21" s="19">
        <f>AU23</f>
        <v/>
      </c>
      <c r="AW21" s="19">
        <f>AV23</f>
        <v/>
      </c>
      <c r="AX21" s="19">
        <f>AW23</f>
        <v/>
      </c>
      <c r="AY21" s="19">
        <f>AX23</f>
        <v/>
      </c>
      <c r="AZ21" s="19">
        <f>AY23</f>
        <v/>
      </c>
      <c r="BA21" s="19">
        <f>AZ23</f>
        <v/>
      </c>
      <c r="BB21" s="19">
        <f>BA23</f>
        <v/>
      </c>
      <c r="BC21" s="19">
        <f>BB23</f>
        <v/>
      </c>
      <c r="BD21" s="19">
        <f>BC23</f>
        <v/>
      </c>
      <c r="BE21" s="19">
        <f>BD23</f>
        <v/>
      </c>
      <c r="BF21" s="19">
        <f>BE23</f>
        <v/>
      </c>
      <c r="BG21" s="19">
        <f>BF23</f>
        <v/>
      </c>
      <c r="BH21" s="19">
        <f>BG23</f>
        <v/>
      </c>
      <c r="BI21" s="19">
        <f>BH23</f>
        <v/>
      </c>
      <c r="BJ21" s="19">
        <f>BI23</f>
        <v/>
      </c>
      <c r="BK21" s="19">
        <f>BJ23</f>
        <v/>
      </c>
      <c r="BL21" s="19">
        <f>BK23</f>
        <v/>
      </c>
      <c r="BM21" s="19">
        <f>BL23</f>
        <v/>
      </c>
      <c r="BN21" s="19">
        <f>BM23</f>
        <v/>
      </c>
      <c r="BO21" s="19">
        <f>BN23</f>
        <v/>
      </c>
      <c r="BP21" s="19">
        <f>BO23</f>
        <v/>
      </c>
      <c r="BQ21" s="19">
        <f>BP23</f>
        <v/>
      </c>
      <c r="BR21" s="19">
        <f>BQ23</f>
        <v/>
      </c>
      <c r="BS21" s="19">
        <f>BR23</f>
        <v/>
      </c>
      <c r="BT21" s="19">
        <f>BS23</f>
        <v/>
      </c>
      <c r="BU21" s="19">
        <f>BT23</f>
        <v/>
      </c>
      <c r="BV21" s="19">
        <f>BU23</f>
        <v/>
      </c>
      <c r="BW21" s="19">
        <f>BV23</f>
        <v/>
      </c>
      <c r="BX21" s="19">
        <f>BW23</f>
        <v/>
      </c>
      <c r="BY21" s="19">
        <f>BX23</f>
        <v/>
      </c>
      <c r="BZ21" s="19">
        <f>BY23</f>
        <v/>
      </c>
      <c r="CA21" s="19">
        <f>BZ23</f>
        <v/>
      </c>
      <c r="CB21" s="19">
        <f>CA23</f>
        <v/>
      </c>
      <c r="CC21" s="19">
        <f>CB23</f>
        <v/>
      </c>
      <c r="CD21" s="19">
        <f>CC23</f>
        <v/>
      </c>
      <c r="CE21" s="19">
        <f>CD23</f>
        <v/>
      </c>
      <c r="CF21" s="19">
        <f>CE23</f>
        <v/>
      </c>
      <c r="CG21" s="19">
        <f>CF23</f>
        <v/>
      </c>
      <c r="CH21" s="19">
        <f>CG23</f>
        <v/>
      </c>
      <c r="CI21" s="19">
        <f>CH23</f>
        <v/>
      </c>
      <c r="CJ21" s="19">
        <f>CI23</f>
        <v/>
      </c>
      <c r="CK21" s="19">
        <f>CJ23</f>
        <v/>
      </c>
      <c r="CL21" s="19">
        <f>CK23</f>
        <v/>
      </c>
      <c r="CM21" s="19">
        <f>CL23</f>
        <v/>
      </c>
      <c r="CN21" s="19">
        <f>CM23</f>
        <v/>
      </c>
      <c r="CO21" s="19">
        <f>CN23</f>
        <v/>
      </c>
      <c r="CP21" s="19">
        <f>CO23</f>
        <v/>
      </c>
      <c r="CQ21" s="19">
        <f>CP23</f>
        <v/>
      </c>
      <c r="CR21" s="19">
        <f>CQ23</f>
        <v/>
      </c>
      <c r="CS21" s="19">
        <f>CR23</f>
        <v/>
      </c>
      <c r="CT21" s="19">
        <f>CS23</f>
        <v/>
      </c>
      <c r="CU21" s="19">
        <f>CT23</f>
        <v/>
      </c>
      <c r="CV21" s="19">
        <f>CU23</f>
        <v/>
      </c>
      <c r="CW21" s="19">
        <f>CV23</f>
        <v/>
      </c>
      <c r="CX21" s="19">
        <f>CW23</f>
        <v/>
      </c>
      <c r="CY21" s="19">
        <f>CX23</f>
        <v/>
      </c>
      <c r="CZ21" s="19">
        <f>CY23</f>
        <v/>
      </c>
      <c r="DA21" s="19">
        <f>CZ23</f>
        <v/>
      </c>
      <c r="DB21" s="19">
        <f>DA23</f>
        <v/>
      </c>
    </row>
    <row r="22">
      <c r="D22" t="inlineStr">
        <is>
          <t>Handback works at expiry</t>
        </is>
      </c>
      <c r="E22" t="inlineStr">
        <is>
          <t>ARD m</t>
        </is>
      </c>
      <c r="G22" s="19">
        <f>SUM(J22:DB22)</f>
        <v/>
      </c>
      <c r="J22" s="19">
        <f>(J21+Operations!J40)*Time!J28</f>
        <v/>
      </c>
      <c r="K22" s="19">
        <f>(K21+Operations!K40)*Time!K28</f>
        <v/>
      </c>
      <c r="L22" s="19">
        <f>(L21+Operations!L40)*Time!L28</f>
        <v/>
      </c>
      <c r="M22" s="19">
        <f>(M21+Operations!M40)*Time!M28</f>
        <v/>
      </c>
      <c r="N22" s="19">
        <f>(N21+Operations!N40)*Time!N28</f>
        <v/>
      </c>
      <c r="O22" s="19">
        <f>(O21+Operations!O40)*Time!O28</f>
        <v/>
      </c>
      <c r="P22" s="19">
        <f>(P21+Operations!P40)*Time!P28</f>
        <v/>
      </c>
      <c r="Q22" s="19">
        <f>(Q21+Operations!Q40)*Time!Q28</f>
        <v/>
      </c>
      <c r="R22" s="19">
        <f>(R21+Operations!R40)*Time!R28</f>
        <v/>
      </c>
      <c r="S22" s="19">
        <f>(S21+Operations!S40)*Time!S28</f>
        <v/>
      </c>
      <c r="T22" s="19">
        <f>(T21+Operations!T40)*Time!T28</f>
        <v/>
      </c>
      <c r="U22" s="19">
        <f>(U21+Operations!U40)*Time!U28</f>
        <v/>
      </c>
      <c r="V22" s="19">
        <f>(V21+Operations!V40)*Time!V28</f>
        <v/>
      </c>
      <c r="W22" s="19">
        <f>(W21+Operations!W40)*Time!W28</f>
        <v/>
      </c>
      <c r="X22" s="19">
        <f>(X21+Operations!X40)*Time!X28</f>
        <v/>
      </c>
      <c r="Y22" s="19">
        <f>(Y21+Operations!Y40)*Time!Y28</f>
        <v/>
      </c>
      <c r="Z22" s="19">
        <f>(Z21+Operations!Z40)*Time!Z28</f>
        <v/>
      </c>
      <c r="AA22" s="19">
        <f>(AA21+Operations!AA40)*Time!AA28</f>
        <v/>
      </c>
      <c r="AB22" s="19">
        <f>(AB21+Operations!AB40)*Time!AB28</f>
        <v/>
      </c>
      <c r="AC22" s="19">
        <f>(AC21+Operations!AC40)*Time!AC28</f>
        <v/>
      </c>
      <c r="AD22" s="19">
        <f>(AD21+Operations!AD40)*Time!AD28</f>
        <v/>
      </c>
      <c r="AE22" s="19">
        <f>(AE21+Operations!AE40)*Time!AE28</f>
        <v/>
      </c>
      <c r="AF22" s="19">
        <f>(AF21+Operations!AF40)*Time!AF28</f>
        <v/>
      </c>
      <c r="AG22" s="19">
        <f>(AG21+Operations!AG40)*Time!AG28</f>
        <v/>
      </c>
      <c r="AH22" s="19">
        <f>(AH21+Operations!AH40)*Time!AH28</f>
        <v/>
      </c>
      <c r="AI22" s="19">
        <f>(AI21+Operations!AI40)*Time!AI28</f>
        <v/>
      </c>
      <c r="AJ22" s="19">
        <f>(AJ21+Operations!AJ40)*Time!AJ28</f>
        <v/>
      </c>
      <c r="AK22" s="19">
        <f>(AK21+Operations!AK40)*Time!AK28</f>
        <v/>
      </c>
      <c r="AL22" s="19">
        <f>(AL21+Operations!AL40)*Time!AL28</f>
        <v/>
      </c>
      <c r="AM22" s="19">
        <f>(AM21+Operations!AM40)*Time!AM28</f>
        <v/>
      </c>
      <c r="AN22" s="19">
        <f>(AN21+Operations!AN40)*Time!AN28</f>
        <v/>
      </c>
      <c r="AO22" s="19">
        <f>(AO21+Operations!AO40)*Time!AO28</f>
        <v/>
      </c>
      <c r="AP22" s="19">
        <f>(AP21+Operations!AP40)*Time!AP28</f>
        <v/>
      </c>
      <c r="AQ22" s="19">
        <f>(AQ21+Operations!AQ40)*Time!AQ28</f>
        <v/>
      </c>
      <c r="AR22" s="19">
        <f>(AR21+Operations!AR40)*Time!AR28</f>
        <v/>
      </c>
      <c r="AS22" s="19">
        <f>(AS21+Operations!AS40)*Time!AS28</f>
        <v/>
      </c>
      <c r="AT22" s="19">
        <f>(AT21+Operations!AT40)*Time!AT28</f>
        <v/>
      </c>
      <c r="AU22" s="19">
        <f>(AU21+Operations!AU40)*Time!AU28</f>
        <v/>
      </c>
      <c r="AV22" s="19">
        <f>(AV21+Operations!AV40)*Time!AV28</f>
        <v/>
      </c>
      <c r="AW22" s="19">
        <f>(AW21+Operations!AW40)*Time!AW28</f>
        <v/>
      </c>
      <c r="AX22" s="19">
        <f>(AX21+Operations!AX40)*Time!AX28</f>
        <v/>
      </c>
      <c r="AY22" s="19">
        <f>(AY21+Operations!AY40)*Time!AY28</f>
        <v/>
      </c>
      <c r="AZ22" s="19">
        <f>(AZ21+Operations!AZ40)*Time!AZ28</f>
        <v/>
      </c>
      <c r="BA22" s="19">
        <f>(BA21+Operations!BA40)*Time!BA28</f>
        <v/>
      </c>
      <c r="BB22" s="19">
        <f>(BB21+Operations!BB40)*Time!BB28</f>
        <v/>
      </c>
      <c r="BC22" s="19">
        <f>(BC21+Operations!BC40)*Time!BC28</f>
        <v/>
      </c>
      <c r="BD22" s="19">
        <f>(BD21+Operations!BD40)*Time!BD28</f>
        <v/>
      </c>
      <c r="BE22" s="19">
        <f>(BE21+Operations!BE40)*Time!BE28</f>
        <v/>
      </c>
      <c r="BF22" s="19">
        <f>(BF21+Operations!BF40)*Time!BF28</f>
        <v/>
      </c>
      <c r="BG22" s="19">
        <f>(BG21+Operations!BG40)*Time!BG28</f>
        <v/>
      </c>
      <c r="BH22" s="19">
        <f>(BH21+Operations!BH40)*Time!BH28</f>
        <v/>
      </c>
      <c r="BI22" s="19">
        <f>(BI21+Operations!BI40)*Time!BI28</f>
        <v/>
      </c>
      <c r="BJ22" s="19">
        <f>(BJ21+Operations!BJ40)*Time!BJ28</f>
        <v/>
      </c>
      <c r="BK22" s="19">
        <f>(BK21+Operations!BK40)*Time!BK28</f>
        <v/>
      </c>
      <c r="BL22" s="19">
        <f>(BL21+Operations!BL40)*Time!BL28</f>
        <v/>
      </c>
      <c r="BM22" s="19">
        <f>(BM21+Operations!BM40)*Time!BM28</f>
        <v/>
      </c>
      <c r="BN22" s="19">
        <f>(BN21+Operations!BN40)*Time!BN28</f>
        <v/>
      </c>
      <c r="BO22" s="19">
        <f>(BO21+Operations!BO40)*Time!BO28</f>
        <v/>
      </c>
      <c r="BP22" s="19">
        <f>(BP21+Operations!BP40)*Time!BP28</f>
        <v/>
      </c>
      <c r="BQ22" s="19">
        <f>(BQ21+Operations!BQ40)*Time!BQ28</f>
        <v/>
      </c>
      <c r="BR22" s="19">
        <f>(BR21+Operations!BR40)*Time!BR28</f>
        <v/>
      </c>
      <c r="BS22" s="19">
        <f>(BS21+Operations!BS40)*Time!BS28</f>
        <v/>
      </c>
      <c r="BT22" s="19">
        <f>(BT21+Operations!BT40)*Time!BT28</f>
        <v/>
      </c>
      <c r="BU22" s="19">
        <f>(BU21+Operations!BU40)*Time!BU28</f>
        <v/>
      </c>
      <c r="BV22" s="19">
        <f>(BV21+Operations!BV40)*Time!BV28</f>
        <v/>
      </c>
      <c r="BW22" s="19">
        <f>(BW21+Operations!BW40)*Time!BW28</f>
        <v/>
      </c>
      <c r="BX22" s="19">
        <f>(BX21+Operations!BX40)*Time!BX28</f>
        <v/>
      </c>
      <c r="BY22" s="19">
        <f>(BY21+Operations!BY40)*Time!BY28</f>
        <v/>
      </c>
      <c r="BZ22" s="19">
        <f>(BZ21+Operations!BZ40)*Time!BZ28</f>
        <v/>
      </c>
      <c r="CA22" s="19">
        <f>(CA21+Operations!CA40)*Time!CA28</f>
        <v/>
      </c>
      <c r="CB22" s="19">
        <f>(CB21+Operations!CB40)*Time!CB28</f>
        <v/>
      </c>
      <c r="CC22" s="19">
        <f>(CC21+Operations!CC40)*Time!CC28</f>
        <v/>
      </c>
      <c r="CD22" s="19">
        <f>(CD21+Operations!CD40)*Time!CD28</f>
        <v/>
      </c>
      <c r="CE22" s="19">
        <f>(CE21+Operations!CE40)*Time!CE28</f>
        <v/>
      </c>
      <c r="CF22" s="19">
        <f>(CF21+Operations!CF40)*Time!CF28</f>
        <v/>
      </c>
      <c r="CG22" s="19">
        <f>(CG21+Operations!CG40)*Time!CG28</f>
        <v/>
      </c>
      <c r="CH22" s="19">
        <f>(CH21+Operations!CH40)*Time!CH28</f>
        <v/>
      </c>
      <c r="CI22" s="19">
        <f>(CI21+Operations!CI40)*Time!CI28</f>
        <v/>
      </c>
      <c r="CJ22" s="19">
        <f>(CJ21+Operations!CJ40)*Time!CJ28</f>
        <v/>
      </c>
      <c r="CK22" s="19">
        <f>(CK21+Operations!CK40)*Time!CK28</f>
        <v/>
      </c>
      <c r="CL22" s="19">
        <f>(CL21+Operations!CL40)*Time!CL28</f>
        <v/>
      </c>
      <c r="CM22" s="19">
        <f>(CM21+Operations!CM40)*Time!CM28</f>
        <v/>
      </c>
      <c r="CN22" s="19">
        <f>(CN21+Operations!CN40)*Time!CN28</f>
        <v/>
      </c>
      <c r="CO22" s="19">
        <f>(CO21+Operations!CO40)*Time!CO28</f>
        <v/>
      </c>
      <c r="CP22" s="19">
        <f>(CP21+Operations!CP40)*Time!CP28</f>
        <v/>
      </c>
      <c r="CQ22" s="19">
        <f>(CQ21+Operations!CQ40)*Time!CQ28</f>
        <v/>
      </c>
      <c r="CR22" s="19">
        <f>(CR21+Operations!CR40)*Time!CR28</f>
        <v/>
      </c>
      <c r="CS22" s="19">
        <f>(CS21+Operations!CS40)*Time!CS28</f>
        <v/>
      </c>
      <c r="CT22" s="19">
        <f>(CT21+Operations!CT40)*Time!CT28</f>
        <v/>
      </c>
      <c r="CU22" s="19">
        <f>(CU21+Operations!CU40)*Time!CU28</f>
        <v/>
      </c>
      <c r="CV22" s="19">
        <f>(CV21+Operations!CV40)*Time!CV28</f>
        <v/>
      </c>
      <c r="CW22" s="19">
        <f>(CW21+Operations!CW40)*Time!CW28</f>
        <v/>
      </c>
      <c r="CX22" s="19">
        <f>(CX21+Operations!CX40)*Time!CX28</f>
        <v/>
      </c>
      <c r="CY22" s="19">
        <f>(CY21+Operations!CY40)*Time!CY28</f>
        <v/>
      </c>
      <c r="CZ22" s="19">
        <f>(CZ21+Operations!CZ40)*Time!CZ28</f>
        <v/>
      </c>
      <c r="DA22" s="19">
        <f>(DA21+Operations!DA40)*Time!DA28</f>
        <v/>
      </c>
      <c r="DB22" s="19">
        <f>(DB21+Operations!DB40)*Time!DB28</f>
        <v/>
      </c>
    </row>
    <row r="23">
      <c r="D23" t="inlineStr">
        <is>
          <t>Closing</t>
        </is>
      </c>
      <c r="E23" t="inlineStr">
        <is>
          <t>ARD m</t>
        </is>
      </c>
      <c r="J23" s="19">
        <f>J21+Operations!J40-J22</f>
        <v/>
      </c>
      <c r="K23" s="19">
        <f>K21+Operations!K40-K22</f>
        <v/>
      </c>
      <c r="L23" s="19">
        <f>L21+Operations!L40-L22</f>
        <v/>
      </c>
      <c r="M23" s="19">
        <f>M21+Operations!M40-M22</f>
        <v/>
      </c>
      <c r="N23" s="19">
        <f>N21+Operations!N40-N22</f>
        <v/>
      </c>
      <c r="O23" s="19">
        <f>O21+Operations!O40-O22</f>
        <v/>
      </c>
      <c r="P23" s="19">
        <f>P21+Operations!P40-P22</f>
        <v/>
      </c>
      <c r="Q23" s="19">
        <f>Q21+Operations!Q40-Q22</f>
        <v/>
      </c>
      <c r="R23" s="19">
        <f>R21+Operations!R40-R22</f>
        <v/>
      </c>
      <c r="S23" s="19">
        <f>S21+Operations!S40-S22</f>
        <v/>
      </c>
      <c r="T23" s="19">
        <f>T21+Operations!T40-T22</f>
        <v/>
      </c>
      <c r="U23" s="19">
        <f>U21+Operations!U40-U22</f>
        <v/>
      </c>
      <c r="V23" s="19">
        <f>V21+Operations!V40-V22</f>
        <v/>
      </c>
      <c r="W23" s="19">
        <f>W21+Operations!W40-W22</f>
        <v/>
      </c>
      <c r="X23" s="19">
        <f>X21+Operations!X40-X22</f>
        <v/>
      </c>
      <c r="Y23" s="19">
        <f>Y21+Operations!Y40-Y22</f>
        <v/>
      </c>
      <c r="Z23" s="19">
        <f>Z21+Operations!Z40-Z22</f>
        <v/>
      </c>
      <c r="AA23" s="19">
        <f>AA21+Operations!AA40-AA22</f>
        <v/>
      </c>
      <c r="AB23" s="19">
        <f>AB21+Operations!AB40-AB22</f>
        <v/>
      </c>
      <c r="AC23" s="19">
        <f>AC21+Operations!AC40-AC22</f>
        <v/>
      </c>
      <c r="AD23" s="19">
        <f>AD21+Operations!AD40-AD22</f>
        <v/>
      </c>
      <c r="AE23" s="19">
        <f>AE21+Operations!AE40-AE22</f>
        <v/>
      </c>
      <c r="AF23" s="19">
        <f>AF21+Operations!AF40-AF22</f>
        <v/>
      </c>
      <c r="AG23" s="19">
        <f>AG21+Operations!AG40-AG22</f>
        <v/>
      </c>
      <c r="AH23" s="19">
        <f>AH21+Operations!AH40-AH22</f>
        <v/>
      </c>
      <c r="AI23" s="19">
        <f>AI21+Operations!AI40-AI22</f>
        <v/>
      </c>
      <c r="AJ23" s="19">
        <f>AJ21+Operations!AJ40-AJ22</f>
        <v/>
      </c>
      <c r="AK23" s="19">
        <f>AK21+Operations!AK40-AK22</f>
        <v/>
      </c>
      <c r="AL23" s="19">
        <f>AL21+Operations!AL40-AL22</f>
        <v/>
      </c>
      <c r="AM23" s="19">
        <f>AM21+Operations!AM40-AM22</f>
        <v/>
      </c>
      <c r="AN23" s="19">
        <f>AN21+Operations!AN40-AN22</f>
        <v/>
      </c>
      <c r="AO23" s="19">
        <f>AO21+Operations!AO40-AO22</f>
        <v/>
      </c>
      <c r="AP23" s="19">
        <f>AP21+Operations!AP40-AP22</f>
        <v/>
      </c>
      <c r="AQ23" s="19">
        <f>AQ21+Operations!AQ40-AQ22</f>
        <v/>
      </c>
      <c r="AR23" s="19">
        <f>AR21+Operations!AR40-AR22</f>
        <v/>
      </c>
      <c r="AS23" s="19">
        <f>AS21+Operations!AS40-AS22</f>
        <v/>
      </c>
      <c r="AT23" s="19">
        <f>AT21+Operations!AT40-AT22</f>
        <v/>
      </c>
      <c r="AU23" s="19">
        <f>AU21+Operations!AU40-AU22</f>
        <v/>
      </c>
      <c r="AV23" s="19">
        <f>AV21+Operations!AV40-AV22</f>
        <v/>
      </c>
      <c r="AW23" s="19">
        <f>AW21+Operations!AW40-AW22</f>
        <v/>
      </c>
      <c r="AX23" s="19">
        <f>AX21+Operations!AX40-AX22</f>
        <v/>
      </c>
      <c r="AY23" s="19">
        <f>AY21+Operations!AY40-AY22</f>
        <v/>
      </c>
      <c r="AZ23" s="19">
        <f>AZ21+Operations!AZ40-AZ22</f>
        <v/>
      </c>
      <c r="BA23" s="19">
        <f>BA21+Operations!BA40-BA22</f>
        <v/>
      </c>
      <c r="BB23" s="19">
        <f>BB21+Operations!BB40-BB22</f>
        <v/>
      </c>
      <c r="BC23" s="19">
        <f>BC21+Operations!BC40-BC22</f>
        <v/>
      </c>
      <c r="BD23" s="19">
        <f>BD21+Operations!BD40-BD22</f>
        <v/>
      </c>
      <c r="BE23" s="19">
        <f>BE21+Operations!BE40-BE22</f>
        <v/>
      </c>
      <c r="BF23" s="19">
        <f>BF21+Operations!BF40-BF22</f>
        <v/>
      </c>
      <c r="BG23" s="19">
        <f>BG21+Operations!BG40-BG22</f>
        <v/>
      </c>
      <c r="BH23" s="19">
        <f>BH21+Operations!BH40-BH22</f>
        <v/>
      </c>
      <c r="BI23" s="19">
        <f>BI21+Operations!BI40-BI22</f>
        <v/>
      </c>
      <c r="BJ23" s="19">
        <f>BJ21+Operations!BJ40-BJ22</f>
        <v/>
      </c>
      <c r="BK23" s="19">
        <f>BK21+Operations!BK40-BK22</f>
        <v/>
      </c>
      <c r="BL23" s="19">
        <f>BL21+Operations!BL40-BL22</f>
        <v/>
      </c>
      <c r="BM23" s="19">
        <f>BM21+Operations!BM40-BM22</f>
        <v/>
      </c>
      <c r="BN23" s="19">
        <f>BN21+Operations!BN40-BN22</f>
        <v/>
      </c>
      <c r="BO23" s="19">
        <f>BO21+Operations!BO40-BO22</f>
        <v/>
      </c>
      <c r="BP23" s="19">
        <f>BP21+Operations!BP40-BP22</f>
        <v/>
      </c>
      <c r="BQ23" s="19">
        <f>BQ21+Operations!BQ40-BQ22</f>
        <v/>
      </c>
      <c r="BR23" s="19">
        <f>BR21+Operations!BR40-BR22</f>
        <v/>
      </c>
      <c r="BS23" s="19">
        <f>BS21+Operations!BS40-BS22</f>
        <v/>
      </c>
      <c r="BT23" s="19">
        <f>BT21+Operations!BT40-BT22</f>
        <v/>
      </c>
      <c r="BU23" s="19">
        <f>BU21+Operations!BU40-BU22</f>
        <v/>
      </c>
      <c r="BV23" s="19">
        <f>BV21+Operations!BV40-BV22</f>
        <v/>
      </c>
      <c r="BW23" s="19">
        <f>BW21+Operations!BW40-BW22</f>
        <v/>
      </c>
      <c r="BX23" s="19">
        <f>BX21+Operations!BX40-BX22</f>
        <v/>
      </c>
      <c r="BY23" s="19">
        <f>BY21+Operations!BY40-BY22</f>
        <v/>
      </c>
      <c r="BZ23" s="19">
        <f>BZ21+Operations!BZ40-BZ22</f>
        <v/>
      </c>
      <c r="CA23" s="19">
        <f>CA21+Operations!CA40-CA22</f>
        <v/>
      </c>
      <c r="CB23" s="19">
        <f>CB21+Operations!CB40-CB22</f>
        <v/>
      </c>
      <c r="CC23" s="19">
        <f>CC21+Operations!CC40-CC22</f>
        <v/>
      </c>
      <c r="CD23" s="19">
        <f>CD21+Operations!CD40-CD22</f>
        <v/>
      </c>
      <c r="CE23" s="19">
        <f>CE21+Operations!CE40-CE22</f>
        <v/>
      </c>
      <c r="CF23" s="19">
        <f>CF21+Operations!CF40-CF22</f>
        <v/>
      </c>
      <c r="CG23" s="19">
        <f>CG21+Operations!CG40-CG22</f>
        <v/>
      </c>
      <c r="CH23" s="19">
        <f>CH21+Operations!CH40-CH22</f>
        <v/>
      </c>
      <c r="CI23" s="19">
        <f>CI21+Operations!CI40-CI22</f>
        <v/>
      </c>
      <c r="CJ23" s="19">
        <f>CJ21+Operations!CJ40-CJ22</f>
        <v/>
      </c>
      <c r="CK23" s="19">
        <f>CK21+Operations!CK40-CK22</f>
        <v/>
      </c>
      <c r="CL23" s="19">
        <f>CL21+Operations!CL40-CL22</f>
        <v/>
      </c>
      <c r="CM23" s="19">
        <f>CM21+Operations!CM40-CM22</f>
        <v/>
      </c>
      <c r="CN23" s="19">
        <f>CN21+Operations!CN40-CN22</f>
        <v/>
      </c>
      <c r="CO23" s="19">
        <f>CO21+Operations!CO40-CO22</f>
        <v/>
      </c>
      <c r="CP23" s="19">
        <f>CP21+Operations!CP40-CP22</f>
        <v/>
      </c>
      <c r="CQ23" s="19">
        <f>CQ21+Operations!CQ40-CQ22</f>
        <v/>
      </c>
      <c r="CR23" s="19">
        <f>CR21+Operations!CR40-CR22</f>
        <v/>
      </c>
      <c r="CS23" s="19">
        <f>CS21+Operations!CS40-CS22</f>
        <v/>
      </c>
      <c r="CT23" s="19">
        <f>CT21+Operations!CT40-CT22</f>
        <v/>
      </c>
      <c r="CU23" s="19">
        <f>CU21+Operations!CU40-CU22</f>
        <v/>
      </c>
      <c r="CV23" s="19">
        <f>CV21+Operations!CV40-CV22</f>
        <v/>
      </c>
      <c r="CW23" s="19">
        <f>CW21+Operations!CW40-CW22</f>
        <v/>
      </c>
      <c r="CX23" s="19">
        <f>CX21+Operations!CX40-CX22</f>
        <v/>
      </c>
      <c r="CY23" s="19">
        <f>CY21+Operations!CY40-CY22</f>
        <v/>
      </c>
      <c r="CZ23" s="19">
        <f>CZ21+Operations!CZ40-CZ22</f>
        <v/>
      </c>
      <c r="DA23" s="19">
        <f>DA21+Operations!DA40-DA22</f>
        <v/>
      </c>
      <c r="DB23" s="19">
        <f>DB21+Operations!DB40-DB22</f>
        <v/>
      </c>
    </row>
    <row r="24">
      <c r="D24" s="3" t="inlineStr">
        <is>
          <t>Retention account</t>
        </is>
      </c>
    </row>
    <row r="25">
      <c r="D25" t="inlineStr">
        <is>
          <t>Opening</t>
        </is>
      </c>
      <c r="E25" t="inlineStr">
        <is>
          <t>ARD m</t>
        </is>
      </c>
      <c r="J25" s="19">
        <f>I27</f>
        <v/>
      </c>
      <c r="K25" s="19">
        <f>J27</f>
        <v/>
      </c>
      <c r="L25" s="19">
        <f>K27</f>
        <v/>
      </c>
      <c r="M25" s="19">
        <f>L27</f>
        <v/>
      </c>
      <c r="N25" s="19">
        <f>M27</f>
        <v/>
      </c>
      <c r="O25" s="19">
        <f>N27</f>
        <v/>
      </c>
      <c r="P25" s="19">
        <f>O27</f>
        <v/>
      </c>
      <c r="Q25" s="19">
        <f>P27</f>
        <v/>
      </c>
      <c r="R25" s="19">
        <f>Q27</f>
        <v/>
      </c>
      <c r="S25" s="19">
        <f>R27</f>
        <v/>
      </c>
      <c r="T25" s="19">
        <f>S27</f>
        <v/>
      </c>
      <c r="U25" s="19">
        <f>T27</f>
        <v/>
      </c>
      <c r="V25" s="19">
        <f>U27</f>
        <v/>
      </c>
      <c r="W25" s="19">
        <f>V27</f>
        <v/>
      </c>
      <c r="X25" s="19">
        <f>W27</f>
        <v/>
      </c>
      <c r="Y25" s="19">
        <f>X27</f>
        <v/>
      </c>
      <c r="Z25" s="19">
        <f>Y27</f>
        <v/>
      </c>
      <c r="AA25" s="19">
        <f>Z27</f>
        <v/>
      </c>
      <c r="AB25" s="19">
        <f>AA27</f>
        <v/>
      </c>
      <c r="AC25" s="19">
        <f>AB27</f>
        <v/>
      </c>
      <c r="AD25" s="19">
        <f>AC27</f>
        <v/>
      </c>
      <c r="AE25" s="19">
        <f>AD27</f>
        <v/>
      </c>
      <c r="AF25" s="19">
        <f>AE27</f>
        <v/>
      </c>
      <c r="AG25" s="19">
        <f>AF27</f>
        <v/>
      </c>
      <c r="AH25" s="19">
        <f>AG27</f>
        <v/>
      </c>
      <c r="AI25" s="19">
        <f>AH27</f>
        <v/>
      </c>
      <c r="AJ25" s="19">
        <f>AI27</f>
        <v/>
      </c>
      <c r="AK25" s="19">
        <f>AJ27</f>
        <v/>
      </c>
      <c r="AL25" s="19">
        <f>AK27</f>
        <v/>
      </c>
      <c r="AM25" s="19">
        <f>AL27</f>
        <v/>
      </c>
      <c r="AN25" s="19">
        <f>AM27</f>
        <v/>
      </c>
      <c r="AO25" s="19">
        <f>AN27</f>
        <v/>
      </c>
      <c r="AP25" s="19">
        <f>AO27</f>
        <v/>
      </c>
      <c r="AQ25" s="19">
        <f>AP27</f>
        <v/>
      </c>
      <c r="AR25" s="19">
        <f>AQ27</f>
        <v/>
      </c>
      <c r="AS25" s="19">
        <f>AR27</f>
        <v/>
      </c>
      <c r="AT25" s="19">
        <f>AS27</f>
        <v/>
      </c>
      <c r="AU25" s="19">
        <f>AT27</f>
        <v/>
      </c>
      <c r="AV25" s="19">
        <f>AU27</f>
        <v/>
      </c>
      <c r="AW25" s="19">
        <f>AV27</f>
        <v/>
      </c>
      <c r="AX25" s="19">
        <f>AW27</f>
        <v/>
      </c>
      <c r="AY25" s="19">
        <f>AX27</f>
        <v/>
      </c>
      <c r="AZ25" s="19">
        <f>AY27</f>
        <v/>
      </c>
      <c r="BA25" s="19">
        <f>AZ27</f>
        <v/>
      </c>
      <c r="BB25" s="19">
        <f>BA27</f>
        <v/>
      </c>
      <c r="BC25" s="19">
        <f>BB27</f>
        <v/>
      </c>
      <c r="BD25" s="19">
        <f>BC27</f>
        <v/>
      </c>
      <c r="BE25" s="19">
        <f>BD27</f>
        <v/>
      </c>
      <c r="BF25" s="19">
        <f>BE27</f>
        <v/>
      </c>
      <c r="BG25" s="19">
        <f>BF27</f>
        <v/>
      </c>
      <c r="BH25" s="19">
        <f>BG27</f>
        <v/>
      </c>
      <c r="BI25" s="19">
        <f>BH27</f>
        <v/>
      </c>
      <c r="BJ25" s="19">
        <f>BI27</f>
        <v/>
      </c>
      <c r="BK25" s="19">
        <f>BJ27</f>
        <v/>
      </c>
      <c r="BL25" s="19">
        <f>BK27</f>
        <v/>
      </c>
      <c r="BM25" s="19">
        <f>BL27</f>
        <v/>
      </c>
      <c r="BN25" s="19">
        <f>BM27</f>
        <v/>
      </c>
      <c r="BO25" s="19">
        <f>BN27</f>
        <v/>
      </c>
      <c r="BP25" s="19">
        <f>BO27</f>
        <v/>
      </c>
      <c r="BQ25" s="19">
        <f>BP27</f>
        <v/>
      </c>
      <c r="BR25" s="19">
        <f>BQ27</f>
        <v/>
      </c>
      <c r="BS25" s="19">
        <f>BR27</f>
        <v/>
      </c>
      <c r="BT25" s="19">
        <f>BS27</f>
        <v/>
      </c>
      <c r="BU25" s="19">
        <f>BT27</f>
        <v/>
      </c>
      <c r="BV25" s="19">
        <f>BU27</f>
        <v/>
      </c>
      <c r="BW25" s="19">
        <f>BV27</f>
        <v/>
      </c>
      <c r="BX25" s="19">
        <f>BW27</f>
        <v/>
      </c>
      <c r="BY25" s="19">
        <f>BX27</f>
        <v/>
      </c>
      <c r="BZ25" s="19">
        <f>BY27</f>
        <v/>
      </c>
      <c r="CA25" s="19">
        <f>BZ27</f>
        <v/>
      </c>
      <c r="CB25" s="19">
        <f>CA27</f>
        <v/>
      </c>
      <c r="CC25" s="19">
        <f>CB27</f>
        <v/>
      </c>
      <c r="CD25" s="19">
        <f>CC27</f>
        <v/>
      </c>
      <c r="CE25" s="19">
        <f>CD27</f>
        <v/>
      </c>
      <c r="CF25" s="19">
        <f>CE27</f>
        <v/>
      </c>
      <c r="CG25" s="19">
        <f>CF27</f>
        <v/>
      </c>
      <c r="CH25" s="19">
        <f>CG27</f>
        <v/>
      </c>
      <c r="CI25" s="19">
        <f>CH27</f>
        <v/>
      </c>
      <c r="CJ25" s="19">
        <f>CI27</f>
        <v/>
      </c>
      <c r="CK25" s="19">
        <f>CJ27</f>
        <v/>
      </c>
      <c r="CL25" s="19">
        <f>CK27</f>
        <v/>
      </c>
      <c r="CM25" s="19">
        <f>CL27</f>
        <v/>
      </c>
      <c r="CN25" s="19">
        <f>CM27</f>
        <v/>
      </c>
      <c r="CO25" s="19">
        <f>CN27</f>
        <v/>
      </c>
      <c r="CP25" s="19">
        <f>CO27</f>
        <v/>
      </c>
      <c r="CQ25" s="19">
        <f>CP27</f>
        <v/>
      </c>
      <c r="CR25" s="19">
        <f>CQ27</f>
        <v/>
      </c>
      <c r="CS25" s="19">
        <f>CR27</f>
        <v/>
      </c>
      <c r="CT25" s="19">
        <f>CS27</f>
        <v/>
      </c>
      <c r="CU25" s="19">
        <f>CT27</f>
        <v/>
      </c>
      <c r="CV25" s="19">
        <f>CU27</f>
        <v/>
      </c>
      <c r="CW25" s="19">
        <f>CV27</f>
        <v/>
      </c>
      <c r="CX25" s="19">
        <f>CW27</f>
        <v/>
      </c>
      <c r="CY25" s="19">
        <f>CX27</f>
        <v/>
      </c>
      <c r="CZ25" s="19">
        <f>CY27</f>
        <v/>
      </c>
      <c r="DA25" s="19">
        <f>CZ27</f>
        <v/>
      </c>
      <c r="DB25" s="19">
        <f>DA27</f>
        <v/>
      </c>
    </row>
    <row r="26">
      <c r="D26" t="inlineStr">
        <is>
          <t>Released to the D&amp;C contractor</t>
        </is>
      </c>
      <c r="E26" t="inlineStr">
        <is>
          <t>ARD m</t>
        </is>
      </c>
      <c r="G26" s="19">
        <f>SUM(J26:DB26)</f>
        <v/>
      </c>
      <c r="J26" s="19">
        <f>J25*Time!J46</f>
        <v/>
      </c>
      <c r="K26" s="19">
        <f>K25*Time!K46</f>
        <v/>
      </c>
      <c r="L26" s="19">
        <f>L25*Time!L46</f>
        <v/>
      </c>
      <c r="M26" s="19">
        <f>M25*Time!M46</f>
        <v/>
      </c>
      <c r="N26" s="19">
        <f>N25*Time!N46</f>
        <v/>
      </c>
      <c r="O26" s="19">
        <f>O25*Time!O46</f>
        <v/>
      </c>
      <c r="P26" s="19">
        <f>P25*Time!P46</f>
        <v/>
      </c>
      <c r="Q26" s="19">
        <f>Q25*Time!Q46</f>
        <v/>
      </c>
      <c r="R26" s="19">
        <f>R25*Time!R46</f>
        <v/>
      </c>
      <c r="S26" s="19">
        <f>S25*Time!S46</f>
        <v/>
      </c>
      <c r="T26" s="19">
        <f>T25*Time!T46</f>
        <v/>
      </c>
      <c r="U26" s="19">
        <f>U25*Time!U46</f>
        <v/>
      </c>
      <c r="V26" s="19">
        <f>V25*Time!V46</f>
        <v/>
      </c>
      <c r="W26" s="19">
        <f>W25*Time!W46</f>
        <v/>
      </c>
      <c r="X26" s="19">
        <f>X25*Time!X46</f>
        <v/>
      </c>
      <c r="Y26" s="19">
        <f>Y25*Time!Y46</f>
        <v/>
      </c>
      <c r="Z26" s="19">
        <f>Z25*Time!Z46</f>
        <v/>
      </c>
      <c r="AA26" s="19">
        <f>AA25*Time!AA46</f>
        <v/>
      </c>
      <c r="AB26" s="19">
        <f>AB25*Time!AB46</f>
        <v/>
      </c>
      <c r="AC26" s="19">
        <f>AC25*Time!AC46</f>
        <v/>
      </c>
      <c r="AD26" s="19">
        <f>AD25*Time!AD46</f>
        <v/>
      </c>
      <c r="AE26" s="19">
        <f>AE25*Time!AE46</f>
        <v/>
      </c>
      <c r="AF26" s="19">
        <f>AF25*Time!AF46</f>
        <v/>
      </c>
      <c r="AG26" s="19">
        <f>AG25*Time!AG46</f>
        <v/>
      </c>
      <c r="AH26" s="19">
        <f>AH25*Time!AH46</f>
        <v/>
      </c>
      <c r="AI26" s="19">
        <f>AI25*Time!AI46</f>
        <v/>
      </c>
      <c r="AJ26" s="19">
        <f>AJ25*Time!AJ46</f>
        <v/>
      </c>
      <c r="AK26" s="19">
        <f>AK25*Time!AK46</f>
        <v/>
      </c>
      <c r="AL26" s="19">
        <f>AL25*Time!AL46</f>
        <v/>
      </c>
      <c r="AM26" s="19">
        <f>AM25*Time!AM46</f>
        <v/>
      </c>
      <c r="AN26" s="19">
        <f>AN25*Time!AN46</f>
        <v/>
      </c>
      <c r="AO26" s="19">
        <f>AO25*Time!AO46</f>
        <v/>
      </c>
      <c r="AP26" s="19">
        <f>AP25*Time!AP46</f>
        <v/>
      </c>
      <c r="AQ26" s="19">
        <f>AQ25*Time!AQ46</f>
        <v/>
      </c>
      <c r="AR26" s="19">
        <f>AR25*Time!AR46</f>
        <v/>
      </c>
      <c r="AS26" s="19">
        <f>AS25*Time!AS46</f>
        <v/>
      </c>
      <c r="AT26" s="19">
        <f>AT25*Time!AT46</f>
        <v/>
      </c>
      <c r="AU26" s="19">
        <f>AU25*Time!AU46</f>
        <v/>
      </c>
      <c r="AV26" s="19">
        <f>AV25*Time!AV46</f>
        <v/>
      </c>
      <c r="AW26" s="19">
        <f>AW25*Time!AW46</f>
        <v/>
      </c>
      <c r="AX26" s="19">
        <f>AX25*Time!AX46</f>
        <v/>
      </c>
      <c r="AY26" s="19">
        <f>AY25*Time!AY46</f>
        <v/>
      </c>
      <c r="AZ26" s="19">
        <f>AZ25*Time!AZ46</f>
        <v/>
      </c>
      <c r="BA26" s="19">
        <f>BA25*Time!BA46</f>
        <v/>
      </c>
      <c r="BB26" s="19">
        <f>BB25*Time!BB46</f>
        <v/>
      </c>
      <c r="BC26" s="19">
        <f>BC25*Time!BC46</f>
        <v/>
      </c>
      <c r="BD26" s="19">
        <f>BD25*Time!BD46</f>
        <v/>
      </c>
      <c r="BE26" s="19">
        <f>BE25*Time!BE46</f>
        <v/>
      </c>
      <c r="BF26" s="19">
        <f>BF25*Time!BF46</f>
        <v/>
      </c>
      <c r="BG26" s="19">
        <f>BG25*Time!BG46</f>
        <v/>
      </c>
      <c r="BH26" s="19">
        <f>BH25*Time!BH46</f>
        <v/>
      </c>
      <c r="BI26" s="19">
        <f>BI25*Time!BI46</f>
        <v/>
      </c>
      <c r="BJ26" s="19">
        <f>BJ25*Time!BJ46</f>
        <v/>
      </c>
      <c r="BK26" s="19">
        <f>BK25*Time!BK46</f>
        <v/>
      </c>
      <c r="BL26" s="19">
        <f>BL25*Time!BL46</f>
        <v/>
      </c>
      <c r="BM26" s="19">
        <f>BM25*Time!BM46</f>
        <v/>
      </c>
      <c r="BN26" s="19">
        <f>BN25*Time!BN46</f>
        <v/>
      </c>
      <c r="BO26" s="19">
        <f>BO25*Time!BO46</f>
        <v/>
      </c>
      <c r="BP26" s="19">
        <f>BP25*Time!BP46</f>
        <v/>
      </c>
      <c r="BQ26" s="19">
        <f>BQ25*Time!BQ46</f>
        <v/>
      </c>
      <c r="BR26" s="19">
        <f>BR25*Time!BR46</f>
        <v/>
      </c>
      <c r="BS26" s="19">
        <f>BS25*Time!BS46</f>
        <v/>
      </c>
      <c r="BT26" s="19">
        <f>BT25*Time!BT46</f>
        <v/>
      </c>
      <c r="BU26" s="19">
        <f>BU25*Time!BU46</f>
        <v/>
      </c>
      <c r="BV26" s="19">
        <f>BV25*Time!BV46</f>
        <v/>
      </c>
      <c r="BW26" s="19">
        <f>BW25*Time!BW46</f>
        <v/>
      </c>
      <c r="BX26" s="19">
        <f>BX25*Time!BX46</f>
        <v/>
      </c>
      <c r="BY26" s="19">
        <f>BY25*Time!BY46</f>
        <v/>
      </c>
      <c r="BZ26" s="19">
        <f>BZ25*Time!BZ46</f>
        <v/>
      </c>
      <c r="CA26" s="19">
        <f>CA25*Time!CA46</f>
        <v/>
      </c>
      <c r="CB26" s="19">
        <f>CB25*Time!CB46</f>
        <v/>
      </c>
      <c r="CC26" s="19">
        <f>CC25*Time!CC46</f>
        <v/>
      </c>
      <c r="CD26" s="19">
        <f>CD25*Time!CD46</f>
        <v/>
      </c>
      <c r="CE26" s="19">
        <f>CE25*Time!CE46</f>
        <v/>
      </c>
      <c r="CF26" s="19">
        <f>CF25*Time!CF46</f>
        <v/>
      </c>
      <c r="CG26" s="19">
        <f>CG25*Time!CG46</f>
        <v/>
      </c>
      <c r="CH26" s="19">
        <f>CH25*Time!CH46</f>
        <v/>
      </c>
      <c r="CI26" s="19">
        <f>CI25*Time!CI46</f>
        <v/>
      </c>
      <c r="CJ26" s="19">
        <f>CJ25*Time!CJ46</f>
        <v/>
      </c>
      <c r="CK26" s="19">
        <f>CK25*Time!CK46</f>
        <v/>
      </c>
      <c r="CL26" s="19">
        <f>CL25*Time!CL46</f>
        <v/>
      </c>
      <c r="CM26" s="19">
        <f>CM25*Time!CM46</f>
        <v/>
      </c>
      <c r="CN26" s="19">
        <f>CN25*Time!CN46</f>
        <v/>
      </c>
      <c r="CO26" s="19">
        <f>CO25*Time!CO46</f>
        <v/>
      </c>
      <c r="CP26" s="19">
        <f>CP25*Time!CP46</f>
        <v/>
      </c>
      <c r="CQ26" s="19">
        <f>CQ25*Time!CQ46</f>
        <v/>
      </c>
      <c r="CR26" s="19">
        <f>CR25*Time!CR46</f>
        <v/>
      </c>
      <c r="CS26" s="19">
        <f>CS25*Time!CS46</f>
        <v/>
      </c>
      <c r="CT26" s="19">
        <f>CT25*Time!CT46</f>
        <v/>
      </c>
      <c r="CU26" s="19">
        <f>CU25*Time!CU46</f>
        <v/>
      </c>
      <c r="CV26" s="19">
        <f>CV25*Time!CV46</f>
        <v/>
      </c>
      <c r="CW26" s="19">
        <f>CW25*Time!CW46</f>
        <v/>
      </c>
      <c r="CX26" s="19">
        <f>CX25*Time!CX46</f>
        <v/>
      </c>
      <c r="CY26" s="19">
        <f>CY25*Time!CY46</f>
        <v/>
      </c>
      <c r="CZ26" s="19">
        <f>CZ25*Time!CZ46</f>
        <v/>
      </c>
      <c r="DA26" s="19">
        <f>DA25*Time!DA46</f>
        <v/>
      </c>
      <c r="DB26" s="19">
        <f>DB25*Time!DB46</f>
        <v/>
      </c>
    </row>
    <row r="27">
      <c r="D27" t="inlineStr">
        <is>
          <t>Closing</t>
        </is>
      </c>
      <c r="E27" t="inlineStr">
        <is>
          <t>ARD m</t>
        </is>
      </c>
      <c r="J27" s="19">
        <f>J25+Construction!J14-J26</f>
        <v/>
      </c>
      <c r="K27" s="19">
        <f>K25+Construction!K14-K26</f>
        <v/>
      </c>
      <c r="L27" s="19">
        <f>L25+Construction!L14-L26</f>
        <v/>
      </c>
      <c r="M27" s="19">
        <f>M25+Construction!M14-M26</f>
        <v/>
      </c>
      <c r="N27" s="19">
        <f>N25+Construction!N14-N26</f>
        <v/>
      </c>
      <c r="O27" s="19">
        <f>O25+Construction!O14-O26</f>
        <v/>
      </c>
      <c r="P27" s="19">
        <f>P25+Construction!P14-P26</f>
        <v/>
      </c>
      <c r="Q27" s="19">
        <f>Q25+Construction!Q14-Q26</f>
        <v/>
      </c>
      <c r="R27" s="19">
        <f>R25+Construction!R14-R26</f>
        <v/>
      </c>
      <c r="S27" s="19">
        <f>S25+Construction!S14-S26</f>
        <v/>
      </c>
      <c r="T27" s="19">
        <f>T25+Construction!T14-T26</f>
        <v/>
      </c>
      <c r="U27" s="19">
        <f>U25+Construction!U14-U26</f>
        <v/>
      </c>
      <c r="V27" s="19">
        <f>V25+Construction!V14-V26</f>
        <v/>
      </c>
      <c r="W27" s="19">
        <f>W25+Construction!W14-W26</f>
        <v/>
      </c>
      <c r="X27" s="19">
        <f>X25+Construction!X14-X26</f>
        <v/>
      </c>
      <c r="Y27" s="19">
        <f>Y25+Construction!Y14-Y26</f>
        <v/>
      </c>
      <c r="Z27" s="19">
        <f>Z25+Construction!Z14-Z26</f>
        <v/>
      </c>
      <c r="AA27" s="19">
        <f>AA25+Construction!AA14-AA26</f>
        <v/>
      </c>
      <c r="AB27" s="19">
        <f>AB25+Construction!AB14-AB26</f>
        <v/>
      </c>
      <c r="AC27" s="19">
        <f>AC25+Construction!AC14-AC26</f>
        <v/>
      </c>
      <c r="AD27" s="19">
        <f>AD25+Construction!AD14-AD26</f>
        <v/>
      </c>
      <c r="AE27" s="19">
        <f>AE25+Construction!AE14-AE26</f>
        <v/>
      </c>
      <c r="AF27" s="19">
        <f>AF25+Construction!AF14-AF26</f>
        <v/>
      </c>
      <c r="AG27" s="19">
        <f>AG25+Construction!AG14-AG26</f>
        <v/>
      </c>
      <c r="AH27" s="19">
        <f>AH25+Construction!AH14-AH26</f>
        <v/>
      </c>
      <c r="AI27" s="19">
        <f>AI25+Construction!AI14-AI26</f>
        <v/>
      </c>
      <c r="AJ27" s="19">
        <f>AJ25+Construction!AJ14-AJ26</f>
        <v/>
      </c>
      <c r="AK27" s="19">
        <f>AK25+Construction!AK14-AK26</f>
        <v/>
      </c>
      <c r="AL27" s="19">
        <f>AL25+Construction!AL14-AL26</f>
        <v/>
      </c>
      <c r="AM27" s="19">
        <f>AM25+Construction!AM14-AM26</f>
        <v/>
      </c>
      <c r="AN27" s="19">
        <f>AN25+Construction!AN14-AN26</f>
        <v/>
      </c>
      <c r="AO27" s="19">
        <f>AO25+Construction!AO14-AO26</f>
        <v/>
      </c>
      <c r="AP27" s="19">
        <f>AP25+Construction!AP14-AP26</f>
        <v/>
      </c>
      <c r="AQ27" s="19">
        <f>AQ25+Construction!AQ14-AQ26</f>
        <v/>
      </c>
      <c r="AR27" s="19">
        <f>AR25+Construction!AR14-AR26</f>
        <v/>
      </c>
      <c r="AS27" s="19">
        <f>AS25+Construction!AS14-AS26</f>
        <v/>
      </c>
      <c r="AT27" s="19">
        <f>AT25+Construction!AT14-AT26</f>
        <v/>
      </c>
      <c r="AU27" s="19">
        <f>AU25+Construction!AU14-AU26</f>
        <v/>
      </c>
      <c r="AV27" s="19">
        <f>AV25+Construction!AV14-AV26</f>
        <v/>
      </c>
      <c r="AW27" s="19">
        <f>AW25+Construction!AW14-AW26</f>
        <v/>
      </c>
      <c r="AX27" s="19">
        <f>AX25+Construction!AX14-AX26</f>
        <v/>
      </c>
      <c r="AY27" s="19">
        <f>AY25+Construction!AY14-AY26</f>
        <v/>
      </c>
      <c r="AZ27" s="19">
        <f>AZ25+Construction!AZ14-AZ26</f>
        <v/>
      </c>
      <c r="BA27" s="19">
        <f>BA25+Construction!BA14-BA26</f>
        <v/>
      </c>
      <c r="BB27" s="19">
        <f>BB25+Construction!BB14-BB26</f>
        <v/>
      </c>
      <c r="BC27" s="19">
        <f>BC25+Construction!BC14-BC26</f>
        <v/>
      </c>
      <c r="BD27" s="19">
        <f>BD25+Construction!BD14-BD26</f>
        <v/>
      </c>
      <c r="BE27" s="19">
        <f>BE25+Construction!BE14-BE26</f>
        <v/>
      </c>
      <c r="BF27" s="19">
        <f>BF25+Construction!BF14-BF26</f>
        <v/>
      </c>
      <c r="BG27" s="19">
        <f>BG25+Construction!BG14-BG26</f>
        <v/>
      </c>
      <c r="BH27" s="19">
        <f>BH25+Construction!BH14-BH26</f>
        <v/>
      </c>
      <c r="BI27" s="19">
        <f>BI25+Construction!BI14-BI26</f>
        <v/>
      </c>
      <c r="BJ27" s="19">
        <f>BJ25+Construction!BJ14-BJ26</f>
        <v/>
      </c>
      <c r="BK27" s="19">
        <f>BK25+Construction!BK14-BK26</f>
        <v/>
      </c>
      <c r="BL27" s="19">
        <f>BL25+Construction!BL14-BL26</f>
        <v/>
      </c>
      <c r="BM27" s="19">
        <f>BM25+Construction!BM14-BM26</f>
        <v/>
      </c>
      <c r="BN27" s="19">
        <f>BN25+Construction!BN14-BN26</f>
        <v/>
      </c>
      <c r="BO27" s="19">
        <f>BO25+Construction!BO14-BO26</f>
        <v/>
      </c>
      <c r="BP27" s="19">
        <f>BP25+Construction!BP14-BP26</f>
        <v/>
      </c>
      <c r="BQ27" s="19">
        <f>BQ25+Construction!BQ14-BQ26</f>
        <v/>
      </c>
      <c r="BR27" s="19">
        <f>BR25+Construction!BR14-BR26</f>
        <v/>
      </c>
      <c r="BS27" s="19">
        <f>BS25+Construction!BS14-BS26</f>
        <v/>
      </c>
      <c r="BT27" s="19">
        <f>BT25+Construction!BT14-BT26</f>
        <v/>
      </c>
      <c r="BU27" s="19">
        <f>BU25+Construction!BU14-BU26</f>
        <v/>
      </c>
      <c r="BV27" s="19">
        <f>BV25+Construction!BV14-BV26</f>
        <v/>
      </c>
      <c r="BW27" s="19">
        <f>BW25+Construction!BW14-BW26</f>
        <v/>
      </c>
      <c r="BX27" s="19">
        <f>BX25+Construction!BX14-BX26</f>
        <v/>
      </c>
      <c r="BY27" s="19">
        <f>BY25+Construction!BY14-BY26</f>
        <v/>
      </c>
      <c r="BZ27" s="19">
        <f>BZ25+Construction!BZ14-BZ26</f>
        <v/>
      </c>
      <c r="CA27" s="19">
        <f>CA25+Construction!CA14-CA26</f>
        <v/>
      </c>
      <c r="CB27" s="19">
        <f>CB25+Construction!CB14-CB26</f>
        <v/>
      </c>
      <c r="CC27" s="19">
        <f>CC25+Construction!CC14-CC26</f>
        <v/>
      </c>
      <c r="CD27" s="19">
        <f>CD25+Construction!CD14-CD26</f>
        <v/>
      </c>
      <c r="CE27" s="19">
        <f>CE25+Construction!CE14-CE26</f>
        <v/>
      </c>
      <c r="CF27" s="19">
        <f>CF25+Construction!CF14-CF26</f>
        <v/>
      </c>
      <c r="CG27" s="19">
        <f>CG25+Construction!CG14-CG26</f>
        <v/>
      </c>
      <c r="CH27" s="19">
        <f>CH25+Construction!CH14-CH26</f>
        <v/>
      </c>
      <c r="CI27" s="19">
        <f>CI25+Construction!CI14-CI26</f>
        <v/>
      </c>
      <c r="CJ27" s="19">
        <f>CJ25+Construction!CJ14-CJ26</f>
        <v/>
      </c>
      <c r="CK27" s="19">
        <f>CK25+Construction!CK14-CK26</f>
        <v/>
      </c>
      <c r="CL27" s="19">
        <f>CL25+Construction!CL14-CL26</f>
        <v/>
      </c>
      <c r="CM27" s="19">
        <f>CM25+Construction!CM14-CM26</f>
        <v/>
      </c>
      <c r="CN27" s="19">
        <f>CN25+Construction!CN14-CN26</f>
        <v/>
      </c>
      <c r="CO27" s="19">
        <f>CO25+Construction!CO14-CO26</f>
        <v/>
      </c>
      <c r="CP27" s="19">
        <f>CP25+Construction!CP14-CP26</f>
        <v/>
      </c>
      <c r="CQ27" s="19">
        <f>CQ25+Construction!CQ14-CQ26</f>
        <v/>
      </c>
      <c r="CR27" s="19">
        <f>CR25+Construction!CR14-CR26</f>
        <v/>
      </c>
      <c r="CS27" s="19">
        <f>CS25+Construction!CS14-CS26</f>
        <v/>
      </c>
      <c r="CT27" s="19">
        <f>CT25+Construction!CT14-CT26</f>
        <v/>
      </c>
      <c r="CU27" s="19">
        <f>CU25+Construction!CU14-CU26</f>
        <v/>
      </c>
      <c r="CV27" s="19">
        <f>CV25+Construction!CV14-CV26</f>
        <v/>
      </c>
      <c r="CW27" s="19">
        <f>CW25+Construction!CW14-CW26</f>
        <v/>
      </c>
      <c r="CX27" s="19">
        <f>CX25+Construction!CX14-CX26</f>
        <v/>
      </c>
      <c r="CY27" s="19">
        <f>CY25+Construction!CY14-CY26</f>
        <v/>
      </c>
      <c r="CZ27" s="19">
        <f>CZ25+Construction!CZ14-CZ26</f>
        <v/>
      </c>
      <c r="DA27" s="19">
        <f>DA25+Construction!DA14-DA26</f>
        <v/>
      </c>
      <c r="DB27" s="19">
        <f>DB25+Construction!DB14-DB26</f>
        <v/>
      </c>
    </row>
    <row r="28">
      <c r="D28" s="3" t="inlineStr">
        <is>
          <t>Interchange upgrade account (state new money)</t>
        </is>
      </c>
    </row>
    <row r="29">
      <c r="D29" t="inlineStr">
        <is>
          <t>Opening</t>
        </is>
      </c>
      <c r="E29" t="inlineStr">
        <is>
          <t>ARD m</t>
        </is>
      </c>
      <c r="J29" s="19">
        <f>I30</f>
        <v/>
      </c>
      <c r="K29" s="19">
        <f>J30</f>
        <v/>
      </c>
      <c r="L29" s="19">
        <f>K30</f>
        <v/>
      </c>
      <c r="M29" s="19">
        <f>L30</f>
        <v/>
      </c>
      <c r="N29" s="19">
        <f>M30</f>
        <v/>
      </c>
      <c r="O29" s="19">
        <f>N30</f>
        <v/>
      </c>
      <c r="P29" s="19">
        <f>O30</f>
        <v/>
      </c>
      <c r="Q29" s="19">
        <f>P30</f>
        <v/>
      </c>
      <c r="R29" s="19">
        <f>Q30</f>
        <v/>
      </c>
      <c r="S29" s="19">
        <f>R30</f>
        <v/>
      </c>
      <c r="T29" s="19">
        <f>S30</f>
        <v/>
      </c>
      <c r="U29" s="19">
        <f>T30</f>
        <v/>
      </c>
      <c r="V29" s="19">
        <f>U30</f>
        <v/>
      </c>
      <c r="W29" s="19">
        <f>V30</f>
        <v/>
      </c>
      <c r="X29" s="19">
        <f>W30</f>
        <v/>
      </c>
      <c r="Y29" s="19">
        <f>X30</f>
        <v/>
      </c>
      <c r="Z29" s="19">
        <f>Y30</f>
        <v/>
      </c>
      <c r="AA29" s="19">
        <f>Z30</f>
        <v/>
      </c>
      <c r="AB29" s="19">
        <f>AA30</f>
        <v/>
      </c>
      <c r="AC29" s="19">
        <f>AB30</f>
        <v/>
      </c>
      <c r="AD29" s="19">
        <f>AC30</f>
        <v/>
      </c>
      <c r="AE29" s="19">
        <f>AD30</f>
        <v/>
      </c>
      <c r="AF29" s="19">
        <f>AE30</f>
        <v/>
      </c>
      <c r="AG29" s="19">
        <f>AF30</f>
        <v/>
      </c>
      <c r="AH29" s="19">
        <f>AG30</f>
        <v/>
      </c>
      <c r="AI29" s="19">
        <f>AH30</f>
        <v/>
      </c>
      <c r="AJ29" s="19">
        <f>AI30</f>
        <v/>
      </c>
      <c r="AK29" s="19">
        <f>AJ30</f>
        <v/>
      </c>
      <c r="AL29" s="19">
        <f>AK30</f>
        <v/>
      </c>
      <c r="AM29" s="19">
        <f>AL30</f>
        <v/>
      </c>
      <c r="AN29" s="19">
        <f>AM30</f>
        <v/>
      </c>
      <c r="AO29" s="19">
        <f>AN30</f>
        <v/>
      </c>
      <c r="AP29" s="19">
        <f>AO30</f>
        <v/>
      </c>
      <c r="AQ29" s="19">
        <f>AP30</f>
        <v/>
      </c>
      <c r="AR29" s="19">
        <f>AQ30</f>
        <v/>
      </c>
      <c r="AS29" s="19">
        <f>AR30</f>
        <v/>
      </c>
      <c r="AT29" s="19">
        <f>AS30</f>
        <v/>
      </c>
      <c r="AU29" s="19">
        <f>AT30</f>
        <v/>
      </c>
      <c r="AV29" s="19">
        <f>AU30</f>
        <v/>
      </c>
      <c r="AW29" s="19">
        <f>AV30</f>
        <v/>
      </c>
      <c r="AX29" s="19">
        <f>AW30</f>
        <v/>
      </c>
      <c r="AY29" s="19">
        <f>AX30</f>
        <v/>
      </c>
      <c r="AZ29" s="19">
        <f>AY30</f>
        <v/>
      </c>
      <c r="BA29" s="19">
        <f>AZ30</f>
        <v/>
      </c>
      <c r="BB29" s="19">
        <f>BA30</f>
        <v/>
      </c>
      <c r="BC29" s="19">
        <f>BB30</f>
        <v/>
      </c>
      <c r="BD29" s="19">
        <f>BC30</f>
        <v/>
      </c>
      <c r="BE29" s="19">
        <f>BD30</f>
        <v/>
      </c>
      <c r="BF29" s="19">
        <f>BE30</f>
        <v/>
      </c>
      <c r="BG29" s="19">
        <f>BF30</f>
        <v/>
      </c>
      <c r="BH29" s="19">
        <f>BG30</f>
        <v/>
      </c>
      <c r="BI29" s="19">
        <f>BH30</f>
        <v/>
      </c>
      <c r="BJ29" s="19">
        <f>BI30</f>
        <v/>
      </c>
      <c r="BK29" s="19">
        <f>BJ30</f>
        <v/>
      </c>
      <c r="BL29" s="19">
        <f>BK30</f>
        <v/>
      </c>
      <c r="BM29" s="19">
        <f>BL30</f>
        <v/>
      </c>
      <c r="BN29" s="19">
        <f>BM30</f>
        <v/>
      </c>
      <c r="BO29" s="19">
        <f>BN30</f>
        <v/>
      </c>
      <c r="BP29" s="19">
        <f>BO30</f>
        <v/>
      </c>
      <c r="BQ29" s="19">
        <f>BP30</f>
        <v/>
      </c>
      <c r="BR29" s="19">
        <f>BQ30</f>
        <v/>
      </c>
      <c r="BS29" s="19">
        <f>BR30</f>
        <v/>
      </c>
      <c r="BT29" s="19">
        <f>BS30</f>
        <v/>
      </c>
      <c r="BU29" s="19">
        <f>BT30</f>
        <v/>
      </c>
      <c r="BV29" s="19">
        <f>BU30</f>
        <v/>
      </c>
      <c r="BW29" s="19">
        <f>BV30</f>
        <v/>
      </c>
      <c r="BX29" s="19">
        <f>BW30</f>
        <v/>
      </c>
      <c r="BY29" s="19">
        <f>BX30</f>
        <v/>
      </c>
      <c r="BZ29" s="19">
        <f>BY30</f>
        <v/>
      </c>
      <c r="CA29" s="19">
        <f>BZ30</f>
        <v/>
      </c>
      <c r="CB29" s="19">
        <f>CA30</f>
        <v/>
      </c>
      <c r="CC29" s="19">
        <f>CB30</f>
        <v/>
      </c>
      <c r="CD29" s="19">
        <f>CC30</f>
        <v/>
      </c>
      <c r="CE29" s="19">
        <f>CD30</f>
        <v/>
      </c>
      <c r="CF29" s="19">
        <f>CE30</f>
        <v/>
      </c>
      <c r="CG29" s="19">
        <f>CF30</f>
        <v/>
      </c>
      <c r="CH29" s="19">
        <f>CG30</f>
        <v/>
      </c>
      <c r="CI29" s="19">
        <f>CH30</f>
        <v/>
      </c>
      <c r="CJ29" s="19">
        <f>CI30</f>
        <v/>
      </c>
      <c r="CK29" s="19">
        <f>CJ30</f>
        <v/>
      </c>
      <c r="CL29" s="19">
        <f>CK30</f>
        <v/>
      </c>
      <c r="CM29" s="19">
        <f>CL30</f>
        <v/>
      </c>
      <c r="CN29" s="19">
        <f>CM30</f>
        <v/>
      </c>
      <c r="CO29" s="19">
        <f>CN30</f>
        <v/>
      </c>
      <c r="CP29" s="19">
        <f>CO30</f>
        <v/>
      </c>
      <c r="CQ29" s="19">
        <f>CP30</f>
        <v/>
      </c>
      <c r="CR29" s="19">
        <f>CQ30</f>
        <v/>
      </c>
      <c r="CS29" s="19">
        <f>CR30</f>
        <v/>
      </c>
      <c r="CT29" s="19">
        <f>CS30</f>
        <v/>
      </c>
      <c r="CU29" s="19">
        <f>CT30</f>
        <v/>
      </c>
      <c r="CV29" s="19">
        <f>CU30</f>
        <v/>
      </c>
      <c r="CW29" s="19">
        <f>CV30</f>
        <v/>
      </c>
      <c r="CX29" s="19">
        <f>CW30</f>
        <v/>
      </c>
      <c r="CY29" s="19">
        <f>CX30</f>
        <v/>
      </c>
      <c r="CZ29" s="19">
        <f>CY30</f>
        <v/>
      </c>
      <c r="DA29" s="19">
        <f>CZ30</f>
        <v/>
      </c>
      <c r="DB29" s="19">
        <f>DA30</f>
        <v/>
      </c>
    </row>
    <row r="30">
      <c r="D30" t="inlineStr">
        <is>
          <t>Closing</t>
        </is>
      </c>
      <c r="E30" t="inlineStr">
        <is>
          <t>ARD m</t>
        </is>
      </c>
      <c r="J30" s="19">
        <f>J29-Operations!J46+Time!J35*Inputs!$F$173</f>
        <v/>
      </c>
      <c r="K30" s="19">
        <f>K29-Operations!K46+Time!K35*Inputs!$F$173</f>
        <v/>
      </c>
      <c r="L30" s="19">
        <f>L29-Operations!L46+Time!L35*Inputs!$F$173</f>
        <v/>
      </c>
      <c r="M30" s="19">
        <f>M29-Operations!M46+Time!M35*Inputs!$F$173</f>
        <v/>
      </c>
      <c r="N30" s="19">
        <f>N29-Operations!N46+Time!N35*Inputs!$F$173</f>
        <v/>
      </c>
      <c r="O30" s="19">
        <f>O29-Operations!O46+Time!O35*Inputs!$F$173</f>
        <v/>
      </c>
      <c r="P30" s="19">
        <f>P29-Operations!P46+Time!P35*Inputs!$F$173</f>
        <v/>
      </c>
      <c r="Q30" s="19">
        <f>Q29-Operations!Q46+Time!Q35*Inputs!$F$173</f>
        <v/>
      </c>
      <c r="R30" s="19">
        <f>R29-Operations!R46+Time!R35*Inputs!$F$173</f>
        <v/>
      </c>
      <c r="S30" s="19">
        <f>S29-Operations!S46+Time!S35*Inputs!$F$173</f>
        <v/>
      </c>
      <c r="T30" s="19">
        <f>T29-Operations!T46+Time!T35*Inputs!$F$173</f>
        <v/>
      </c>
      <c r="U30" s="19">
        <f>U29-Operations!U46+Time!U35*Inputs!$F$173</f>
        <v/>
      </c>
      <c r="V30" s="19">
        <f>V29-Operations!V46+Time!V35*Inputs!$F$173</f>
        <v/>
      </c>
      <c r="W30" s="19">
        <f>W29-Operations!W46+Time!W35*Inputs!$F$173</f>
        <v/>
      </c>
      <c r="X30" s="19">
        <f>X29-Operations!X46+Time!X35*Inputs!$F$173</f>
        <v/>
      </c>
      <c r="Y30" s="19">
        <f>Y29-Operations!Y46+Time!Y35*Inputs!$F$173</f>
        <v/>
      </c>
      <c r="Z30" s="19">
        <f>Z29-Operations!Z46+Time!Z35*Inputs!$F$173</f>
        <v/>
      </c>
      <c r="AA30" s="19">
        <f>AA29-Operations!AA46+Time!AA35*Inputs!$F$173</f>
        <v/>
      </c>
      <c r="AB30" s="19">
        <f>AB29-Operations!AB46+Time!AB35*Inputs!$F$173</f>
        <v/>
      </c>
      <c r="AC30" s="19">
        <f>AC29-Operations!AC46+Time!AC35*Inputs!$F$173</f>
        <v/>
      </c>
      <c r="AD30" s="19">
        <f>AD29-Operations!AD46+Time!AD35*Inputs!$F$173</f>
        <v/>
      </c>
      <c r="AE30" s="19">
        <f>AE29-Operations!AE46+Time!AE35*Inputs!$F$173</f>
        <v/>
      </c>
      <c r="AF30" s="19">
        <f>AF29-Operations!AF46+Time!AF35*Inputs!$F$173</f>
        <v/>
      </c>
      <c r="AG30" s="19">
        <f>AG29-Operations!AG46+Time!AG35*Inputs!$F$173</f>
        <v/>
      </c>
      <c r="AH30" s="19">
        <f>AH29-Operations!AH46+Time!AH35*Inputs!$F$173</f>
        <v/>
      </c>
      <c r="AI30" s="19">
        <f>AI29-Operations!AI46+Time!AI35*Inputs!$F$173</f>
        <v/>
      </c>
      <c r="AJ30" s="19">
        <f>AJ29-Operations!AJ46+Time!AJ35*Inputs!$F$173</f>
        <v/>
      </c>
      <c r="AK30" s="19">
        <f>AK29-Operations!AK46+Time!AK35*Inputs!$F$173</f>
        <v/>
      </c>
      <c r="AL30" s="19">
        <f>AL29-Operations!AL46+Time!AL35*Inputs!$F$173</f>
        <v/>
      </c>
      <c r="AM30" s="19">
        <f>AM29-Operations!AM46+Time!AM35*Inputs!$F$173</f>
        <v/>
      </c>
      <c r="AN30" s="19">
        <f>AN29-Operations!AN46+Time!AN35*Inputs!$F$173</f>
        <v/>
      </c>
      <c r="AO30" s="19">
        <f>AO29-Operations!AO46+Time!AO35*Inputs!$F$173</f>
        <v/>
      </c>
      <c r="AP30" s="19">
        <f>AP29-Operations!AP46+Time!AP35*Inputs!$F$173</f>
        <v/>
      </c>
      <c r="AQ30" s="19">
        <f>AQ29-Operations!AQ46+Time!AQ35*Inputs!$F$173</f>
        <v/>
      </c>
      <c r="AR30" s="19">
        <f>AR29-Operations!AR46+Time!AR35*Inputs!$F$173</f>
        <v/>
      </c>
      <c r="AS30" s="19">
        <f>AS29-Operations!AS46+Time!AS35*Inputs!$F$173</f>
        <v/>
      </c>
      <c r="AT30" s="19">
        <f>AT29-Operations!AT46+Time!AT35*Inputs!$F$173</f>
        <v/>
      </c>
      <c r="AU30" s="19">
        <f>AU29-Operations!AU46+Time!AU35*Inputs!$F$173</f>
        <v/>
      </c>
      <c r="AV30" s="19">
        <f>AV29-Operations!AV46+Time!AV35*Inputs!$F$173</f>
        <v/>
      </c>
      <c r="AW30" s="19">
        <f>AW29-Operations!AW46+Time!AW35*Inputs!$F$173</f>
        <v/>
      </c>
      <c r="AX30" s="19">
        <f>AX29-Operations!AX46+Time!AX35*Inputs!$F$173</f>
        <v/>
      </c>
      <c r="AY30" s="19">
        <f>AY29-Operations!AY46+Time!AY35*Inputs!$F$173</f>
        <v/>
      </c>
      <c r="AZ30" s="19">
        <f>AZ29-Operations!AZ46+Time!AZ35*Inputs!$F$173</f>
        <v/>
      </c>
      <c r="BA30" s="19">
        <f>BA29-Operations!BA46+Time!BA35*Inputs!$F$173</f>
        <v/>
      </c>
      <c r="BB30" s="19">
        <f>BB29-Operations!BB46+Time!BB35*Inputs!$F$173</f>
        <v/>
      </c>
      <c r="BC30" s="19">
        <f>BC29-Operations!BC46+Time!BC35*Inputs!$F$173</f>
        <v/>
      </c>
      <c r="BD30" s="19">
        <f>BD29-Operations!BD46+Time!BD35*Inputs!$F$173</f>
        <v/>
      </c>
      <c r="BE30" s="19">
        <f>BE29-Operations!BE46+Time!BE35*Inputs!$F$173</f>
        <v/>
      </c>
      <c r="BF30" s="19">
        <f>BF29-Operations!BF46+Time!BF35*Inputs!$F$173</f>
        <v/>
      </c>
      <c r="BG30" s="19">
        <f>BG29-Operations!BG46+Time!BG35*Inputs!$F$173</f>
        <v/>
      </c>
      <c r="BH30" s="19">
        <f>BH29-Operations!BH46+Time!BH35*Inputs!$F$173</f>
        <v/>
      </c>
      <c r="BI30" s="19">
        <f>BI29-Operations!BI46+Time!BI35*Inputs!$F$173</f>
        <v/>
      </c>
      <c r="BJ30" s="19">
        <f>BJ29-Operations!BJ46+Time!BJ35*Inputs!$F$173</f>
        <v/>
      </c>
      <c r="BK30" s="19">
        <f>BK29-Operations!BK46+Time!BK35*Inputs!$F$173</f>
        <v/>
      </c>
      <c r="BL30" s="19">
        <f>BL29-Operations!BL46+Time!BL35*Inputs!$F$173</f>
        <v/>
      </c>
      <c r="BM30" s="19">
        <f>BM29-Operations!BM46+Time!BM35*Inputs!$F$173</f>
        <v/>
      </c>
      <c r="BN30" s="19">
        <f>BN29-Operations!BN46+Time!BN35*Inputs!$F$173</f>
        <v/>
      </c>
      <c r="BO30" s="19">
        <f>BO29-Operations!BO46+Time!BO35*Inputs!$F$173</f>
        <v/>
      </c>
      <c r="BP30" s="19">
        <f>BP29-Operations!BP46+Time!BP35*Inputs!$F$173</f>
        <v/>
      </c>
      <c r="BQ30" s="19">
        <f>BQ29-Operations!BQ46+Time!BQ35*Inputs!$F$173</f>
        <v/>
      </c>
      <c r="BR30" s="19">
        <f>BR29-Operations!BR46+Time!BR35*Inputs!$F$173</f>
        <v/>
      </c>
      <c r="BS30" s="19">
        <f>BS29-Operations!BS46+Time!BS35*Inputs!$F$173</f>
        <v/>
      </c>
      <c r="BT30" s="19">
        <f>BT29-Operations!BT46+Time!BT35*Inputs!$F$173</f>
        <v/>
      </c>
      <c r="BU30" s="19">
        <f>BU29-Operations!BU46+Time!BU35*Inputs!$F$173</f>
        <v/>
      </c>
      <c r="BV30" s="19">
        <f>BV29-Operations!BV46+Time!BV35*Inputs!$F$173</f>
        <v/>
      </c>
      <c r="BW30" s="19">
        <f>BW29-Operations!BW46+Time!BW35*Inputs!$F$173</f>
        <v/>
      </c>
      <c r="BX30" s="19">
        <f>BX29-Operations!BX46+Time!BX35*Inputs!$F$173</f>
        <v/>
      </c>
      <c r="BY30" s="19">
        <f>BY29-Operations!BY46+Time!BY35*Inputs!$F$173</f>
        <v/>
      </c>
      <c r="BZ30" s="19">
        <f>BZ29-Operations!BZ46+Time!BZ35*Inputs!$F$173</f>
        <v/>
      </c>
      <c r="CA30" s="19">
        <f>CA29-Operations!CA46+Time!CA35*Inputs!$F$173</f>
        <v/>
      </c>
      <c r="CB30" s="19">
        <f>CB29-Operations!CB46+Time!CB35*Inputs!$F$173</f>
        <v/>
      </c>
      <c r="CC30" s="19">
        <f>CC29-Operations!CC46+Time!CC35*Inputs!$F$173</f>
        <v/>
      </c>
      <c r="CD30" s="19">
        <f>CD29-Operations!CD46+Time!CD35*Inputs!$F$173</f>
        <v/>
      </c>
      <c r="CE30" s="19">
        <f>CE29-Operations!CE46+Time!CE35*Inputs!$F$173</f>
        <v/>
      </c>
      <c r="CF30" s="19">
        <f>CF29-Operations!CF46+Time!CF35*Inputs!$F$173</f>
        <v/>
      </c>
      <c r="CG30" s="19">
        <f>CG29-Operations!CG46+Time!CG35*Inputs!$F$173</f>
        <v/>
      </c>
      <c r="CH30" s="19">
        <f>CH29-Operations!CH46+Time!CH35*Inputs!$F$173</f>
        <v/>
      </c>
      <c r="CI30" s="19">
        <f>CI29-Operations!CI46+Time!CI35*Inputs!$F$173</f>
        <v/>
      </c>
      <c r="CJ30" s="19">
        <f>CJ29-Operations!CJ46+Time!CJ35*Inputs!$F$173</f>
        <v/>
      </c>
      <c r="CK30" s="19">
        <f>CK29-Operations!CK46+Time!CK35*Inputs!$F$173</f>
        <v/>
      </c>
      <c r="CL30" s="19">
        <f>CL29-Operations!CL46+Time!CL35*Inputs!$F$173</f>
        <v/>
      </c>
      <c r="CM30" s="19">
        <f>CM29-Operations!CM46+Time!CM35*Inputs!$F$173</f>
        <v/>
      </c>
      <c r="CN30" s="19">
        <f>CN29-Operations!CN46+Time!CN35*Inputs!$F$173</f>
        <v/>
      </c>
      <c r="CO30" s="19">
        <f>CO29-Operations!CO46+Time!CO35*Inputs!$F$173</f>
        <v/>
      </c>
      <c r="CP30" s="19">
        <f>CP29-Operations!CP46+Time!CP35*Inputs!$F$173</f>
        <v/>
      </c>
      <c r="CQ30" s="19">
        <f>CQ29-Operations!CQ46+Time!CQ35*Inputs!$F$173</f>
        <v/>
      </c>
      <c r="CR30" s="19">
        <f>CR29-Operations!CR46+Time!CR35*Inputs!$F$173</f>
        <v/>
      </c>
      <c r="CS30" s="19">
        <f>CS29-Operations!CS46+Time!CS35*Inputs!$F$173</f>
        <v/>
      </c>
      <c r="CT30" s="19">
        <f>CT29-Operations!CT46+Time!CT35*Inputs!$F$173</f>
        <v/>
      </c>
      <c r="CU30" s="19">
        <f>CU29-Operations!CU46+Time!CU35*Inputs!$F$173</f>
        <v/>
      </c>
      <c r="CV30" s="19">
        <f>CV29-Operations!CV46+Time!CV35*Inputs!$F$173</f>
        <v/>
      </c>
      <c r="CW30" s="19">
        <f>CW29-Operations!CW46+Time!CW35*Inputs!$F$173</f>
        <v/>
      </c>
      <c r="CX30" s="19">
        <f>CX29-Operations!CX46+Time!CX35*Inputs!$F$173</f>
        <v/>
      </c>
      <c r="CY30" s="19">
        <f>CY29-Operations!CY46+Time!CY35*Inputs!$F$173</f>
        <v/>
      </c>
      <c r="CZ30" s="19">
        <f>CZ29-Operations!CZ46+Time!CZ35*Inputs!$F$173</f>
        <v/>
      </c>
      <c r="DA30" s="19">
        <f>DA29-Operations!DA46+Time!DA35*Inputs!$F$173</f>
        <v/>
      </c>
      <c r="DB30" s="19">
        <f>DB29-Operations!DB46+Time!DB35*Inputs!$F$173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D1:DB62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Waterfall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Cash available</t>
        </is>
      </c>
    </row>
    <row r="6">
      <c r="D6" t="inlineStr">
        <is>
          <t>Cash account (locked-up cash) brought forward</t>
        </is>
      </c>
      <c r="E6" t="inlineStr">
        <is>
          <t>ARD m</t>
        </is>
      </c>
      <c r="J6" s="19">
        <f>I51</f>
        <v/>
      </c>
      <c r="K6" s="19">
        <f>J51</f>
        <v/>
      </c>
      <c r="L6" s="19">
        <f>K51</f>
        <v/>
      </c>
      <c r="M6" s="19">
        <f>L51</f>
        <v/>
      </c>
      <c r="N6" s="19">
        <f>M51</f>
        <v/>
      </c>
      <c r="O6" s="19">
        <f>N51</f>
        <v/>
      </c>
      <c r="P6" s="19">
        <f>O51</f>
        <v/>
      </c>
      <c r="Q6" s="19">
        <f>P51</f>
        <v/>
      </c>
      <c r="R6" s="19">
        <f>Q51</f>
        <v/>
      </c>
      <c r="S6" s="19">
        <f>R51</f>
        <v/>
      </c>
      <c r="T6" s="19">
        <f>S51</f>
        <v/>
      </c>
      <c r="U6" s="19">
        <f>T51</f>
        <v/>
      </c>
      <c r="V6" s="19">
        <f>U51</f>
        <v/>
      </c>
      <c r="W6" s="19">
        <f>V51</f>
        <v/>
      </c>
      <c r="X6" s="19">
        <f>W51</f>
        <v/>
      </c>
      <c r="Y6" s="19">
        <f>X51</f>
        <v/>
      </c>
      <c r="Z6" s="19">
        <f>Y51</f>
        <v/>
      </c>
      <c r="AA6" s="19">
        <f>Z51</f>
        <v/>
      </c>
      <c r="AB6" s="19">
        <f>AA51</f>
        <v/>
      </c>
      <c r="AC6" s="19">
        <f>AB51</f>
        <v/>
      </c>
      <c r="AD6" s="19">
        <f>AC51</f>
        <v/>
      </c>
      <c r="AE6" s="19">
        <f>AD51</f>
        <v/>
      </c>
      <c r="AF6" s="19">
        <f>AE51</f>
        <v/>
      </c>
      <c r="AG6" s="19">
        <f>AF51</f>
        <v/>
      </c>
      <c r="AH6" s="19">
        <f>AG51</f>
        <v/>
      </c>
      <c r="AI6" s="19">
        <f>AH51</f>
        <v/>
      </c>
      <c r="AJ6" s="19">
        <f>AI51</f>
        <v/>
      </c>
      <c r="AK6" s="19">
        <f>AJ51</f>
        <v/>
      </c>
      <c r="AL6" s="19">
        <f>AK51</f>
        <v/>
      </c>
      <c r="AM6" s="19">
        <f>AL51</f>
        <v/>
      </c>
      <c r="AN6" s="19">
        <f>AM51</f>
        <v/>
      </c>
      <c r="AO6" s="19">
        <f>AN51</f>
        <v/>
      </c>
      <c r="AP6" s="19">
        <f>AO51</f>
        <v/>
      </c>
      <c r="AQ6" s="19">
        <f>AP51</f>
        <v/>
      </c>
      <c r="AR6" s="19">
        <f>AQ51</f>
        <v/>
      </c>
      <c r="AS6" s="19">
        <f>AR51</f>
        <v/>
      </c>
      <c r="AT6" s="19">
        <f>AS51</f>
        <v/>
      </c>
      <c r="AU6" s="19">
        <f>AT51</f>
        <v/>
      </c>
      <c r="AV6" s="19">
        <f>AU51</f>
        <v/>
      </c>
      <c r="AW6" s="19">
        <f>AV51</f>
        <v/>
      </c>
      <c r="AX6" s="19">
        <f>AW51</f>
        <v/>
      </c>
      <c r="AY6" s="19">
        <f>AX51</f>
        <v/>
      </c>
      <c r="AZ6" s="19">
        <f>AY51</f>
        <v/>
      </c>
      <c r="BA6" s="19">
        <f>AZ51</f>
        <v/>
      </c>
      <c r="BB6" s="19">
        <f>BA51</f>
        <v/>
      </c>
      <c r="BC6" s="19">
        <f>BB51</f>
        <v/>
      </c>
      <c r="BD6" s="19">
        <f>BC51</f>
        <v/>
      </c>
      <c r="BE6" s="19">
        <f>BD51</f>
        <v/>
      </c>
      <c r="BF6" s="19">
        <f>BE51</f>
        <v/>
      </c>
      <c r="BG6" s="19">
        <f>BF51</f>
        <v/>
      </c>
      <c r="BH6" s="19">
        <f>BG51</f>
        <v/>
      </c>
      <c r="BI6" s="19">
        <f>BH51</f>
        <v/>
      </c>
      <c r="BJ6" s="19">
        <f>BI51</f>
        <v/>
      </c>
      <c r="BK6" s="19">
        <f>BJ51</f>
        <v/>
      </c>
      <c r="BL6" s="19">
        <f>BK51</f>
        <v/>
      </c>
      <c r="BM6" s="19">
        <f>BL51</f>
        <v/>
      </c>
      <c r="BN6" s="19">
        <f>BM51</f>
        <v/>
      </c>
      <c r="BO6" s="19">
        <f>BN51</f>
        <v/>
      </c>
      <c r="BP6" s="19">
        <f>BO51</f>
        <v/>
      </c>
      <c r="BQ6" s="19">
        <f>BP51</f>
        <v/>
      </c>
      <c r="BR6" s="19">
        <f>BQ51</f>
        <v/>
      </c>
      <c r="BS6" s="19">
        <f>BR51</f>
        <v/>
      </c>
      <c r="BT6" s="19">
        <f>BS51</f>
        <v/>
      </c>
      <c r="BU6" s="19">
        <f>BT51</f>
        <v/>
      </c>
      <c r="BV6" s="19">
        <f>BU51</f>
        <v/>
      </c>
      <c r="BW6" s="19">
        <f>BV51</f>
        <v/>
      </c>
      <c r="BX6" s="19">
        <f>BW51</f>
        <v/>
      </c>
      <c r="BY6" s="19">
        <f>BX51</f>
        <v/>
      </c>
      <c r="BZ6" s="19">
        <f>BY51</f>
        <v/>
      </c>
      <c r="CA6" s="19">
        <f>BZ51</f>
        <v/>
      </c>
      <c r="CB6" s="19">
        <f>CA51</f>
        <v/>
      </c>
      <c r="CC6" s="19">
        <f>CB51</f>
        <v/>
      </c>
      <c r="CD6" s="19">
        <f>CC51</f>
        <v/>
      </c>
      <c r="CE6" s="19">
        <f>CD51</f>
        <v/>
      </c>
      <c r="CF6" s="19">
        <f>CE51</f>
        <v/>
      </c>
      <c r="CG6" s="19">
        <f>CF51</f>
        <v/>
      </c>
      <c r="CH6" s="19">
        <f>CG51</f>
        <v/>
      </c>
      <c r="CI6" s="19">
        <f>CH51</f>
        <v/>
      </c>
      <c r="CJ6" s="19">
        <f>CI51</f>
        <v/>
      </c>
      <c r="CK6" s="19">
        <f>CJ51</f>
        <v/>
      </c>
      <c r="CL6" s="19">
        <f>CK51</f>
        <v/>
      </c>
      <c r="CM6" s="19">
        <f>CL51</f>
        <v/>
      </c>
      <c r="CN6" s="19">
        <f>CM51</f>
        <v/>
      </c>
      <c r="CO6" s="19">
        <f>CN51</f>
        <v/>
      </c>
      <c r="CP6" s="19">
        <f>CO51</f>
        <v/>
      </c>
      <c r="CQ6" s="19">
        <f>CP51</f>
        <v/>
      </c>
      <c r="CR6" s="19">
        <f>CQ51</f>
        <v/>
      </c>
      <c r="CS6" s="19">
        <f>CR51</f>
        <v/>
      </c>
      <c r="CT6" s="19">
        <f>CS51</f>
        <v/>
      </c>
      <c r="CU6" s="19">
        <f>CT51</f>
        <v/>
      </c>
      <c r="CV6" s="19">
        <f>CU51</f>
        <v/>
      </c>
      <c r="CW6" s="19">
        <f>CV51</f>
        <v/>
      </c>
      <c r="CX6" s="19">
        <f>CW51</f>
        <v/>
      </c>
      <c r="CY6" s="19">
        <f>CX51</f>
        <v/>
      </c>
      <c r="CZ6" s="19">
        <f>CY51</f>
        <v/>
      </c>
      <c r="DA6" s="19">
        <f>CZ51</f>
        <v/>
      </c>
      <c r="DB6" s="19">
        <f>DA51</f>
        <v/>
      </c>
    </row>
    <row r="7">
      <c r="D7" t="inlineStr">
        <is>
          <t>CFADS</t>
        </is>
      </c>
      <c r="E7" t="inlineStr">
        <is>
          <t>ARD m</t>
        </is>
      </c>
      <c r="G7" s="19">
        <f>SUM(J7:DB7)</f>
        <v/>
      </c>
      <c r="J7" s="29">
        <f>Operations!J49</f>
        <v/>
      </c>
      <c r="K7" s="29">
        <f>Operations!K49</f>
        <v/>
      </c>
      <c r="L7" s="29">
        <f>Operations!L49</f>
        <v/>
      </c>
      <c r="M7" s="29">
        <f>Operations!M49</f>
        <v/>
      </c>
      <c r="N7" s="29">
        <f>Operations!N49</f>
        <v/>
      </c>
      <c r="O7" s="29">
        <f>Operations!O49</f>
        <v/>
      </c>
      <c r="P7" s="29">
        <f>Operations!P49</f>
        <v/>
      </c>
      <c r="Q7" s="29">
        <f>Operations!Q49</f>
        <v/>
      </c>
      <c r="R7" s="29">
        <f>Operations!R49</f>
        <v/>
      </c>
      <c r="S7" s="29">
        <f>Operations!S49</f>
        <v/>
      </c>
      <c r="T7" s="29">
        <f>Operations!T49</f>
        <v/>
      </c>
      <c r="U7" s="29">
        <f>Operations!U49</f>
        <v/>
      </c>
      <c r="V7" s="29">
        <f>Operations!V49</f>
        <v/>
      </c>
      <c r="W7" s="29">
        <f>Operations!W49</f>
        <v/>
      </c>
      <c r="X7" s="29">
        <f>Operations!X49</f>
        <v/>
      </c>
      <c r="Y7" s="29">
        <f>Operations!Y49</f>
        <v/>
      </c>
      <c r="Z7" s="29">
        <f>Operations!Z49</f>
        <v/>
      </c>
      <c r="AA7" s="29">
        <f>Operations!AA49</f>
        <v/>
      </c>
      <c r="AB7" s="29">
        <f>Operations!AB49</f>
        <v/>
      </c>
      <c r="AC7" s="29">
        <f>Operations!AC49</f>
        <v/>
      </c>
      <c r="AD7" s="29">
        <f>Operations!AD49</f>
        <v/>
      </c>
      <c r="AE7" s="29">
        <f>Operations!AE49</f>
        <v/>
      </c>
      <c r="AF7" s="29">
        <f>Operations!AF49</f>
        <v/>
      </c>
      <c r="AG7" s="29">
        <f>Operations!AG49</f>
        <v/>
      </c>
      <c r="AH7" s="29">
        <f>Operations!AH49</f>
        <v/>
      </c>
      <c r="AI7" s="29">
        <f>Operations!AI49</f>
        <v/>
      </c>
      <c r="AJ7" s="29">
        <f>Operations!AJ49</f>
        <v/>
      </c>
      <c r="AK7" s="29">
        <f>Operations!AK49</f>
        <v/>
      </c>
      <c r="AL7" s="29">
        <f>Operations!AL49</f>
        <v/>
      </c>
      <c r="AM7" s="29">
        <f>Operations!AM49</f>
        <v/>
      </c>
      <c r="AN7" s="29">
        <f>Operations!AN49</f>
        <v/>
      </c>
      <c r="AO7" s="29">
        <f>Operations!AO49</f>
        <v/>
      </c>
      <c r="AP7" s="29">
        <f>Operations!AP49</f>
        <v/>
      </c>
      <c r="AQ7" s="29">
        <f>Operations!AQ49</f>
        <v/>
      </c>
      <c r="AR7" s="29">
        <f>Operations!AR49</f>
        <v/>
      </c>
      <c r="AS7" s="29">
        <f>Operations!AS49</f>
        <v/>
      </c>
      <c r="AT7" s="29">
        <f>Operations!AT49</f>
        <v/>
      </c>
      <c r="AU7" s="29">
        <f>Operations!AU49</f>
        <v/>
      </c>
      <c r="AV7" s="29">
        <f>Operations!AV49</f>
        <v/>
      </c>
      <c r="AW7" s="29">
        <f>Operations!AW49</f>
        <v/>
      </c>
      <c r="AX7" s="29">
        <f>Operations!AX49</f>
        <v/>
      </c>
      <c r="AY7" s="29">
        <f>Operations!AY49</f>
        <v/>
      </c>
      <c r="AZ7" s="29">
        <f>Operations!AZ49</f>
        <v/>
      </c>
      <c r="BA7" s="29">
        <f>Operations!BA49</f>
        <v/>
      </c>
      <c r="BB7" s="29">
        <f>Operations!BB49</f>
        <v/>
      </c>
      <c r="BC7" s="29">
        <f>Operations!BC49</f>
        <v/>
      </c>
      <c r="BD7" s="29">
        <f>Operations!BD49</f>
        <v/>
      </c>
      <c r="BE7" s="29">
        <f>Operations!BE49</f>
        <v/>
      </c>
      <c r="BF7" s="29">
        <f>Operations!BF49</f>
        <v/>
      </c>
      <c r="BG7" s="29">
        <f>Operations!BG49</f>
        <v/>
      </c>
      <c r="BH7" s="29">
        <f>Operations!BH49</f>
        <v/>
      </c>
      <c r="BI7" s="29">
        <f>Operations!BI49</f>
        <v/>
      </c>
      <c r="BJ7" s="29">
        <f>Operations!BJ49</f>
        <v/>
      </c>
      <c r="BK7" s="29">
        <f>Operations!BK49</f>
        <v/>
      </c>
      <c r="BL7" s="29">
        <f>Operations!BL49</f>
        <v/>
      </c>
      <c r="BM7" s="29">
        <f>Operations!BM49</f>
        <v/>
      </c>
      <c r="BN7" s="29">
        <f>Operations!BN49</f>
        <v/>
      </c>
      <c r="BO7" s="29">
        <f>Operations!BO49</f>
        <v/>
      </c>
      <c r="BP7" s="29">
        <f>Operations!BP49</f>
        <v/>
      </c>
      <c r="BQ7" s="29">
        <f>Operations!BQ49</f>
        <v/>
      </c>
      <c r="BR7" s="29">
        <f>Operations!BR49</f>
        <v/>
      </c>
      <c r="BS7" s="29">
        <f>Operations!BS49</f>
        <v/>
      </c>
      <c r="BT7" s="29">
        <f>Operations!BT49</f>
        <v/>
      </c>
      <c r="BU7" s="29">
        <f>Operations!BU49</f>
        <v/>
      </c>
      <c r="BV7" s="29">
        <f>Operations!BV49</f>
        <v/>
      </c>
      <c r="BW7" s="29">
        <f>Operations!BW49</f>
        <v/>
      </c>
      <c r="BX7" s="29">
        <f>Operations!BX49</f>
        <v/>
      </c>
      <c r="BY7" s="29">
        <f>Operations!BY49</f>
        <v/>
      </c>
      <c r="BZ7" s="29">
        <f>Operations!BZ49</f>
        <v/>
      </c>
      <c r="CA7" s="29">
        <f>Operations!CA49</f>
        <v/>
      </c>
      <c r="CB7" s="29">
        <f>Operations!CB49</f>
        <v/>
      </c>
      <c r="CC7" s="29">
        <f>Operations!CC49</f>
        <v/>
      </c>
      <c r="CD7" s="29">
        <f>Operations!CD49</f>
        <v/>
      </c>
      <c r="CE7" s="29">
        <f>Operations!CE49</f>
        <v/>
      </c>
      <c r="CF7" s="29">
        <f>Operations!CF49</f>
        <v/>
      </c>
      <c r="CG7" s="29">
        <f>Operations!CG49</f>
        <v/>
      </c>
      <c r="CH7" s="29">
        <f>Operations!CH49</f>
        <v/>
      </c>
      <c r="CI7" s="29">
        <f>Operations!CI49</f>
        <v/>
      </c>
      <c r="CJ7" s="29">
        <f>Operations!CJ49</f>
        <v/>
      </c>
      <c r="CK7" s="29">
        <f>Operations!CK49</f>
        <v/>
      </c>
      <c r="CL7" s="29">
        <f>Operations!CL49</f>
        <v/>
      </c>
      <c r="CM7" s="29">
        <f>Operations!CM49</f>
        <v/>
      </c>
      <c r="CN7" s="29">
        <f>Operations!CN49</f>
        <v/>
      </c>
      <c r="CO7" s="29">
        <f>Operations!CO49</f>
        <v/>
      </c>
      <c r="CP7" s="29">
        <f>Operations!CP49</f>
        <v/>
      </c>
      <c r="CQ7" s="29">
        <f>Operations!CQ49</f>
        <v/>
      </c>
      <c r="CR7" s="29">
        <f>Operations!CR49</f>
        <v/>
      </c>
      <c r="CS7" s="29">
        <f>Operations!CS49</f>
        <v/>
      </c>
      <c r="CT7" s="29">
        <f>Operations!CT49</f>
        <v/>
      </c>
      <c r="CU7" s="29">
        <f>Operations!CU49</f>
        <v/>
      </c>
      <c r="CV7" s="29">
        <f>Operations!CV49</f>
        <v/>
      </c>
      <c r="CW7" s="29">
        <f>Operations!CW49</f>
        <v/>
      </c>
      <c r="CX7" s="29">
        <f>Operations!CX49</f>
        <v/>
      </c>
      <c r="CY7" s="29">
        <f>Operations!CY49</f>
        <v/>
      </c>
      <c r="CZ7" s="29">
        <f>Operations!CZ49</f>
        <v/>
      </c>
      <c r="DA7" s="29">
        <f>Operations!DA49</f>
        <v/>
      </c>
      <c r="DB7" s="29">
        <f>Operations!DB49</f>
        <v/>
      </c>
    </row>
    <row r="8">
      <c r="D8" t="inlineStr">
        <is>
          <t>Ramp-up interest account release</t>
        </is>
      </c>
      <c r="E8" t="inlineStr">
        <is>
          <t>ARD m</t>
        </is>
      </c>
      <c r="G8" s="19">
        <f>SUM(J8:DB8)</f>
        <v/>
      </c>
      <c r="J8" s="29">
        <f>Debt!J39</f>
        <v/>
      </c>
      <c r="K8" s="29">
        <f>Debt!K39</f>
        <v/>
      </c>
      <c r="L8" s="29">
        <f>Debt!L39</f>
        <v/>
      </c>
      <c r="M8" s="29">
        <f>Debt!M39</f>
        <v/>
      </c>
      <c r="N8" s="29">
        <f>Debt!N39</f>
        <v/>
      </c>
      <c r="O8" s="29">
        <f>Debt!O39</f>
        <v/>
      </c>
      <c r="P8" s="29">
        <f>Debt!P39</f>
        <v/>
      </c>
      <c r="Q8" s="29">
        <f>Debt!Q39</f>
        <v/>
      </c>
      <c r="R8" s="29">
        <f>Debt!R39</f>
        <v/>
      </c>
      <c r="S8" s="29">
        <f>Debt!S39</f>
        <v/>
      </c>
      <c r="T8" s="29">
        <f>Debt!T39</f>
        <v/>
      </c>
      <c r="U8" s="29">
        <f>Debt!U39</f>
        <v/>
      </c>
      <c r="V8" s="29">
        <f>Debt!V39</f>
        <v/>
      </c>
      <c r="W8" s="29">
        <f>Debt!W39</f>
        <v/>
      </c>
      <c r="X8" s="29">
        <f>Debt!X39</f>
        <v/>
      </c>
      <c r="Y8" s="29">
        <f>Debt!Y39</f>
        <v/>
      </c>
      <c r="Z8" s="29">
        <f>Debt!Z39</f>
        <v/>
      </c>
      <c r="AA8" s="29">
        <f>Debt!AA39</f>
        <v/>
      </c>
      <c r="AB8" s="29">
        <f>Debt!AB39</f>
        <v/>
      </c>
      <c r="AC8" s="29">
        <f>Debt!AC39</f>
        <v/>
      </c>
      <c r="AD8" s="29">
        <f>Debt!AD39</f>
        <v/>
      </c>
      <c r="AE8" s="29">
        <f>Debt!AE39</f>
        <v/>
      </c>
      <c r="AF8" s="29">
        <f>Debt!AF39</f>
        <v/>
      </c>
      <c r="AG8" s="29">
        <f>Debt!AG39</f>
        <v/>
      </c>
      <c r="AH8" s="29">
        <f>Debt!AH39</f>
        <v/>
      </c>
      <c r="AI8" s="29">
        <f>Debt!AI39</f>
        <v/>
      </c>
      <c r="AJ8" s="29">
        <f>Debt!AJ39</f>
        <v/>
      </c>
      <c r="AK8" s="29">
        <f>Debt!AK39</f>
        <v/>
      </c>
      <c r="AL8" s="29">
        <f>Debt!AL39</f>
        <v/>
      </c>
      <c r="AM8" s="29">
        <f>Debt!AM39</f>
        <v/>
      </c>
      <c r="AN8" s="29">
        <f>Debt!AN39</f>
        <v/>
      </c>
      <c r="AO8" s="29">
        <f>Debt!AO39</f>
        <v/>
      </c>
      <c r="AP8" s="29">
        <f>Debt!AP39</f>
        <v/>
      </c>
      <c r="AQ8" s="29">
        <f>Debt!AQ39</f>
        <v/>
      </c>
      <c r="AR8" s="29">
        <f>Debt!AR39</f>
        <v/>
      </c>
      <c r="AS8" s="29">
        <f>Debt!AS39</f>
        <v/>
      </c>
      <c r="AT8" s="29">
        <f>Debt!AT39</f>
        <v/>
      </c>
      <c r="AU8" s="29">
        <f>Debt!AU39</f>
        <v/>
      </c>
      <c r="AV8" s="29">
        <f>Debt!AV39</f>
        <v/>
      </c>
      <c r="AW8" s="29">
        <f>Debt!AW39</f>
        <v/>
      </c>
      <c r="AX8" s="29">
        <f>Debt!AX39</f>
        <v/>
      </c>
      <c r="AY8" s="29">
        <f>Debt!AY39</f>
        <v/>
      </c>
      <c r="AZ8" s="29">
        <f>Debt!AZ39</f>
        <v/>
      </c>
      <c r="BA8" s="29">
        <f>Debt!BA39</f>
        <v/>
      </c>
      <c r="BB8" s="29">
        <f>Debt!BB39</f>
        <v/>
      </c>
      <c r="BC8" s="29">
        <f>Debt!BC39</f>
        <v/>
      </c>
      <c r="BD8" s="29">
        <f>Debt!BD39</f>
        <v/>
      </c>
      <c r="BE8" s="29">
        <f>Debt!BE39</f>
        <v/>
      </c>
      <c r="BF8" s="29">
        <f>Debt!BF39</f>
        <v/>
      </c>
      <c r="BG8" s="29">
        <f>Debt!BG39</f>
        <v/>
      </c>
      <c r="BH8" s="29">
        <f>Debt!BH39</f>
        <v/>
      </c>
      <c r="BI8" s="29">
        <f>Debt!BI39</f>
        <v/>
      </c>
      <c r="BJ8" s="29">
        <f>Debt!BJ39</f>
        <v/>
      </c>
      <c r="BK8" s="29">
        <f>Debt!BK39</f>
        <v/>
      </c>
      <c r="BL8" s="29">
        <f>Debt!BL39</f>
        <v/>
      </c>
      <c r="BM8" s="29">
        <f>Debt!BM39</f>
        <v/>
      </c>
      <c r="BN8" s="29">
        <f>Debt!BN39</f>
        <v/>
      </c>
      <c r="BO8" s="29">
        <f>Debt!BO39</f>
        <v/>
      </c>
      <c r="BP8" s="29">
        <f>Debt!BP39</f>
        <v/>
      </c>
      <c r="BQ8" s="29">
        <f>Debt!BQ39</f>
        <v/>
      </c>
      <c r="BR8" s="29">
        <f>Debt!BR39</f>
        <v/>
      </c>
      <c r="BS8" s="29">
        <f>Debt!BS39</f>
        <v/>
      </c>
      <c r="BT8" s="29">
        <f>Debt!BT39</f>
        <v/>
      </c>
      <c r="BU8" s="29">
        <f>Debt!BU39</f>
        <v/>
      </c>
      <c r="BV8" s="29">
        <f>Debt!BV39</f>
        <v/>
      </c>
      <c r="BW8" s="29">
        <f>Debt!BW39</f>
        <v/>
      </c>
      <c r="BX8" s="29">
        <f>Debt!BX39</f>
        <v/>
      </c>
      <c r="BY8" s="29">
        <f>Debt!BY39</f>
        <v/>
      </c>
      <c r="BZ8" s="29">
        <f>Debt!BZ39</f>
        <v/>
      </c>
      <c r="CA8" s="29">
        <f>Debt!CA39</f>
        <v/>
      </c>
      <c r="CB8" s="29">
        <f>Debt!CB39</f>
        <v/>
      </c>
      <c r="CC8" s="29">
        <f>Debt!CC39</f>
        <v/>
      </c>
      <c r="CD8" s="29">
        <f>Debt!CD39</f>
        <v/>
      </c>
      <c r="CE8" s="29">
        <f>Debt!CE39</f>
        <v/>
      </c>
      <c r="CF8" s="29">
        <f>Debt!CF39</f>
        <v/>
      </c>
      <c r="CG8" s="29">
        <f>Debt!CG39</f>
        <v/>
      </c>
      <c r="CH8" s="29">
        <f>Debt!CH39</f>
        <v/>
      </c>
      <c r="CI8" s="29">
        <f>Debt!CI39</f>
        <v/>
      </c>
      <c r="CJ8" s="29">
        <f>Debt!CJ39</f>
        <v/>
      </c>
      <c r="CK8" s="29">
        <f>Debt!CK39</f>
        <v/>
      </c>
      <c r="CL8" s="29">
        <f>Debt!CL39</f>
        <v/>
      </c>
      <c r="CM8" s="29">
        <f>Debt!CM39</f>
        <v/>
      </c>
      <c r="CN8" s="29">
        <f>Debt!CN39</f>
        <v/>
      </c>
      <c r="CO8" s="29">
        <f>Debt!CO39</f>
        <v/>
      </c>
      <c r="CP8" s="29">
        <f>Debt!CP39</f>
        <v/>
      </c>
      <c r="CQ8" s="29">
        <f>Debt!CQ39</f>
        <v/>
      </c>
      <c r="CR8" s="29">
        <f>Debt!CR39</f>
        <v/>
      </c>
      <c r="CS8" s="29">
        <f>Debt!CS39</f>
        <v/>
      </c>
      <c r="CT8" s="29">
        <f>Debt!CT39</f>
        <v/>
      </c>
      <c r="CU8" s="29">
        <f>Debt!CU39</f>
        <v/>
      </c>
      <c r="CV8" s="29">
        <f>Debt!CV39</f>
        <v/>
      </c>
      <c r="CW8" s="29">
        <f>Debt!CW39</f>
        <v/>
      </c>
      <c r="CX8" s="29">
        <f>Debt!CX39</f>
        <v/>
      </c>
      <c r="CY8" s="29">
        <f>Debt!CY39</f>
        <v/>
      </c>
      <c r="CZ8" s="29">
        <f>Debt!CZ39</f>
        <v/>
      </c>
      <c r="DA8" s="29">
        <f>Debt!DA39</f>
        <v/>
      </c>
      <c r="DB8" s="29">
        <f>Debt!DB39</f>
        <v/>
      </c>
    </row>
    <row r="9">
      <c r="D9" t="inlineStr">
        <is>
          <t>Sponsor support loans</t>
        </is>
      </c>
      <c r="E9" t="inlineStr">
        <is>
          <t>ARD m</t>
        </is>
      </c>
      <c r="G9" s="19">
        <f>SUM(J9:DB9)</f>
        <v/>
      </c>
      <c r="J9" s="19">
        <f>Inputs!$F$214*IFERROR(INDEX(Inputs!$J$267:$K$267,MATCH(Time!J13,Inputs!$J$266:$K$266,0)),0)</f>
        <v/>
      </c>
      <c r="K9" s="19">
        <f>Inputs!$F$214*IFERROR(INDEX(Inputs!$J$267:$K$267,MATCH(Time!K13,Inputs!$J$266:$K$266,0)),0)</f>
        <v/>
      </c>
      <c r="L9" s="19">
        <f>Inputs!$F$214*IFERROR(INDEX(Inputs!$J$267:$K$267,MATCH(Time!L13,Inputs!$J$266:$K$266,0)),0)</f>
        <v/>
      </c>
      <c r="M9" s="19">
        <f>Inputs!$F$214*IFERROR(INDEX(Inputs!$J$267:$K$267,MATCH(Time!M13,Inputs!$J$266:$K$266,0)),0)</f>
        <v/>
      </c>
      <c r="N9" s="19">
        <f>Inputs!$F$214*IFERROR(INDEX(Inputs!$J$267:$K$267,MATCH(Time!N13,Inputs!$J$266:$K$266,0)),0)</f>
        <v/>
      </c>
      <c r="O9" s="19">
        <f>Inputs!$F$214*IFERROR(INDEX(Inputs!$J$267:$K$267,MATCH(Time!O13,Inputs!$J$266:$K$266,0)),0)</f>
        <v/>
      </c>
      <c r="P9" s="19">
        <f>Inputs!$F$214*IFERROR(INDEX(Inputs!$J$267:$K$267,MATCH(Time!P13,Inputs!$J$266:$K$266,0)),0)</f>
        <v/>
      </c>
      <c r="Q9" s="19">
        <f>Inputs!$F$214*IFERROR(INDEX(Inputs!$J$267:$K$267,MATCH(Time!Q13,Inputs!$J$266:$K$266,0)),0)</f>
        <v/>
      </c>
      <c r="R9" s="19">
        <f>Inputs!$F$214*IFERROR(INDEX(Inputs!$J$267:$K$267,MATCH(Time!R13,Inputs!$J$266:$K$266,0)),0)</f>
        <v/>
      </c>
      <c r="S9" s="19">
        <f>Inputs!$F$214*IFERROR(INDEX(Inputs!$J$267:$K$267,MATCH(Time!S13,Inputs!$J$266:$K$266,0)),0)</f>
        <v/>
      </c>
      <c r="T9" s="19">
        <f>Inputs!$F$214*IFERROR(INDEX(Inputs!$J$267:$K$267,MATCH(Time!T13,Inputs!$J$266:$K$266,0)),0)</f>
        <v/>
      </c>
      <c r="U9" s="19">
        <f>Inputs!$F$214*IFERROR(INDEX(Inputs!$J$267:$K$267,MATCH(Time!U13,Inputs!$J$266:$K$266,0)),0)</f>
        <v/>
      </c>
      <c r="V9" s="19">
        <f>Inputs!$F$214*IFERROR(INDEX(Inputs!$J$267:$K$267,MATCH(Time!V13,Inputs!$J$266:$K$266,0)),0)</f>
        <v/>
      </c>
      <c r="W9" s="19">
        <f>Inputs!$F$214*IFERROR(INDEX(Inputs!$J$267:$K$267,MATCH(Time!W13,Inputs!$J$266:$K$266,0)),0)</f>
        <v/>
      </c>
      <c r="X9" s="19">
        <f>Inputs!$F$214*IFERROR(INDEX(Inputs!$J$267:$K$267,MATCH(Time!X13,Inputs!$J$266:$K$266,0)),0)</f>
        <v/>
      </c>
      <c r="Y9" s="19">
        <f>Inputs!$F$214*IFERROR(INDEX(Inputs!$J$267:$K$267,MATCH(Time!Y13,Inputs!$J$266:$K$266,0)),0)</f>
        <v/>
      </c>
      <c r="Z9" s="19">
        <f>Inputs!$F$214*IFERROR(INDEX(Inputs!$J$267:$K$267,MATCH(Time!Z13,Inputs!$J$266:$K$266,0)),0)</f>
        <v/>
      </c>
      <c r="AA9" s="19">
        <f>Inputs!$F$214*IFERROR(INDEX(Inputs!$J$267:$K$267,MATCH(Time!AA13,Inputs!$J$266:$K$266,0)),0)</f>
        <v/>
      </c>
      <c r="AB9" s="19">
        <f>Inputs!$F$214*IFERROR(INDEX(Inputs!$J$267:$K$267,MATCH(Time!AB13,Inputs!$J$266:$K$266,0)),0)</f>
        <v/>
      </c>
      <c r="AC9" s="19">
        <f>Inputs!$F$214*IFERROR(INDEX(Inputs!$J$267:$K$267,MATCH(Time!AC13,Inputs!$J$266:$K$266,0)),0)</f>
        <v/>
      </c>
      <c r="AD9" s="19">
        <f>Inputs!$F$214*IFERROR(INDEX(Inputs!$J$267:$K$267,MATCH(Time!AD13,Inputs!$J$266:$K$266,0)),0)</f>
        <v/>
      </c>
      <c r="AE9" s="19">
        <f>Inputs!$F$214*IFERROR(INDEX(Inputs!$J$267:$K$267,MATCH(Time!AE13,Inputs!$J$266:$K$266,0)),0)</f>
        <v/>
      </c>
      <c r="AF9" s="19">
        <f>Inputs!$F$214*IFERROR(INDEX(Inputs!$J$267:$K$267,MATCH(Time!AF13,Inputs!$J$266:$K$266,0)),0)</f>
        <v/>
      </c>
      <c r="AG9" s="19">
        <f>Inputs!$F$214*IFERROR(INDEX(Inputs!$J$267:$K$267,MATCH(Time!AG13,Inputs!$J$266:$K$266,0)),0)</f>
        <v/>
      </c>
      <c r="AH9" s="19">
        <f>Inputs!$F$214*IFERROR(INDEX(Inputs!$J$267:$K$267,MATCH(Time!AH13,Inputs!$J$266:$K$266,0)),0)</f>
        <v/>
      </c>
      <c r="AI9" s="19">
        <f>Inputs!$F$214*IFERROR(INDEX(Inputs!$J$267:$K$267,MATCH(Time!AI13,Inputs!$J$266:$K$266,0)),0)</f>
        <v/>
      </c>
      <c r="AJ9" s="19">
        <f>Inputs!$F$214*IFERROR(INDEX(Inputs!$J$267:$K$267,MATCH(Time!AJ13,Inputs!$J$266:$K$266,0)),0)</f>
        <v/>
      </c>
      <c r="AK9" s="19">
        <f>Inputs!$F$214*IFERROR(INDEX(Inputs!$J$267:$K$267,MATCH(Time!AK13,Inputs!$J$266:$K$266,0)),0)</f>
        <v/>
      </c>
      <c r="AL9" s="19">
        <f>Inputs!$F$214*IFERROR(INDEX(Inputs!$J$267:$K$267,MATCH(Time!AL13,Inputs!$J$266:$K$266,0)),0)</f>
        <v/>
      </c>
      <c r="AM9" s="19">
        <f>Inputs!$F$214*IFERROR(INDEX(Inputs!$J$267:$K$267,MATCH(Time!AM13,Inputs!$J$266:$K$266,0)),0)</f>
        <v/>
      </c>
      <c r="AN9" s="19">
        <f>Inputs!$F$214*IFERROR(INDEX(Inputs!$J$267:$K$267,MATCH(Time!AN13,Inputs!$J$266:$K$266,0)),0)</f>
        <v/>
      </c>
      <c r="AO9" s="19">
        <f>Inputs!$F$214*IFERROR(INDEX(Inputs!$J$267:$K$267,MATCH(Time!AO13,Inputs!$J$266:$K$266,0)),0)</f>
        <v/>
      </c>
      <c r="AP9" s="19">
        <f>Inputs!$F$214*IFERROR(INDEX(Inputs!$J$267:$K$267,MATCH(Time!AP13,Inputs!$J$266:$K$266,0)),0)</f>
        <v/>
      </c>
      <c r="AQ9" s="19">
        <f>Inputs!$F$214*IFERROR(INDEX(Inputs!$J$267:$K$267,MATCH(Time!AQ13,Inputs!$J$266:$K$266,0)),0)</f>
        <v/>
      </c>
      <c r="AR9" s="19">
        <f>Inputs!$F$214*IFERROR(INDEX(Inputs!$J$267:$K$267,MATCH(Time!AR13,Inputs!$J$266:$K$266,0)),0)</f>
        <v/>
      </c>
      <c r="AS9" s="19">
        <f>Inputs!$F$214*IFERROR(INDEX(Inputs!$J$267:$K$267,MATCH(Time!AS13,Inputs!$J$266:$K$266,0)),0)</f>
        <v/>
      </c>
      <c r="AT9" s="19">
        <f>Inputs!$F$214*IFERROR(INDEX(Inputs!$J$267:$K$267,MATCH(Time!AT13,Inputs!$J$266:$K$266,0)),0)</f>
        <v/>
      </c>
      <c r="AU9" s="19">
        <f>Inputs!$F$214*IFERROR(INDEX(Inputs!$J$267:$K$267,MATCH(Time!AU13,Inputs!$J$266:$K$266,0)),0)</f>
        <v/>
      </c>
      <c r="AV9" s="19">
        <f>Inputs!$F$214*IFERROR(INDEX(Inputs!$J$267:$K$267,MATCH(Time!AV13,Inputs!$J$266:$K$266,0)),0)</f>
        <v/>
      </c>
      <c r="AW9" s="19">
        <f>Inputs!$F$214*IFERROR(INDEX(Inputs!$J$267:$K$267,MATCH(Time!AW13,Inputs!$J$266:$K$266,0)),0)</f>
        <v/>
      </c>
      <c r="AX9" s="19">
        <f>Inputs!$F$214*IFERROR(INDEX(Inputs!$J$267:$K$267,MATCH(Time!AX13,Inputs!$J$266:$K$266,0)),0)</f>
        <v/>
      </c>
      <c r="AY9" s="19">
        <f>Inputs!$F$214*IFERROR(INDEX(Inputs!$J$267:$K$267,MATCH(Time!AY13,Inputs!$J$266:$K$266,0)),0)</f>
        <v/>
      </c>
      <c r="AZ9" s="19">
        <f>Inputs!$F$214*IFERROR(INDEX(Inputs!$J$267:$K$267,MATCH(Time!AZ13,Inputs!$J$266:$K$266,0)),0)</f>
        <v/>
      </c>
      <c r="BA9" s="19">
        <f>Inputs!$F$214*IFERROR(INDEX(Inputs!$J$267:$K$267,MATCH(Time!BA13,Inputs!$J$266:$K$266,0)),0)</f>
        <v/>
      </c>
      <c r="BB9" s="19">
        <f>Inputs!$F$214*IFERROR(INDEX(Inputs!$J$267:$K$267,MATCH(Time!BB13,Inputs!$J$266:$K$266,0)),0)</f>
        <v/>
      </c>
      <c r="BC9" s="19">
        <f>Inputs!$F$214*IFERROR(INDEX(Inputs!$J$267:$K$267,MATCH(Time!BC13,Inputs!$J$266:$K$266,0)),0)</f>
        <v/>
      </c>
      <c r="BD9" s="19">
        <f>Inputs!$F$214*IFERROR(INDEX(Inputs!$J$267:$K$267,MATCH(Time!BD13,Inputs!$J$266:$K$266,0)),0)</f>
        <v/>
      </c>
      <c r="BE9" s="19">
        <f>Inputs!$F$214*IFERROR(INDEX(Inputs!$J$267:$K$267,MATCH(Time!BE13,Inputs!$J$266:$K$266,0)),0)</f>
        <v/>
      </c>
      <c r="BF9" s="19">
        <f>Inputs!$F$214*IFERROR(INDEX(Inputs!$J$267:$K$267,MATCH(Time!BF13,Inputs!$J$266:$K$266,0)),0)</f>
        <v/>
      </c>
      <c r="BG9" s="19">
        <f>Inputs!$F$214*IFERROR(INDEX(Inputs!$J$267:$K$267,MATCH(Time!BG13,Inputs!$J$266:$K$266,0)),0)</f>
        <v/>
      </c>
      <c r="BH9" s="19">
        <f>Inputs!$F$214*IFERROR(INDEX(Inputs!$J$267:$K$267,MATCH(Time!BH13,Inputs!$J$266:$K$266,0)),0)</f>
        <v/>
      </c>
      <c r="BI9" s="19">
        <f>Inputs!$F$214*IFERROR(INDEX(Inputs!$J$267:$K$267,MATCH(Time!BI13,Inputs!$J$266:$K$266,0)),0)</f>
        <v/>
      </c>
      <c r="BJ9" s="19">
        <f>Inputs!$F$214*IFERROR(INDEX(Inputs!$J$267:$K$267,MATCH(Time!BJ13,Inputs!$J$266:$K$266,0)),0)</f>
        <v/>
      </c>
      <c r="BK9" s="19">
        <f>Inputs!$F$214*IFERROR(INDEX(Inputs!$J$267:$K$267,MATCH(Time!BK13,Inputs!$J$266:$K$266,0)),0)</f>
        <v/>
      </c>
      <c r="BL9" s="19">
        <f>Inputs!$F$214*IFERROR(INDEX(Inputs!$J$267:$K$267,MATCH(Time!BL13,Inputs!$J$266:$K$266,0)),0)</f>
        <v/>
      </c>
      <c r="BM9" s="19">
        <f>Inputs!$F$214*IFERROR(INDEX(Inputs!$J$267:$K$267,MATCH(Time!BM13,Inputs!$J$266:$K$266,0)),0)</f>
        <v/>
      </c>
      <c r="BN9" s="19">
        <f>Inputs!$F$214*IFERROR(INDEX(Inputs!$J$267:$K$267,MATCH(Time!BN13,Inputs!$J$266:$K$266,0)),0)</f>
        <v/>
      </c>
      <c r="BO9" s="19">
        <f>Inputs!$F$214*IFERROR(INDEX(Inputs!$J$267:$K$267,MATCH(Time!BO13,Inputs!$J$266:$K$266,0)),0)</f>
        <v/>
      </c>
      <c r="BP9" s="19">
        <f>Inputs!$F$214*IFERROR(INDEX(Inputs!$J$267:$K$267,MATCH(Time!BP13,Inputs!$J$266:$K$266,0)),0)</f>
        <v/>
      </c>
      <c r="BQ9" s="19">
        <f>Inputs!$F$214*IFERROR(INDEX(Inputs!$J$267:$K$267,MATCH(Time!BQ13,Inputs!$J$266:$K$266,0)),0)</f>
        <v/>
      </c>
      <c r="BR9" s="19">
        <f>Inputs!$F$214*IFERROR(INDEX(Inputs!$J$267:$K$267,MATCH(Time!BR13,Inputs!$J$266:$K$266,0)),0)</f>
        <v/>
      </c>
      <c r="BS9" s="19">
        <f>Inputs!$F$214*IFERROR(INDEX(Inputs!$J$267:$K$267,MATCH(Time!BS13,Inputs!$J$266:$K$266,0)),0)</f>
        <v/>
      </c>
      <c r="BT9" s="19">
        <f>Inputs!$F$214*IFERROR(INDEX(Inputs!$J$267:$K$267,MATCH(Time!BT13,Inputs!$J$266:$K$266,0)),0)</f>
        <v/>
      </c>
      <c r="BU9" s="19">
        <f>Inputs!$F$214*IFERROR(INDEX(Inputs!$J$267:$K$267,MATCH(Time!BU13,Inputs!$J$266:$K$266,0)),0)</f>
        <v/>
      </c>
      <c r="BV9" s="19">
        <f>Inputs!$F$214*IFERROR(INDEX(Inputs!$J$267:$K$267,MATCH(Time!BV13,Inputs!$J$266:$K$266,0)),0)</f>
        <v/>
      </c>
      <c r="BW9" s="19">
        <f>Inputs!$F$214*IFERROR(INDEX(Inputs!$J$267:$K$267,MATCH(Time!BW13,Inputs!$J$266:$K$266,0)),0)</f>
        <v/>
      </c>
      <c r="BX9" s="19">
        <f>Inputs!$F$214*IFERROR(INDEX(Inputs!$J$267:$K$267,MATCH(Time!BX13,Inputs!$J$266:$K$266,0)),0)</f>
        <v/>
      </c>
      <c r="BY9" s="19">
        <f>Inputs!$F$214*IFERROR(INDEX(Inputs!$J$267:$K$267,MATCH(Time!BY13,Inputs!$J$266:$K$266,0)),0)</f>
        <v/>
      </c>
      <c r="BZ9" s="19">
        <f>Inputs!$F$214*IFERROR(INDEX(Inputs!$J$267:$K$267,MATCH(Time!BZ13,Inputs!$J$266:$K$266,0)),0)</f>
        <v/>
      </c>
      <c r="CA9" s="19">
        <f>Inputs!$F$214*IFERROR(INDEX(Inputs!$J$267:$K$267,MATCH(Time!CA13,Inputs!$J$266:$K$266,0)),0)</f>
        <v/>
      </c>
      <c r="CB9" s="19">
        <f>Inputs!$F$214*IFERROR(INDEX(Inputs!$J$267:$K$267,MATCH(Time!CB13,Inputs!$J$266:$K$266,0)),0)</f>
        <v/>
      </c>
      <c r="CC9" s="19">
        <f>Inputs!$F$214*IFERROR(INDEX(Inputs!$J$267:$K$267,MATCH(Time!CC13,Inputs!$J$266:$K$266,0)),0)</f>
        <v/>
      </c>
      <c r="CD9" s="19">
        <f>Inputs!$F$214*IFERROR(INDEX(Inputs!$J$267:$K$267,MATCH(Time!CD13,Inputs!$J$266:$K$266,0)),0)</f>
        <v/>
      </c>
      <c r="CE9" s="19">
        <f>Inputs!$F$214*IFERROR(INDEX(Inputs!$J$267:$K$267,MATCH(Time!CE13,Inputs!$J$266:$K$266,0)),0)</f>
        <v/>
      </c>
      <c r="CF9" s="19">
        <f>Inputs!$F$214*IFERROR(INDEX(Inputs!$J$267:$K$267,MATCH(Time!CF13,Inputs!$J$266:$K$266,0)),0)</f>
        <v/>
      </c>
      <c r="CG9" s="19">
        <f>Inputs!$F$214*IFERROR(INDEX(Inputs!$J$267:$K$267,MATCH(Time!CG13,Inputs!$J$266:$K$266,0)),0)</f>
        <v/>
      </c>
      <c r="CH9" s="19">
        <f>Inputs!$F$214*IFERROR(INDEX(Inputs!$J$267:$K$267,MATCH(Time!CH13,Inputs!$J$266:$K$266,0)),0)</f>
        <v/>
      </c>
      <c r="CI9" s="19">
        <f>Inputs!$F$214*IFERROR(INDEX(Inputs!$J$267:$K$267,MATCH(Time!CI13,Inputs!$J$266:$K$266,0)),0)</f>
        <v/>
      </c>
      <c r="CJ9" s="19">
        <f>Inputs!$F$214*IFERROR(INDEX(Inputs!$J$267:$K$267,MATCH(Time!CJ13,Inputs!$J$266:$K$266,0)),0)</f>
        <v/>
      </c>
      <c r="CK9" s="19">
        <f>Inputs!$F$214*IFERROR(INDEX(Inputs!$J$267:$K$267,MATCH(Time!CK13,Inputs!$J$266:$K$266,0)),0)</f>
        <v/>
      </c>
      <c r="CL9" s="19">
        <f>Inputs!$F$214*IFERROR(INDEX(Inputs!$J$267:$K$267,MATCH(Time!CL13,Inputs!$J$266:$K$266,0)),0)</f>
        <v/>
      </c>
      <c r="CM9" s="19">
        <f>Inputs!$F$214*IFERROR(INDEX(Inputs!$J$267:$K$267,MATCH(Time!CM13,Inputs!$J$266:$K$266,0)),0)</f>
        <v/>
      </c>
      <c r="CN9" s="19">
        <f>Inputs!$F$214*IFERROR(INDEX(Inputs!$J$267:$K$267,MATCH(Time!CN13,Inputs!$J$266:$K$266,0)),0)</f>
        <v/>
      </c>
      <c r="CO9" s="19">
        <f>Inputs!$F$214*IFERROR(INDEX(Inputs!$J$267:$K$267,MATCH(Time!CO13,Inputs!$J$266:$K$266,0)),0)</f>
        <v/>
      </c>
      <c r="CP9" s="19">
        <f>Inputs!$F$214*IFERROR(INDEX(Inputs!$J$267:$K$267,MATCH(Time!CP13,Inputs!$J$266:$K$266,0)),0)</f>
        <v/>
      </c>
      <c r="CQ9" s="19">
        <f>Inputs!$F$214*IFERROR(INDEX(Inputs!$J$267:$K$267,MATCH(Time!CQ13,Inputs!$J$266:$K$266,0)),0)</f>
        <v/>
      </c>
      <c r="CR9" s="19">
        <f>Inputs!$F$214*IFERROR(INDEX(Inputs!$J$267:$K$267,MATCH(Time!CR13,Inputs!$J$266:$K$266,0)),0)</f>
        <v/>
      </c>
      <c r="CS9" s="19">
        <f>Inputs!$F$214*IFERROR(INDEX(Inputs!$J$267:$K$267,MATCH(Time!CS13,Inputs!$J$266:$K$266,0)),0)</f>
        <v/>
      </c>
      <c r="CT9" s="19">
        <f>Inputs!$F$214*IFERROR(INDEX(Inputs!$J$267:$K$267,MATCH(Time!CT13,Inputs!$J$266:$K$266,0)),0)</f>
        <v/>
      </c>
      <c r="CU9" s="19">
        <f>Inputs!$F$214*IFERROR(INDEX(Inputs!$J$267:$K$267,MATCH(Time!CU13,Inputs!$J$266:$K$266,0)),0)</f>
        <v/>
      </c>
      <c r="CV9" s="19">
        <f>Inputs!$F$214*IFERROR(INDEX(Inputs!$J$267:$K$267,MATCH(Time!CV13,Inputs!$J$266:$K$266,0)),0)</f>
        <v/>
      </c>
      <c r="CW9" s="19">
        <f>Inputs!$F$214*IFERROR(INDEX(Inputs!$J$267:$K$267,MATCH(Time!CW13,Inputs!$J$266:$K$266,0)),0)</f>
        <v/>
      </c>
      <c r="CX9" s="19">
        <f>Inputs!$F$214*IFERROR(INDEX(Inputs!$J$267:$K$267,MATCH(Time!CX13,Inputs!$J$266:$K$266,0)),0)</f>
        <v/>
      </c>
      <c r="CY9" s="19">
        <f>Inputs!$F$214*IFERROR(INDEX(Inputs!$J$267:$K$267,MATCH(Time!CY13,Inputs!$J$266:$K$266,0)),0)</f>
        <v/>
      </c>
      <c r="CZ9" s="19">
        <f>Inputs!$F$214*IFERROR(INDEX(Inputs!$J$267:$K$267,MATCH(Time!CZ13,Inputs!$J$266:$K$266,0)),0)</f>
        <v/>
      </c>
      <c r="DA9" s="19">
        <f>Inputs!$F$214*IFERROR(INDEX(Inputs!$J$267:$K$267,MATCH(Time!DA13,Inputs!$J$266:$K$266,0)),0)</f>
        <v/>
      </c>
      <c r="DB9" s="19">
        <f>Inputs!$F$214*IFERROR(INDEX(Inputs!$J$267:$K$267,MATCH(Time!DB13,Inputs!$J$266:$K$266,0)),0)</f>
        <v/>
      </c>
    </row>
    <row r="10">
      <c r="D10" t="inlineStr">
        <is>
          <t>Cash available for senior debt service</t>
        </is>
      </c>
      <c r="E10" t="inlineStr">
        <is>
          <t>ARD m</t>
        </is>
      </c>
      <c r="J10" s="19">
        <f>(J6+J7+J8+J9)*(1-Time!J20)</f>
        <v/>
      </c>
      <c r="K10" s="19">
        <f>(K6+K7+K8+K9)*(1-Time!K20)</f>
        <v/>
      </c>
      <c r="L10" s="19">
        <f>(L6+L7+L8+L9)*(1-Time!L20)</f>
        <v/>
      </c>
      <c r="M10" s="19">
        <f>(M6+M7+M8+M9)*(1-Time!M20)</f>
        <v/>
      </c>
      <c r="N10" s="19">
        <f>(N6+N7+N8+N9)*(1-Time!N20)</f>
        <v/>
      </c>
      <c r="O10" s="19">
        <f>(O6+O7+O8+O9)*(1-Time!O20)</f>
        <v/>
      </c>
      <c r="P10" s="19">
        <f>(P6+P7+P8+P9)*(1-Time!P20)</f>
        <v/>
      </c>
      <c r="Q10" s="19">
        <f>(Q6+Q7+Q8+Q9)*(1-Time!Q20)</f>
        <v/>
      </c>
      <c r="R10" s="19">
        <f>(R6+R7+R8+R9)*(1-Time!R20)</f>
        <v/>
      </c>
      <c r="S10" s="19">
        <f>(S6+S7+S8+S9)*(1-Time!S20)</f>
        <v/>
      </c>
      <c r="T10" s="19">
        <f>(T6+T7+T8+T9)*(1-Time!T20)</f>
        <v/>
      </c>
      <c r="U10" s="19">
        <f>(U6+U7+U8+U9)*(1-Time!U20)</f>
        <v/>
      </c>
      <c r="V10" s="19">
        <f>(V6+V7+V8+V9)*(1-Time!V20)</f>
        <v/>
      </c>
      <c r="W10" s="19">
        <f>(W6+W7+W8+W9)*(1-Time!W20)</f>
        <v/>
      </c>
      <c r="X10" s="19">
        <f>(X6+X7+X8+X9)*(1-Time!X20)</f>
        <v/>
      </c>
      <c r="Y10" s="19">
        <f>(Y6+Y7+Y8+Y9)*(1-Time!Y20)</f>
        <v/>
      </c>
      <c r="Z10" s="19">
        <f>(Z6+Z7+Z8+Z9)*(1-Time!Z20)</f>
        <v/>
      </c>
      <c r="AA10" s="19">
        <f>(AA6+AA7+AA8+AA9)*(1-Time!AA20)</f>
        <v/>
      </c>
      <c r="AB10" s="19">
        <f>(AB6+AB7+AB8+AB9)*(1-Time!AB20)</f>
        <v/>
      </c>
      <c r="AC10" s="19">
        <f>(AC6+AC7+AC8+AC9)*(1-Time!AC20)</f>
        <v/>
      </c>
      <c r="AD10" s="19">
        <f>(AD6+AD7+AD8+AD9)*(1-Time!AD20)</f>
        <v/>
      </c>
      <c r="AE10" s="19">
        <f>(AE6+AE7+AE8+AE9)*(1-Time!AE20)</f>
        <v/>
      </c>
      <c r="AF10" s="19">
        <f>(AF6+AF7+AF8+AF9)*(1-Time!AF20)</f>
        <v/>
      </c>
      <c r="AG10" s="19">
        <f>(AG6+AG7+AG8+AG9)*(1-Time!AG20)</f>
        <v/>
      </c>
      <c r="AH10" s="19">
        <f>(AH6+AH7+AH8+AH9)*(1-Time!AH20)</f>
        <v/>
      </c>
      <c r="AI10" s="19">
        <f>(AI6+AI7+AI8+AI9)*(1-Time!AI20)</f>
        <v/>
      </c>
      <c r="AJ10" s="19">
        <f>(AJ6+AJ7+AJ8+AJ9)*(1-Time!AJ20)</f>
        <v/>
      </c>
      <c r="AK10" s="19">
        <f>(AK6+AK7+AK8+AK9)*(1-Time!AK20)</f>
        <v/>
      </c>
      <c r="AL10" s="19">
        <f>(AL6+AL7+AL8+AL9)*(1-Time!AL20)</f>
        <v/>
      </c>
      <c r="AM10" s="19">
        <f>(AM6+AM7+AM8+AM9)*(1-Time!AM20)</f>
        <v/>
      </c>
      <c r="AN10" s="19">
        <f>(AN6+AN7+AN8+AN9)*(1-Time!AN20)</f>
        <v/>
      </c>
      <c r="AO10" s="19">
        <f>(AO6+AO7+AO8+AO9)*(1-Time!AO20)</f>
        <v/>
      </c>
      <c r="AP10" s="19">
        <f>(AP6+AP7+AP8+AP9)*(1-Time!AP20)</f>
        <v/>
      </c>
      <c r="AQ10" s="19">
        <f>(AQ6+AQ7+AQ8+AQ9)*(1-Time!AQ20)</f>
        <v/>
      </c>
      <c r="AR10" s="19">
        <f>(AR6+AR7+AR8+AR9)*(1-Time!AR20)</f>
        <v/>
      </c>
      <c r="AS10" s="19">
        <f>(AS6+AS7+AS8+AS9)*(1-Time!AS20)</f>
        <v/>
      </c>
      <c r="AT10" s="19">
        <f>(AT6+AT7+AT8+AT9)*(1-Time!AT20)</f>
        <v/>
      </c>
      <c r="AU10" s="19">
        <f>(AU6+AU7+AU8+AU9)*(1-Time!AU20)</f>
        <v/>
      </c>
      <c r="AV10" s="19">
        <f>(AV6+AV7+AV8+AV9)*(1-Time!AV20)</f>
        <v/>
      </c>
      <c r="AW10" s="19">
        <f>(AW6+AW7+AW8+AW9)*(1-Time!AW20)</f>
        <v/>
      </c>
      <c r="AX10" s="19">
        <f>(AX6+AX7+AX8+AX9)*(1-Time!AX20)</f>
        <v/>
      </c>
      <c r="AY10" s="19">
        <f>(AY6+AY7+AY8+AY9)*(1-Time!AY20)</f>
        <v/>
      </c>
      <c r="AZ10" s="19">
        <f>(AZ6+AZ7+AZ8+AZ9)*(1-Time!AZ20)</f>
        <v/>
      </c>
      <c r="BA10" s="19">
        <f>(BA6+BA7+BA8+BA9)*(1-Time!BA20)</f>
        <v/>
      </c>
      <c r="BB10" s="19">
        <f>(BB6+BB7+BB8+BB9)*(1-Time!BB20)</f>
        <v/>
      </c>
      <c r="BC10" s="19">
        <f>(BC6+BC7+BC8+BC9)*(1-Time!BC20)</f>
        <v/>
      </c>
      <c r="BD10" s="19">
        <f>(BD6+BD7+BD8+BD9)*(1-Time!BD20)</f>
        <v/>
      </c>
      <c r="BE10" s="19">
        <f>(BE6+BE7+BE8+BE9)*(1-Time!BE20)</f>
        <v/>
      </c>
      <c r="BF10" s="19">
        <f>(BF6+BF7+BF8+BF9)*(1-Time!BF20)</f>
        <v/>
      </c>
      <c r="BG10" s="19">
        <f>(BG6+BG7+BG8+BG9)*(1-Time!BG20)</f>
        <v/>
      </c>
      <c r="BH10" s="19">
        <f>(BH6+BH7+BH8+BH9)*(1-Time!BH20)</f>
        <v/>
      </c>
      <c r="BI10" s="19">
        <f>(BI6+BI7+BI8+BI9)*(1-Time!BI20)</f>
        <v/>
      </c>
      <c r="BJ10" s="19">
        <f>(BJ6+BJ7+BJ8+BJ9)*(1-Time!BJ20)</f>
        <v/>
      </c>
      <c r="BK10" s="19">
        <f>(BK6+BK7+BK8+BK9)*(1-Time!BK20)</f>
        <v/>
      </c>
      <c r="BL10" s="19">
        <f>(BL6+BL7+BL8+BL9)*(1-Time!BL20)</f>
        <v/>
      </c>
      <c r="BM10" s="19">
        <f>(BM6+BM7+BM8+BM9)*(1-Time!BM20)</f>
        <v/>
      </c>
      <c r="BN10" s="19">
        <f>(BN6+BN7+BN8+BN9)*(1-Time!BN20)</f>
        <v/>
      </c>
      <c r="BO10" s="19">
        <f>(BO6+BO7+BO8+BO9)*(1-Time!BO20)</f>
        <v/>
      </c>
      <c r="BP10" s="19">
        <f>(BP6+BP7+BP8+BP9)*(1-Time!BP20)</f>
        <v/>
      </c>
      <c r="BQ10" s="19">
        <f>(BQ6+BQ7+BQ8+BQ9)*(1-Time!BQ20)</f>
        <v/>
      </c>
      <c r="BR10" s="19">
        <f>(BR6+BR7+BR8+BR9)*(1-Time!BR20)</f>
        <v/>
      </c>
      <c r="BS10" s="19">
        <f>(BS6+BS7+BS8+BS9)*(1-Time!BS20)</f>
        <v/>
      </c>
      <c r="BT10" s="19">
        <f>(BT6+BT7+BT8+BT9)*(1-Time!BT20)</f>
        <v/>
      </c>
      <c r="BU10" s="19">
        <f>(BU6+BU7+BU8+BU9)*(1-Time!BU20)</f>
        <v/>
      </c>
      <c r="BV10" s="19">
        <f>(BV6+BV7+BV8+BV9)*(1-Time!BV20)</f>
        <v/>
      </c>
      <c r="BW10" s="19">
        <f>(BW6+BW7+BW8+BW9)*(1-Time!BW20)</f>
        <v/>
      </c>
      <c r="BX10" s="19">
        <f>(BX6+BX7+BX8+BX9)*(1-Time!BX20)</f>
        <v/>
      </c>
      <c r="BY10" s="19">
        <f>(BY6+BY7+BY8+BY9)*(1-Time!BY20)</f>
        <v/>
      </c>
      <c r="BZ10" s="19">
        <f>(BZ6+BZ7+BZ8+BZ9)*(1-Time!BZ20)</f>
        <v/>
      </c>
      <c r="CA10" s="19">
        <f>(CA6+CA7+CA8+CA9)*(1-Time!CA20)</f>
        <v/>
      </c>
      <c r="CB10" s="19">
        <f>(CB6+CB7+CB8+CB9)*(1-Time!CB20)</f>
        <v/>
      </c>
      <c r="CC10" s="19">
        <f>(CC6+CC7+CC8+CC9)*(1-Time!CC20)</f>
        <v/>
      </c>
      <c r="CD10" s="19">
        <f>(CD6+CD7+CD8+CD9)*(1-Time!CD20)</f>
        <v/>
      </c>
      <c r="CE10" s="19">
        <f>(CE6+CE7+CE8+CE9)*(1-Time!CE20)</f>
        <v/>
      </c>
      <c r="CF10" s="19">
        <f>(CF6+CF7+CF8+CF9)*(1-Time!CF20)</f>
        <v/>
      </c>
      <c r="CG10" s="19">
        <f>(CG6+CG7+CG8+CG9)*(1-Time!CG20)</f>
        <v/>
      </c>
      <c r="CH10" s="19">
        <f>(CH6+CH7+CH8+CH9)*(1-Time!CH20)</f>
        <v/>
      </c>
      <c r="CI10" s="19">
        <f>(CI6+CI7+CI8+CI9)*(1-Time!CI20)</f>
        <v/>
      </c>
      <c r="CJ10" s="19">
        <f>(CJ6+CJ7+CJ8+CJ9)*(1-Time!CJ20)</f>
        <v/>
      </c>
      <c r="CK10" s="19">
        <f>(CK6+CK7+CK8+CK9)*(1-Time!CK20)</f>
        <v/>
      </c>
      <c r="CL10" s="19">
        <f>(CL6+CL7+CL8+CL9)*(1-Time!CL20)</f>
        <v/>
      </c>
      <c r="CM10" s="19">
        <f>(CM6+CM7+CM8+CM9)*(1-Time!CM20)</f>
        <v/>
      </c>
      <c r="CN10" s="19">
        <f>(CN6+CN7+CN8+CN9)*(1-Time!CN20)</f>
        <v/>
      </c>
      <c r="CO10" s="19">
        <f>(CO6+CO7+CO8+CO9)*(1-Time!CO20)</f>
        <v/>
      </c>
      <c r="CP10" s="19">
        <f>(CP6+CP7+CP8+CP9)*(1-Time!CP20)</f>
        <v/>
      </c>
      <c r="CQ10" s="19">
        <f>(CQ6+CQ7+CQ8+CQ9)*(1-Time!CQ20)</f>
        <v/>
      </c>
      <c r="CR10" s="19">
        <f>(CR6+CR7+CR8+CR9)*(1-Time!CR20)</f>
        <v/>
      </c>
      <c r="CS10" s="19">
        <f>(CS6+CS7+CS8+CS9)*(1-Time!CS20)</f>
        <v/>
      </c>
      <c r="CT10" s="19">
        <f>(CT6+CT7+CT8+CT9)*(1-Time!CT20)</f>
        <v/>
      </c>
      <c r="CU10" s="19">
        <f>(CU6+CU7+CU8+CU9)*(1-Time!CU20)</f>
        <v/>
      </c>
      <c r="CV10" s="19">
        <f>(CV6+CV7+CV8+CV9)*(1-Time!CV20)</f>
        <v/>
      </c>
      <c r="CW10" s="19">
        <f>(CW6+CW7+CW8+CW9)*(1-Time!CW20)</f>
        <v/>
      </c>
      <c r="CX10" s="19">
        <f>(CX6+CX7+CX8+CX9)*(1-Time!CX20)</f>
        <v/>
      </c>
      <c r="CY10" s="19">
        <f>(CY6+CY7+CY8+CY9)*(1-Time!CY20)</f>
        <v/>
      </c>
      <c r="CZ10" s="19">
        <f>(CZ6+CZ7+CZ8+CZ9)*(1-Time!CZ20)</f>
        <v/>
      </c>
      <c r="DA10" s="19">
        <f>(DA6+DA7+DA8+DA9)*(1-Time!DA20)</f>
        <v/>
      </c>
      <c r="DB10" s="19">
        <f>(DB6+DB7+DB8+DB9)*(1-Time!DB20)</f>
        <v/>
      </c>
    </row>
    <row r="11">
      <c r="D11" s="3" t="inlineStr">
        <is>
          <t>1. Senior fees, interest (including arrears) and principal</t>
        </is>
      </c>
    </row>
    <row r="12">
      <c r="D12" t="inlineStr">
        <is>
          <t>Senior arrears brought forward</t>
        </is>
      </c>
      <c r="E12" t="inlineStr">
        <is>
          <t>ARD m</t>
        </is>
      </c>
      <c r="J12" s="19">
        <f>Debt!J56+Debt!J57</f>
        <v/>
      </c>
      <c r="K12" s="19">
        <f>Debt!K56+Debt!K57</f>
        <v/>
      </c>
      <c r="L12" s="19">
        <f>Debt!L56+Debt!L57</f>
        <v/>
      </c>
      <c r="M12" s="19">
        <f>Debt!M56+Debt!M57</f>
        <v/>
      </c>
      <c r="N12" s="19">
        <f>Debt!N56+Debt!N57</f>
        <v/>
      </c>
      <c r="O12" s="19">
        <f>Debt!O56+Debt!O57</f>
        <v/>
      </c>
      <c r="P12" s="19">
        <f>Debt!P56+Debt!P57</f>
        <v/>
      </c>
      <c r="Q12" s="19">
        <f>Debt!Q56+Debt!Q57</f>
        <v/>
      </c>
      <c r="R12" s="19">
        <f>Debt!R56+Debt!R57</f>
        <v/>
      </c>
      <c r="S12" s="19">
        <f>Debt!S56+Debt!S57</f>
        <v/>
      </c>
      <c r="T12" s="19">
        <f>Debt!T56+Debt!T57</f>
        <v/>
      </c>
      <c r="U12" s="19">
        <f>Debt!U56+Debt!U57</f>
        <v/>
      </c>
      <c r="V12" s="19">
        <f>Debt!V56+Debt!V57</f>
        <v/>
      </c>
      <c r="W12" s="19">
        <f>Debt!W56+Debt!W57</f>
        <v/>
      </c>
      <c r="X12" s="19">
        <f>Debt!X56+Debt!X57</f>
        <v/>
      </c>
      <c r="Y12" s="19">
        <f>Debt!Y56+Debt!Y57</f>
        <v/>
      </c>
      <c r="Z12" s="19">
        <f>Debt!Z56+Debt!Z57</f>
        <v/>
      </c>
      <c r="AA12" s="19">
        <f>Debt!AA56+Debt!AA57</f>
        <v/>
      </c>
      <c r="AB12" s="19">
        <f>Debt!AB56+Debt!AB57</f>
        <v/>
      </c>
      <c r="AC12" s="19">
        <f>Debt!AC56+Debt!AC57</f>
        <v/>
      </c>
      <c r="AD12" s="19">
        <f>Debt!AD56+Debt!AD57</f>
        <v/>
      </c>
      <c r="AE12" s="19">
        <f>Debt!AE56+Debt!AE57</f>
        <v/>
      </c>
      <c r="AF12" s="19">
        <f>Debt!AF56+Debt!AF57</f>
        <v/>
      </c>
      <c r="AG12" s="19">
        <f>Debt!AG56+Debt!AG57</f>
        <v/>
      </c>
      <c r="AH12" s="19">
        <f>Debt!AH56+Debt!AH57</f>
        <v/>
      </c>
      <c r="AI12" s="19">
        <f>Debt!AI56+Debt!AI57</f>
        <v/>
      </c>
      <c r="AJ12" s="19">
        <f>Debt!AJ56+Debt!AJ57</f>
        <v/>
      </c>
      <c r="AK12" s="19">
        <f>Debt!AK56+Debt!AK57</f>
        <v/>
      </c>
      <c r="AL12" s="19">
        <f>Debt!AL56+Debt!AL57</f>
        <v/>
      </c>
      <c r="AM12" s="19">
        <f>Debt!AM56+Debt!AM57</f>
        <v/>
      </c>
      <c r="AN12" s="19">
        <f>Debt!AN56+Debt!AN57</f>
        <v/>
      </c>
      <c r="AO12" s="19">
        <f>Debt!AO56+Debt!AO57</f>
        <v/>
      </c>
      <c r="AP12" s="19">
        <f>Debt!AP56+Debt!AP57</f>
        <v/>
      </c>
      <c r="AQ12" s="19">
        <f>Debt!AQ56+Debt!AQ57</f>
        <v/>
      </c>
      <c r="AR12" s="19">
        <f>Debt!AR56+Debt!AR57</f>
        <v/>
      </c>
      <c r="AS12" s="19">
        <f>Debt!AS56+Debt!AS57</f>
        <v/>
      </c>
      <c r="AT12" s="19">
        <f>Debt!AT56+Debt!AT57</f>
        <v/>
      </c>
      <c r="AU12" s="19">
        <f>Debt!AU56+Debt!AU57</f>
        <v/>
      </c>
      <c r="AV12" s="19">
        <f>Debt!AV56+Debt!AV57</f>
        <v/>
      </c>
      <c r="AW12" s="19">
        <f>Debt!AW56+Debt!AW57</f>
        <v/>
      </c>
      <c r="AX12" s="19">
        <f>Debt!AX56+Debt!AX57</f>
        <v/>
      </c>
      <c r="AY12" s="19">
        <f>Debt!AY56+Debt!AY57</f>
        <v/>
      </c>
      <c r="AZ12" s="19">
        <f>Debt!AZ56+Debt!AZ57</f>
        <v/>
      </c>
      <c r="BA12" s="19">
        <f>Debt!BA56+Debt!BA57</f>
        <v/>
      </c>
      <c r="BB12" s="19">
        <f>Debt!BB56+Debt!BB57</f>
        <v/>
      </c>
      <c r="BC12" s="19">
        <f>Debt!BC56+Debt!BC57</f>
        <v/>
      </c>
      <c r="BD12" s="19">
        <f>Debt!BD56+Debt!BD57</f>
        <v/>
      </c>
      <c r="BE12" s="19">
        <f>Debt!BE56+Debt!BE57</f>
        <v/>
      </c>
      <c r="BF12" s="19">
        <f>Debt!BF56+Debt!BF57</f>
        <v/>
      </c>
      <c r="BG12" s="19">
        <f>Debt!BG56+Debt!BG57</f>
        <v/>
      </c>
      <c r="BH12" s="19">
        <f>Debt!BH56+Debt!BH57</f>
        <v/>
      </c>
      <c r="BI12" s="19">
        <f>Debt!BI56+Debt!BI57</f>
        <v/>
      </c>
      <c r="BJ12" s="19">
        <f>Debt!BJ56+Debt!BJ57</f>
        <v/>
      </c>
      <c r="BK12" s="19">
        <f>Debt!BK56+Debt!BK57</f>
        <v/>
      </c>
      <c r="BL12" s="19">
        <f>Debt!BL56+Debt!BL57</f>
        <v/>
      </c>
      <c r="BM12" s="19">
        <f>Debt!BM56+Debt!BM57</f>
        <v/>
      </c>
      <c r="BN12" s="19">
        <f>Debt!BN56+Debt!BN57</f>
        <v/>
      </c>
      <c r="BO12" s="19">
        <f>Debt!BO56+Debt!BO57</f>
        <v/>
      </c>
      <c r="BP12" s="19">
        <f>Debt!BP56+Debt!BP57</f>
        <v/>
      </c>
      <c r="BQ12" s="19">
        <f>Debt!BQ56+Debt!BQ57</f>
        <v/>
      </c>
      <c r="BR12" s="19">
        <f>Debt!BR56+Debt!BR57</f>
        <v/>
      </c>
      <c r="BS12" s="19">
        <f>Debt!BS56+Debt!BS57</f>
        <v/>
      </c>
      <c r="BT12" s="19">
        <f>Debt!BT56+Debt!BT57</f>
        <v/>
      </c>
      <c r="BU12" s="19">
        <f>Debt!BU56+Debt!BU57</f>
        <v/>
      </c>
      <c r="BV12" s="19">
        <f>Debt!BV56+Debt!BV57</f>
        <v/>
      </c>
      <c r="BW12" s="19">
        <f>Debt!BW56+Debt!BW57</f>
        <v/>
      </c>
      <c r="BX12" s="19">
        <f>Debt!BX56+Debt!BX57</f>
        <v/>
      </c>
      <c r="BY12" s="19">
        <f>Debt!BY56+Debt!BY57</f>
        <v/>
      </c>
      <c r="BZ12" s="19">
        <f>Debt!BZ56+Debt!BZ57</f>
        <v/>
      </c>
      <c r="CA12" s="19">
        <f>Debt!CA56+Debt!CA57</f>
        <v/>
      </c>
      <c r="CB12" s="19">
        <f>Debt!CB56+Debt!CB57</f>
        <v/>
      </c>
      <c r="CC12" s="19">
        <f>Debt!CC56+Debt!CC57</f>
        <v/>
      </c>
      <c r="CD12" s="19">
        <f>Debt!CD56+Debt!CD57</f>
        <v/>
      </c>
      <c r="CE12" s="19">
        <f>Debt!CE56+Debt!CE57</f>
        <v/>
      </c>
      <c r="CF12" s="19">
        <f>Debt!CF56+Debt!CF57</f>
        <v/>
      </c>
      <c r="CG12" s="19">
        <f>Debt!CG56+Debt!CG57</f>
        <v/>
      </c>
      <c r="CH12" s="19">
        <f>Debt!CH56+Debt!CH57</f>
        <v/>
      </c>
      <c r="CI12" s="19">
        <f>Debt!CI56+Debt!CI57</f>
        <v/>
      </c>
      <c r="CJ12" s="19">
        <f>Debt!CJ56+Debt!CJ57</f>
        <v/>
      </c>
      <c r="CK12" s="19">
        <f>Debt!CK56+Debt!CK57</f>
        <v/>
      </c>
      <c r="CL12" s="19">
        <f>Debt!CL56+Debt!CL57</f>
        <v/>
      </c>
      <c r="CM12" s="19">
        <f>Debt!CM56+Debt!CM57</f>
        <v/>
      </c>
      <c r="CN12" s="19">
        <f>Debt!CN56+Debt!CN57</f>
        <v/>
      </c>
      <c r="CO12" s="19">
        <f>Debt!CO56+Debt!CO57</f>
        <v/>
      </c>
      <c r="CP12" s="19">
        <f>Debt!CP56+Debt!CP57</f>
        <v/>
      </c>
      <c r="CQ12" s="19">
        <f>Debt!CQ56+Debt!CQ57</f>
        <v/>
      </c>
      <c r="CR12" s="19">
        <f>Debt!CR56+Debt!CR57</f>
        <v/>
      </c>
      <c r="CS12" s="19">
        <f>Debt!CS56+Debt!CS57</f>
        <v/>
      </c>
      <c r="CT12" s="19">
        <f>Debt!CT56+Debt!CT57</f>
        <v/>
      </c>
      <c r="CU12" s="19">
        <f>Debt!CU56+Debt!CU57</f>
        <v/>
      </c>
      <c r="CV12" s="19">
        <f>Debt!CV56+Debt!CV57</f>
        <v/>
      </c>
      <c r="CW12" s="19">
        <f>Debt!CW56+Debt!CW57</f>
        <v/>
      </c>
      <c r="CX12" s="19">
        <f>Debt!CX56+Debt!CX57</f>
        <v/>
      </c>
      <c r="CY12" s="19">
        <f>Debt!CY56+Debt!CY57</f>
        <v/>
      </c>
      <c r="CZ12" s="19">
        <f>Debt!CZ56+Debt!CZ57</f>
        <v/>
      </c>
      <c r="DA12" s="19">
        <f>Debt!DA56+Debt!DA57</f>
        <v/>
      </c>
      <c r="DB12" s="19">
        <f>Debt!DB56+Debt!DB57</f>
        <v/>
      </c>
    </row>
    <row r="13">
      <c r="D13" t="inlineStr">
        <is>
          <t>Senior amounts due</t>
        </is>
      </c>
      <c r="E13" t="inlineStr">
        <is>
          <t>ARD m</t>
        </is>
      </c>
      <c r="G13" s="19">
        <f>SUM(J13:DB13)</f>
        <v/>
      </c>
      <c r="J13" s="19">
        <f>(Debt!J65+Debt!J64+J12+Debt!J67)*(1-Time!J20)</f>
        <v/>
      </c>
      <c r="K13" s="19">
        <f>(Debt!K65+Debt!K64+K12+Debt!K67)*(1-Time!K20)</f>
        <v/>
      </c>
      <c r="L13" s="19">
        <f>(Debt!L65+Debt!L64+L12+Debt!L67)*(1-Time!L20)</f>
        <v/>
      </c>
      <c r="M13" s="19">
        <f>(Debt!M65+Debt!M64+M12+Debt!M67)*(1-Time!M20)</f>
        <v/>
      </c>
      <c r="N13" s="19">
        <f>(Debt!N65+Debt!N64+N12+Debt!N67)*(1-Time!N20)</f>
        <v/>
      </c>
      <c r="O13" s="19">
        <f>(Debt!O65+Debt!O64+O12+Debt!O67)*(1-Time!O20)</f>
        <v/>
      </c>
      <c r="P13" s="19">
        <f>(Debt!P65+Debt!P64+P12+Debt!P67)*(1-Time!P20)</f>
        <v/>
      </c>
      <c r="Q13" s="19">
        <f>(Debt!Q65+Debt!Q64+Q12+Debt!Q67)*(1-Time!Q20)</f>
        <v/>
      </c>
      <c r="R13" s="19">
        <f>(Debt!R65+Debt!R64+R12+Debt!R67)*(1-Time!R20)</f>
        <v/>
      </c>
      <c r="S13" s="19">
        <f>(Debt!S65+Debt!S64+S12+Debt!S67)*(1-Time!S20)</f>
        <v/>
      </c>
      <c r="T13" s="19">
        <f>(Debt!T65+Debt!T64+T12+Debt!T67)*(1-Time!T20)</f>
        <v/>
      </c>
      <c r="U13" s="19">
        <f>(Debt!U65+Debt!U64+U12+Debt!U67)*(1-Time!U20)</f>
        <v/>
      </c>
      <c r="V13" s="19">
        <f>(Debt!V65+Debt!V64+V12+Debt!V67)*(1-Time!V20)</f>
        <v/>
      </c>
      <c r="W13" s="19">
        <f>(Debt!W65+Debt!W64+W12+Debt!W67)*(1-Time!W20)</f>
        <v/>
      </c>
      <c r="X13" s="19">
        <f>(Debt!X65+Debt!X64+X12+Debt!X67)*(1-Time!X20)</f>
        <v/>
      </c>
      <c r="Y13" s="19">
        <f>(Debt!Y65+Debt!Y64+Y12+Debt!Y67)*(1-Time!Y20)</f>
        <v/>
      </c>
      <c r="Z13" s="19">
        <f>(Debt!Z65+Debt!Z64+Z12+Debt!Z67)*(1-Time!Z20)</f>
        <v/>
      </c>
      <c r="AA13" s="19">
        <f>(Debt!AA65+Debt!AA64+AA12+Debt!AA67)*(1-Time!AA20)</f>
        <v/>
      </c>
      <c r="AB13" s="19">
        <f>(Debt!AB65+Debt!AB64+AB12+Debt!AB67)*(1-Time!AB20)</f>
        <v/>
      </c>
      <c r="AC13" s="19">
        <f>(Debt!AC65+Debt!AC64+AC12+Debt!AC67)*(1-Time!AC20)</f>
        <v/>
      </c>
      <c r="AD13" s="19">
        <f>(Debt!AD65+Debt!AD64+AD12+Debt!AD67)*(1-Time!AD20)</f>
        <v/>
      </c>
      <c r="AE13" s="19">
        <f>(Debt!AE65+Debt!AE64+AE12+Debt!AE67)*(1-Time!AE20)</f>
        <v/>
      </c>
      <c r="AF13" s="19">
        <f>(Debt!AF65+Debt!AF64+AF12+Debt!AF67)*(1-Time!AF20)</f>
        <v/>
      </c>
      <c r="AG13" s="19">
        <f>(Debt!AG65+Debt!AG64+AG12+Debt!AG67)*(1-Time!AG20)</f>
        <v/>
      </c>
      <c r="AH13" s="19">
        <f>(Debt!AH65+Debt!AH64+AH12+Debt!AH67)*(1-Time!AH20)</f>
        <v/>
      </c>
      <c r="AI13" s="19">
        <f>(Debt!AI65+Debt!AI64+AI12+Debt!AI67)*(1-Time!AI20)</f>
        <v/>
      </c>
      <c r="AJ13" s="19">
        <f>(Debt!AJ65+Debt!AJ64+AJ12+Debt!AJ67)*(1-Time!AJ20)</f>
        <v/>
      </c>
      <c r="AK13" s="19">
        <f>(Debt!AK65+Debt!AK64+AK12+Debt!AK67)*(1-Time!AK20)</f>
        <v/>
      </c>
      <c r="AL13" s="19">
        <f>(Debt!AL65+Debt!AL64+AL12+Debt!AL67)*(1-Time!AL20)</f>
        <v/>
      </c>
      <c r="AM13" s="19">
        <f>(Debt!AM65+Debt!AM64+AM12+Debt!AM67)*(1-Time!AM20)</f>
        <v/>
      </c>
      <c r="AN13" s="19">
        <f>(Debt!AN65+Debt!AN64+AN12+Debt!AN67)*(1-Time!AN20)</f>
        <v/>
      </c>
      <c r="AO13" s="19">
        <f>(Debt!AO65+Debt!AO64+AO12+Debt!AO67)*(1-Time!AO20)</f>
        <v/>
      </c>
      <c r="AP13" s="19">
        <f>(Debt!AP65+Debt!AP64+AP12+Debt!AP67)*(1-Time!AP20)</f>
        <v/>
      </c>
      <c r="AQ13" s="19">
        <f>(Debt!AQ65+Debt!AQ64+AQ12+Debt!AQ67)*(1-Time!AQ20)</f>
        <v/>
      </c>
      <c r="AR13" s="19">
        <f>(Debt!AR65+Debt!AR64+AR12+Debt!AR67)*(1-Time!AR20)</f>
        <v/>
      </c>
      <c r="AS13" s="19">
        <f>(Debt!AS65+Debt!AS64+AS12+Debt!AS67)*(1-Time!AS20)</f>
        <v/>
      </c>
      <c r="AT13" s="19">
        <f>(Debt!AT65+Debt!AT64+AT12+Debt!AT67)*(1-Time!AT20)</f>
        <v/>
      </c>
      <c r="AU13" s="19">
        <f>(Debt!AU65+Debt!AU64+AU12+Debt!AU67)*(1-Time!AU20)</f>
        <v/>
      </c>
      <c r="AV13" s="19">
        <f>(Debt!AV65+Debt!AV64+AV12+Debt!AV67)*(1-Time!AV20)</f>
        <v/>
      </c>
      <c r="AW13" s="19">
        <f>(Debt!AW65+Debt!AW64+AW12+Debt!AW67)*(1-Time!AW20)</f>
        <v/>
      </c>
      <c r="AX13" s="19">
        <f>(Debt!AX65+Debt!AX64+AX12+Debt!AX67)*(1-Time!AX20)</f>
        <v/>
      </c>
      <c r="AY13" s="19">
        <f>(Debt!AY65+Debt!AY64+AY12+Debt!AY67)*(1-Time!AY20)</f>
        <v/>
      </c>
      <c r="AZ13" s="19">
        <f>(Debt!AZ65+Debt!AZ64+AZ12+Debt!AZ67)*(1-Time!AZ20)</f>
        <v/>
      </c>
      <c r="BA13" s="19">
        <f>(Debt!BA65+Debt!BA64+BA12+Debt!BA67)*(1-Time!BA20)</f>
        <v/>
      </c>
      <c r="BB13" s="19">
        <f>(Debt!BB65+Debt!BB64+BB12+Debt!BB67)*(1-Time!BB20)</f>
        <v/>
      </c>
      <c r="BC13" s="19">
        <f>(Debt!BC65+Debt!BC64+BC12+Debt!BC67)*(1-Time!BC20)</f>
        <v/>
      </c>
      <c r="BD13" s="19">
        <f>(Debt!BD65+Debt!BD64+BD12+Debt!BD67)*(1-Time!BD20)</f>
        <v/>
      </c>
      <c r="BE13" s="19">
        <f>(Debt!BE65+Debt!BE64+BE12+Debt!BE67)*(1-Time!BE20)</f>
        <v/>
      </c>
      <c r="BF13" s="19">
        <f>(Debt!BF65+Debt!BF64+BF12+Debt!BF67)*(1-Time!BF20)</f>
        <v/>
      </c>
      <c r="BG13" s="19">
        <f>(Debt!BG65+Debt!BG64+BG12+Debt!BG67)*(1-Time!BG20)</f>
        <v/>
      </c>
      <c r="BH13" s="19">
        <f>(Debt!BH65+Debt!BH64+BH12+Debt!BH67)*(1-Time!BH20)</f>
        <v/>
      </c>
      <c r="BI13" s="19">
        <f>(Debt!BI65+Debt!BI64+BI12+Debt!BI67)*(1-Time!BI20)</f>
        <v/>
      </c>
      <c r="BJ13" s="19">
        <f>(Debt!BJ65+Debt!BJ64+BJ12+Debt!BJ67)*(1-Time!BJ20)</f>
        <v/>
      </c>
      <c r="BK13" s="19">
        <f>(Debt!BK65+Debt!BK64+BK12+Debt!BK67)*(1-Time!BK20)</f>
        <v/>
      </c>
      <c r="BL13" s="19">
        <f>(Debt!BL65+Debt!BL64+BL12+Debt!BL67)*(1-Time!BL20)</f>
        <v/>
      </c>
      <c r="BM13" s="19">
        <f>(Debt!BM65+Debt!BM64+BM12+Debt!BM67)*(1-Time!BM20)</f>
        <v/>
      </c>
      <c r="BN13" s="19">
        <f>(Debt!BN65+Debt!BN64+BN12+Debt!BN67)*(1-Time!BN20)</f>
        <v/>
      </c>
      <c r="BO13" s="19">
        <f>(Debt!BO65+Debt!BO64+BO12+Debt!BO67)*(1-Time!BO20)</f>
        <v/>
      </c>
      <c r="BP13" s="19">
        <f>(Debt!BP65+Debt!BP64+BP12+Debt!BP67)*(1-Time!BP20)</f>
        <v/>
      </c>
      <c r="BQ13" s="19">
        <f>(Debt!BQ65+Debt!BQ64+BQ12+Debt!BQ67)*(1-Time!BQ20)</f>
        <v/>
      </c>
      <c r="BR13" s="19">
        <f>(Debt!BR65+Debt!BR64+BR12+Debt!BR67)*(1-Time!BR20)</f>
        <v/>
      </c>
      <c r="BS13" s="19">
        <f>(Debt!BS65+Debt!BS64+BS12+Debt!BS67)*(1-Time!BS20)</f>
        <v/>
      </c>
      <c r="BT13" s="19">
        <f>(Debt!BT65+Debt!BT64+BT12+Debt!BT67)*(1-Time!BT20)</f>
        <v/>
      </c>
      <c r="BU13" s="19">
        <f>(Debt!BU65+Debt!BU64+BU12+Debt!BU67)*(1-Time!BU20)</f>
        <v/>
      </c>
      <c r="BV13" s="19">
        <f>(Debt!BV65+Debt!BV64+BV12+Debt!BV67)*(1-Time!BV20)</f>
        <v/>
      </c>
      <c r="BW13" s="19">
        <f>(Debt!BW65+Debt!BW64+BW12+Debt!BW67)*(1-Time!BW20)</f>
        <v/>
      </c>
      <c r="BX13" s="19">
        <f>(Debt!BX65+Debt!BX64+BX12+Debt!BX67)*(1-Time!BX20)</f>
        <v/>
      </c>
      <c r="BY13" s="19">
        <f>(Debt!BY65+Debt!BY64+BY12+Debt!BY67)*(1-Time!BY20)</f>
        <v/>
      </c>
      <c r="BZ13" s="19">
        <f>(Debt!BZ65+Debt!BZ64+BZ12+Debt!BZ67)*(1-Time!BZ20)</f>
        <v/>
      </c>
      <c r="CA13" s="19">
        <f>(Debt!CA65+Debt!CA64+CA12+Debt!CA67)*(1-Time!CA20)</f>
        <v/>
      </c>
      <c r="CB13" s="19">
        <f>(Debt!CB65+Debt!CB64+CB12+Debt!CB67)*(1-Time!CB20)</f>
        <v/>
      </c>
      <c r="CC13" s="19">
        <f>(Debt!CC65+Debt!CC64+CC12+Debt!CC67)*(1-Time!CC20)</f>
        <v/>
      </c>
      <c r="CD13" s="19">
        <f>(Debt!CD65+Debt!CD64+CD12+Debt!CD67)*(1-Time!CD20)</f>
        <v/>
      </c>
      <c r="CE13" s="19">
        <f>(Debt!CE65+Debt!CE64+CE12+Debt!CE67)*(1-Time!CE20)</f>
        <v/>
      </c>
      <c r="CF13" s="19">
        <f>(Debt!CF65+Debt!CF64+CF12+Debt!CF67)*(1-Time!CF20)</f>
        <v/>
      </c>
      <c r="CG13" s="19">
        <f>(Debt!CG65+Debt!CG64+CG12+Debt!CG67)*(1-Time!CG20)</f>
        <v/>
      </c>
      <c r="CH13" s="19">
        <f>(Debt!CH65+Debt!CH64+CH12+Debt!CH67)*(1-Time!CH20)</f>
        <v/>
      </c>
      <c r="CI13" s="19">
        <f>(Debt!CI65+Debt!CI64+CI12+Debt!CI67)*(1-Time!CI20)</f>
        <v/>
      </c>
      <c r="CJ13" s="19">
        <f>(Debt!CJ65+Debt!CJ64+CJ12+Debt!CJ67)*(1-Time!CJ20)</f>
        <v/>
      </c>
      <c r="CK13" s="19">
        <f>(Debt!CK65+Debt!CK64+CK12+Debt!CK67)*(1-Time!CK20)</f>
        <v/>
      </c>
      <c r="CL13" s="19">
        <f>(Debt!CL65+Debt!CL64+CL12+Debt!CL67)*(1-Time!CL20)</f>
        <v/>
      </c>
      <c r="CM13" s="19">
        <f>(Debt!CM65+Debt!CM64+CM12+Debt!CM67)*(1-Time!CM20)</f>
        <v/>
      </c>
      <c r="CN13" s="19">
        <f>(Debt!CN65+Debt!CN64+CN12+Debt!CN67)*(1-Time!CN20)</f>
        <v/>
      </c>
      <c r="CO13" s="19">
        <f>(Debt!CO65+Debt!CO64+CO12+Debt!CO67)*(1-Time!CO20)</f>
        <v/>
      </c>
      <c r="CP13" s="19">
        <f>(Debt!CP65+Debt!CP64+CP12+Debt!CP67)*(1-Time!CP20)</f>
        <v/>
      </c>
      <c r="CQ13" s="19">
        <f>(Debt!CQ65+Debt!CQ64+CQ12+Debt!CQ67)*(1-Time!CQ20)</f>
        <v/>
      </c>
      <c r="CR13" s="19">
        <f>(Debt!CR65+Debt!CR64+CR12+Debt!CR67)*(1-Time!CR20)</f>
        <v/>
      </c>
      <c r="CS13" s="19">
        <f>(Debt!CS65+Debt!CS64+CS12+Debt!CS67)*(1-Time!CS20)</f>
        <v/>
      </c>
      <c r="CT13" s="19">
        <f>(Debt!CT65+Debt!CT64+CT12+Debt!CT67)*(1-Time!CT20)</f>
        <v/>
      </c>
      <c r="CU13" s="19">
        <f>(Debt!CU65+Debt!CU64+CU12+Debt!CU67)*(1-Time!CU20)</f>
        <v/>
      </c>
      <c r="CV13" s="19">
        <f>(Debt!CV65+Debt!CV64+CV12+Debt!CV67)*(1-Time!CV20)</f>
        <v/>
      </c>
      <c r="CW13" s="19">
        <f>(Debt!CW65+Debt!CW64+CW12+Debt!CW67)*(1-Time!CW20)</f>
        <v/>
      </c>
      <c r="CX13" s="19">
        <f>(Debt!CX65+Debt!CX64+CX12+Debt!CX67)*(1-Time!CX20)</f>
        <v/>
      </c>
      <c r="CY13" s="19">
        <f>(Debt!CY65+Debt!CY64+CY12+Debt!CY67)*(1-Time!CY20)</f>
        <v/>
      </c>
      <c r="CZ13" s="19">
        <f>(Debt!CZ65+Debt!CZ64+CZ12+Debt!CZ67)*(1-Time!CZ20)</f>
        <v/>
      </c>
      <c r="DA13" s="19">
        <f>(Debt!DA65+Debt!DA64+DA12+Debt!DA67)*(1-Time!DA20)</f>
        <v/>
      </c>
      <c r="DB13" s="19">
        <f>(Debt!DB65+Debt!DB64+DB12+Debt!DB67)*(1-Time!DB20)</f>
        <v/>
      </c>
    </row>
    <row r="14">
      <c r="D14" t="inlineStr">
        <is>
          <t>Senior amounts paid (cash plus DSRA)</t>
        </is>
      </c>
      <c r="E14" t="inlineStr">
        <is>
          <t>ARD m</t>
        </is>
      </c>
      <c r="G14" s="19">
        <f>SUM(J14:DB14)</f>
        <v/>
      </c>
      <c r="J14" s="19">
        <f>MIN(J13,MAX(0,J10)+Reserves!J8)*(1-Time!J20)</f>
        <v/>
      </c>
      <c r="K14" s="19">
        <f>MIN(K13,MAX(0,K10)+Reserves!K8)*(1-Time!K20)</f>
        <v/>
      </c>
      <c r="L14" s="19">
        <f>MIN(L13,MAX(0,L10)+Reserves!L8)*(1-Time!L20)</f>
        <v/>
      </c>
      <c r="M14" s="19">
        <f>MIN(M13,MAX(0,M10)+Reserves!M8)*(1-Time!M20)</f>
        <v/>
      </c>
      <c r="N14" s="19">
        <f>MIN(N13,MAX(0,N10)+Reserves!N8)*(1-Time!N20)</f>
        <v/>
      </c>
      <c r="O14" s="19">
        <f>MIN(O13,MAX(0,O10)+Reserves!O8)*(1-Time!O20)</f>
        <v/>
      </c>
      <c r="P14" s="19">
        <f>MIN(P13,MAX(0,P10)+Reserves!P8)*(1-Time!P20)</f>
        <v/>
      </c>
      <c r="Q14" s="19">
        <f>MIN(Q13,MAX(0,Q10)+Reserves!Q8)*(1-Time!Q20)</f>
        <v/>
      </c>
      <c r="R14" s="19">
        <f>MIN(R13,MAX(0,R10)+Reserves!R8)*(1-Time!R20)</f>
        <v/>
      </c>
      <c r="S14" s="19">
        <f>MIN(S13,MAX(0,S10)+Reserves!S8)*(1-Time!S20)</f>
        <v/>
      </c>
      <c r="T14" s="19">
        <f>MIN(T13,MAX(0,T10)+Reserves!T8)*(1-Time!T20)</f>
        <v/>
      </c>
      <c r="U14" s="19">
        <f>MIN(U13,MAX(0,U10)+Reserves!U8)*(1-Time!U20)</f>
        <v/>
      </c>
      <c r="V14" s="19">
        <f>MIN(V13,MAX(0,V10)+Reserves!V8)*(1-Time!V20)</f>
        <v/>
      </c>
      <c r="W14" s="19">
        <f>MIN(W13,MAX(0,W10)+Reserves!W8)*(1-Time!W20)</f>
        <v/>
      </c>
      <c r="X14" s="19">
        <f>MIN(X13,MAX(0,X10)+Reserves!X8)*(1-Time!X20)</f>
        <v/>
      </c>
      <c r="Y14" s="19">
        <f>MIN(Y13,MAX(0,Y10)+Reserves!Y8)*(1-Time!Y20)</f>
        <v/>
      </c>
      <c r="Z14" s="19">
        <f>MIN(Z13,MAX(0,Z10)+Reserves!Z8)*(1-Time!Z20)</f>
        <v/>
      </c>
      <c r="AA14" s="19">
        <f>MIN(AA13,MAX(0,AA10)+Reserves!AA8)*(1-Time!AA20)</f>
        <v/>
      </c>
      <c r="AB14" s="19">
        <f>MIN(AB13,MAX(0,AB10)+Reserves!AB8)*(1-Time!AB20)</f>
        <v/>
      </c>
      <c r="AC14" s="19">
        <f>MIN(AC13,MAX(0,AC10)+Reserves!AC8)*(1-Time!AC20)</f>
        <v/>
      </c>
      <c r="AD14" s="19">
        <f>MIN(AD13,MAX(0,AD10)+Reserves!AD8)*(1-Time!AD20)</f>
        <v/>
      </c>
      <c r="AE14" s="19">
        <f>MIN(AE13,MAX(0,AE10)+Reserves!AE8)*(1-Time!AE20)</f>
        <v/>
      </c>
      <c r="AF14" s="19">
        <f>MIN(AF13,MAX(0,AF10)+Reserves!AF8)*(1-Time!AF20)</f>
        <v/>
      </c>
      <c r="AG14" s="19">
        <f>MIN(AG13,MAX(0,AG10)+Reserves!AG8)*(1-Time!AG20)</f>
        <v/>
      </c>
      <c r="AH14" s="19">
        <f>MIN(AH13,MAX(0,AH10)+Reserves!AH8)*(1-Time!AH20)</f>
        <v/>
      </c>
      <c r="AI14" s="19">
        <f>MIN(AI13,MAX(0,AI10)+Reserves!AI8)*(1-Time!AI20)</f>
        <v/>
      </c>
      <c r="AJ14" s="19">
        <f>MIN(AJ13,MAX(0,AJ10)+Reserves!AJ8)*(1-Time!AJ20)</f>
        <v/>
      </c>
      <c r="AK14" s="19">
        <f>MIN(AK13,MAX(0,AK10)+Reserves!AK8)*(1-Time!AK20)</f>
        <v/>
      </c>
      <c r="AL14" s="19">
        <f>MIN(AL13,MAX(0,AL10)+Reserves!AL8)*(1-Time!AL20)</f>
        <v/>
      </c>
      <c r="AM14" s="19">
        <f>MIN(AM13,MAX(0,AM10)+Reserves!AM8)*(1-Time!AM20)</f>
        <v/>
      </c>
      <c r="AN14" s="19">
        <f>MIN(AN13,MAX(0,AN10)+Reserves!AN8)*(1-Time!AN20)</f>
        <v/>
      </c>
      <c r="AO14" s="19">
        <f>MIN(AO13,MAX(0,AO10)+Reserves!AO8)*(1-Time!AO20)</f>
        <v/>
      </c>
      <c r="AP14" s="19">
        <f>MIN(AP13,MAX(0,AP10)+Reserves!AP8)*(1-Time!AP20)</f>
        <v/>
      </c>
      <c r="AQ14" s="19">
        <f>MIN(AQ13,MAX(0,AQ10)+Reserves!AQ8)*(1-Time!AQ20)</f>
        <v/>
      </c>
      <c r="AR14" s="19">
        <f>MIN(AR13,MAX(0,AR10)+Reserves!AR8)*(1-Time!AR20)</f>
        <v/>
      </c>
      <c r="AS14" s="19">
        <f>MIN(AS13,MAX(0,AS10)+Reserves!AS8)*(1-Time!AS20)</f>
        <v/>
      </c>
      <c r="AT14" s="19">
        <f>MIN(AT13,MAX(0,AT10)+Reserves!AT8)*(1-Time!AT20)</f>
        <v/>
      </c>
      <c r="AU14" s="19">
        <f>MIN(AU13,MAX(0,AU10)+Reserves!AU8)*(1-Time!AU20)</f>
        <v/>
      </c>
      <c r="AV14" s="19">
        <f>MIN(AV13,MAX(0,AV10)+Reserves!AV8)*(1-Time!AV20)</f>
        <v/>
      </c>
      <c r="AW14" s="19">
        <f>MIN(AW13,MAX(0,AW10)+Reserves!AW8)*(1-Time!AW20)</f>
        <v/>
      </c>
      <c r="AX14" s="19">
        <f>MIN(AX13,MAX(0,AX10)+Reserves!AX8)*(1-Time!AX20)</f>
        <v/>
      </c>
      <c r="AY14" s="19">
        <f>MIN(AY13,MAX(0,AY10)+Reserves!AY8)*(1-Time!AY20)</f>
        <v/>
      </c>
      <c r="AZ14" s="19">
        <f>MIN(AZ13,MAX(0,AZ10)+Reserves!AZ8)*(1-Time!AZ20)</f>
        <v/>
      </c>
      <c r="BA14" s="19">
        <f>MIN(BA13,MAX(0,BA10)+Reserves!BA8)*(1-Time!BA20)</f>
        <v/>
      </c>
      <c r="BB14" s="19">
        <f>MIN(BB13,MAX(0,BB10)+Reserves!BB8)*(1-Time!BB20)</f>
        <v/>
      </c>
      <c r="BC14" s="19">
        <f>MIN(BC13,MAX(0,BC10)+Reserves!BC8)*(1-Time!BC20)</f>
        <v/>
      </c>
      <c r="BD14" s="19">
        <f>MIN(BD13,MAX(0,BD10)+Reserves!BD8)*(1-Time!BD20)</f>
        <v/>
      </c>
      <c r="BE14" s="19">
        <f>MIN(BE13,MAX(0,BE10)+Reserves!BE8)*(1-Time!BE20)</f>
        <v/>
      </c>
      <c r="BF14" s="19">
        <f>MIN(BF13,MAX(0,BF10)+Reserves!BF8)*(1-Time!BF20)</f>
        <v/>
      </c>
      <c r="BG14" s="19">
        <f>MIN(BG13,MAX(0,BG10)+Reserves!BG8)*(1-Time!BG20)</f>
        <v/>
      </c>
      <c r="BH14" s="19">
        <f>MIN(BH13,MAX(0,BH10)+Reserves!BH8)*(1-Time!BH20)</f>
        <v/>
      </c>
      <c r="BI14" s="19">
        <f>MIN(BI13,MAX(0,BI10)+Reserves!BI8)*(1-Time!BI20)</f>
        <v/>
      </c>
      <c r="BJ14" s="19">
        <f>MIN(BJ13,MAX(0,BJ10)+Reserves!BJ8)*(1-Time!BJ20)</f>
        <v/>
      </c>
      <c r="BK14" s="19">
        <f>MIN(BK13,MAX(0,BK10)+Reserves!BK8)*(1-Time!BK20)</f>
        <v/>
      </c>
      <c r="BL14" s="19">
        <f>MIN(BL13,MAX(0,BL10)+Reserves!BL8)*(1-Time!BL20)</f>
        <v/>
      </c>
      <c r="BM14" s="19">
        <f>MIN(BM13,MAX(0,BM10)+Reserves!BM8)*(1-Time!BM20)</f>
        <v/>
      </c>
      <c r="BN14" s="19">
        <f>MIN(BN13,MAX(0,BN10)+Reserves!BN8)*(1-Time!BN20)</f>
        <v/>
      </c>
      <c r="BO14" s="19">
        <f>MIN(BO13,MAX(0,BO10)+Reserves!BO8)*(1-Time!BO20)</f>
        <v/>
      </c>
      <c r="BP14" s="19">
        <f>MIN(BP13,MAX(0,BP10)+Reserves!BP8)*(1-Time!BP20)</f>
        <v/>
      </c>
      <c r="BQ14" s="19">
        <f>MIN(BQ13,MAX(0,BQ10)+Reserves!BQ8)*(1-Time!BQ20)</f>
        <v/>
      </c>
      <c r="BR14" s="19">
        <f>MIN(BR13,MAX(0,BR10)+Reserves!BR8)*(1-Time!BR20)</f>
        <v/>
      </c>
      <c r="BS14" s="19">
        <f>MIN(BS13,MAX(0,BS10)+Reserves!BS8)*(1-Time!BS20)</f>
        <v/>
      </c>
      <c r="BT14" s="19">
        <f>MIN(BT13,MAX(0,BT10)+Reserves!BT8)*(1-Time!BT20)</f>
        <v/>
      </c>
      <c r="BU14" s="19">
        <f>MIN(BU13,MAX(0,BU10)+Reserves!BU8)*(1-Time!BU20)</f>
        <v/>
      </c>
      <c r="BV14" s="19">
        <f>MIN(BV13,MAX(0,BV10)+Reserves!BV8)*(1-Time!BV20)</f>
        <v/>
      </c>
      <c r="BW14" s="19">
        <f>MIN(BW13,MAX(0,BW10)+Reserves!BW8)*(1-Time!BW20)</f>
        <v/>
      </c>
      <c r="BX14" s="19">
        <f>MIN(BX13,MAX(0,BX10)+Reserves!BX8)*(1-Time!BX20)</f>
        <v/>
      </c>
      <c r="BY14" s="19">
        <f>MIN(BY13,MAX(0,BY10)+Reserves!BY8)*(1-Time!BY20)</f>
        <v/>
      </c>
      <c r="BZ14" s="19">
        <f>MIN(BZ13,MAX(0,BZ10)+Reserves!BZ8)*(1-Time!BZ20)</f>
        <v/>
      </c>
      <c r="CA14" s="19">
        <f>MIN(CA13,MAX(0,CA10)+Reserves!CA8)*(1-Time!CA20)</f>
        <v/>
      </c>
      <c r="CB14" s="19">
        <f>MIN(CB13,MAX(0,CB10)+Reserves!CB8)*(1-Time!CB20)</f>
        <v/>
      </c>
      <c r="CC14" s="19">
        <f>MIN(CC13,MAX(0,CC10)+Reserves!CC8)*(1-Time!CC20)</f>
        <v/>
      </c>
      <c r="CD14" s="19">
        <f>MIN(CD13,MAX(0,CD10)+Reserves!CD8)*(1-Time!CD20)</f>
        <v/>
      </c>
      <c r="CE14" s="19">
        <f>MIN(CE13,MAX(0,CE10)+Reserves!CE8)*(1-Time!CE20)</f>
        <v/>
      </c>
      <c r="CF14" s="19">
        <f>MIN(CF13,MAX(0,CF10)+Reserves!CF8)*(1-Time!CF20)</f>
        <v/>
      </c>
      <c r="CG14" s="19">
        <f>MIN(CG13,MAX(0,CG10)+Reserves!CG8)*(1-Time!CG20)</f>
        <v/>
      </c>
      <c r="CH14" s="19">
        <f>MIN(CH13,MAX(0,CH10)+Reserves!CH8)*(1-Time!CH20)</f>
        <v/>
      </c>
      <c r="CI14" s="19">
        <f>MIN(CI13,MAX(0,CI10)+Reserves!CI8)*(1-Time!CI20)</f>
        <v/>
      </c>
      <c r="CJ14" s="19">
        <f>MIN(CJ13,MAX(0,CJ10)+Reserves!CJ8)*(1-Time!CJ20)</f>
        <v/>
      </c>
      <c r="CK14" s="19">
        <f>MIN(CK13,MAX(0,CK10)+Reserves!CK8)*(1-Time!CK20)</f>
        <v/>
      </c>
      <c r="CL14" s="19">
        <f>MIN(CL13,MAX(0,CL10)+Reserves!CL8)*(1-Time!CL20)</f>
        <v/>
      </c>
      <c r="CM14" s="19">
        <f>MIN(CM13,MAX(0,CM10)+Reserves!CM8)*(1-Time!CM20)</f>
        <v/>
      </c>
      <c r="CN14" s="19">
        <f>MIN(CN13,MAX(0,CN10)+Reserves!CN8)*(1-Time!CN20)</f>
        <v/>
      </c>
      <c r="CO14" s="19">
        <f>MIN(CO13,MAX(0,CO10)+Reserves!CO8)*(1-Time!CO20)</f>
        <v/>
      </c>
      <c r="CP14" s="19">
        <f>MIN(CP13,MAX(0,CP10)+Reserves!CP8)*(1-Time!CP20)</f>
        <v/>
      </c>
      <c r="CQ14" s="19">
        <f>MIN(CQ13,MAX(0,CQ10)+Reserves!CQ8)*(1-Time!CQ20)</f>
        <v/>
      </c>
      <c r="CR14" s="19">
        <f>MIN(CR13,MAX(0,CR10)+Reserves!CR8)*(1-Time!CR20)</f>
        <v/>
      </c>
      <c r="CS14" s="19">
        <f>MIN(CS13,MAX(0,CS10)+Reserves!CS8)*(1-Time!CS20)</f>
        <v/>
      </c>
      <c r="CT14" s="19">
        <f>MIN(CT13,MAX(0,CT10)+Reserves!CT8)*(1-Time!CT20)</f>
        <v/>
      </c>
      <c r="CU14" s="19">
        <f>MIN(CU13,MAX(0,CU10)+Reserves!CU8)*(1-Time!CU20)</f>
        <v/>
      </c>
      <c r="CV14" s="19">
        <f>MIN(CV13,MAX(0,CV10)+Reserves!CV8)*(1-Time!CV20)</f>
        <v/>
      </c>
      <c r="CW14" s="19">
        <f>MIN(CW13,MAX(0,CW10)+Reserves!CW8)*(1-Time!CW20)</f>
        <v/>
      </c>
      <c r="CX14" s="19">
        <f>MIN(CX13,MAX(0,CX10)+Reserves!CX8)*(1-Time!CX20)</f>
        <v/>
      </c>
      <c r="CY14" s="19">
        <f>MIN(CY13,MAX(0,CY10)+Reserves!CY8)*(1-Time!CY20)</f>
        <v/>
      </c>
      <c r="CZ14" s="19">
        <f>MIN(CZ13,MAX(0,CZ10)+Reserves!CZ8)*(1-Time!CZ20)</f>
        <v/>
      </c>
      <c r="DA14" s="19">
        <f>MIN(DA13,MAX(0,DA10)+Reserves!DA8)*(1-Time!DA20)</f>
        <v/>
      </c>
      <c r="DB14" s="19">
        <f>MIN(DB13,MAX(0,DB10)+Reserves!DB8)*(1-Time!DB20)</f>
        <v/>
      </c>
    </row>
    <row r="15">
      <c r="D15" t="inlineStr">
        <is>
          <t>Fees paid</t>
        </is>
      </c>
      <c r="E15" t="inlineStr">
        <is>
          <t>ARD m</t>
        </is>
      </c>
      <c r="G15" s="19">
        <f>SUM(J15:DB15)</f>
        <v/>
      </c>
      <c r="J15" s="19">
        <f>MIN(Debt!J65,J14)*(1-Time!J20)</f>
        <v/>
      </c>
      <c r="K15" s="19">
        <f>MIN(Debt!K65,K14)*(1-Time!K20)</f>
        <v/>
      </c>
      <c r="L15" s="19">
        <f>MIN(Debt!L65,L14)*(1-Time!L20)</f>
        <v/>
      </c>
      <c r="M15" s="19">
        <f>MIN(Debt!M65,M14)*(1-Time!M20)</f>
        <v/>
      </c>
      <c r="N15" s="19">
        <f>MIN(Debt!N65,N14)*(1-Time!N20)</f>
        <v/>
      </c>
      <c r="O15" s="19">
        <f>MIN(Debt!O65,O14)*(1-Time!O20)</f>
        <v/>
      </c>
      <c r="P15" s="19">
        <f>MIN(Debt!P65,P14)*(1-Time!P20)</f>
        <v/>
      </c>
      <c r="Q15" s="19">
        <f>MIN(Debt!Q65,Q14)*(1-Time!Q20)</f>
        <v/>
      </c>
      <c r="R15" s="19">
        <f>MIN(Debt!R65,R14)*(1-Time!R20)</f>
        <v/>
      </c>
      <c r="S15" s="19">
        <f>MIN(Debt!S65,S14)*(1-Time!S20)</f>
        <v/>
      </c>
      <c r="T15" s="19">
        <f>MIN(Debt!T65,T14)*(1-Time!T20)</f>
        <v/>
      </c>
      <c r="U15" s="19">
        <f>MIN(Debt!U65,U14)*(1-Time!U20)</f>
        <v/>
      </c>
      <c r="V15" s="19">
        <f>MIN(Debt!V65,V14)*(1-Time!V20)</f>
        <v/>
      </c>
      <c r="W15" s="19">
        <f>MIN(Debt!W65,W14)*(1-Time!W20)</f>
        <v/>
      </c>
      <c r="X15" s="19">
        <f>MIN(Debt!X65,X14)*(1-Time!X20)</f>
        <v/>
      </c>
      <c r="Y15" s="19">
        <f>MIN(Debt!Y65,Y14)*(1-Time!Y20)</f>
        <v/>
      </c>
      <c r="Z15" s="19">
        <f>MIN(Debt!Z65,Z14)*(1-Time!Z20)</f>
        <v/>
      </c>
      <c r="AA15" s="19">
        <f>MIN(Debt!AA65,AA14)*(1-Time!AA20)</f>
        <v/>
      </c>
      <c r="AB15" s="19">
        <f>MIN(Debt!AB65,AB14)*(1-Time!AB20)</f>
        <v/>
      </c>
      <c r="AC15" s="19">
        <f>MIN(Debt!AC65,AC14)*(1-Time!AC20)</f>
        <v/>
      </c>
      <c r="AD15" s="19">
        <f>MIN(Debt!AD65,AD14)*(1-Time!AD20)</f>
        <v/>
      </c>
      <c r="AE15" s="19">
        <f>MIN(Debt!AE65,AE14)*(1-Time!AE20)</f>
        <v/>
      </c>
      <c r="AF15" s="19">
        <f>MIN(Debt!AF65,AF14)*(1-Time!AF20)</f>
        <v/>
      </c>
      <c r="AG15" s="19">
        <f>MIN(Debt!AG65,AG14)*(1-Time!AG20)</f>
        <v/>
      </c>
      <c r="AH15" s="19">
        <f>MIN(Debt!AH65,AH14)*(1-Time!AH20)</f>
        <v/>
      </c>
      <c r="AI15" s="19">
        <f>MIN(Debt!AI65,AI14)*(1-Time!AI20)</f>
        <v/>
      </c>
      <c r="AJ15" s="19">
        <f>MIN(Debt!AJ65,AJ14)*(1-Time!AJ20)</f>
        <v/>
      </c>
      <c r="AK15" s="19">
        <f>MIN(Debt!AK65,AK14)*(1-Time!AK20)</f>
        <v/>
      </c>
      <c r="AL15" s="19">
        <f>MIN(Debt!AL65,AL14)*(1-Time!AL20)</f>
        <v/>
      </c>
      <c r="AM15" s="19">
        <f>MIN(Debt!AM65,AM14)*(1-Time!AM20)</f>
        <v/>
      </c>
      <c r="AN15" s="19">
        <f>MIN(Debt!AN65,AN14)*(1-Time!AN20)</f>
        <v/>
      </c>
      <c r="AO15" s="19">
        <f>MIN(Debt!AO65,AO14)*(1-Time!AO20)</f>
        <v/>
      </c>
      <c r="AP15" s="19">
        <f>MIN(Debt!AP65,AP14)*(1-Time!AP20)</f>
        <v/>
      </c>
      <c r="AQ15" s="19">
        <f>MIN(Debt!AQ65,AQ14)*(1-Time!AQ20)</f>
        <v/>
      </c>
      <c r="AR15" s="19">
        <f>MIN(Debt!AR65,AR14)*(1-Time!AR20)</f>
        <v/>
      </c>
      <c r="AS15" s="19">
        <f>MIN(Debt!AS65,AS14)*(1-Time!AS20)</f>
        <v/>
      </c>
      <c r="AT15" s="19">
        <f>MIN(Debt!AT65,AT14)*(1-Time!AT20)</f>
        <v/>
      </c>
      <c r="AU15" s="19">
        <f>MIN(Debt!AU65,AU14)*(1-Time!AU20)</f>
        <v/>
      </c>
      <c r="AV15" s="19">
        <f>MIN(Debt!AV65,AV14)*(1-Time!AV20)</f>
        <v/>
      </c>
      <c r="AW15" s="19">
        <f>MIN(Debt!AW65,AW14)*(1-Time!AW20)</f>
        <v/>
      </c>
      <c r="AX15" s="19">
        <f>MIN(Debt!AX65,AX14)*(1-Time!AX20)</f>
        <v/>
      </c>
      <c r="AY15" s="19">
        <f>MIN(Debt!AY65,AY14)*(1-Time!AY20)</f>
        <v/>
      </c>
      <c r="AZ15" s="19">
        <f>MIN(Debt!AZ65,AZ14)*(1-Time!AZ20)</f>
        <v/>
      </c>
      <c r="BA15" s="19">
        <f>MIN(Debt!BA65,BA14)*(1-Time!BA20)</f>
        <v/>
      </c>
      <c r="BB15" s="19">
        <f>MIN(Debt!BB65,BB14)*(1-Time!BB20)</f>
        <v/>
      </c>
      <c r="BC15" s="19">
        <f>MIN(Debt!BC65,BC14)*(1-Time!BC20)</f>
        <v/>
      </c>
      <c r="BD15" s="19">
        <f>MIN(Debt!BD65,BD14)*(1-Time!BD20)</f>
        <v/>
      </c>
      <c r="BE15" s="19">
        <f>MIN(Debt!BE65,BE14)*(1-Time!BE20)</f>
        <v/>
      </c>
      <c r="BF15" s="19">
        <f>MIN(Debt!BF65,BF14)*(1-Time!BF20)</f>
        <v/>
      </c>
      <c r="BG15" s="19">
        <f>MIN(Debt!BG65,BG14)*(1-Time!BG20)</f>
        <v/>
      </c>
      <c r="BH15" s="19">
        <f>MIN(Debt!BH65,BH14)*(1-Time!BH20)</f>
        <v/>
      </c>
      <c r="BI15" s="19">
        <f>MIN(Debt!BI65,BI14)*(1-Time!BI20)</f>
        <v/>
      </c>
      <c r="BJ15" s="19">
        <f>MIN(Debt!BJ65,BJ14)*(1-Time!BJ20)</f>
        <v/>
      </c>
      <c r="BK15" s="19">
        <f>MIN(Debt!BK65,BK14)*(1-Time!BK20)</f>
        <v/>
      </c>
      <c r="BL15" s="19">
        <f>MIN(Debt!BL65,BL14)*(1-Time!BL20)</f>
        <v/>
      </c>
      <c r="BM15" s="19">
        <f>MIN(Debt!BM65,BM14)*(1-Time!BM20)</f>
        <v/>
      </c>
      <c r="BN15" s="19">
        <f>MIN(Debt!BN65,BN14)*(1-Time!BN20)</f>
        <v/>
      </c>
      <c r="BO15" s="19">
        <f>MIN(Debt!BO65,BO14)*(1-Time!BO20)</f>
        <v/>
      </c>
      <c r="BP15" s="19">
        <f>MIN(Debt!BP65,BP14)*(1-Time!BP20)</f>
        <v/>
      </c>
      <c r="BQ15" s="19">
        <f>MIN(Debt!BQ65,BQ14)*(1-Time!BQ20)</f>
        <v/>
      </c>
      <c r="BR15" s="19">
        <f>MIN(Debt!BR65,BR14)*(1-Time!BR20)</f>
        <v/>
      </c>
      <c r="BS15" s="19">
        <f>MIN(Debt!BS65,BS14)*(1-Time!BS20)</f>
        <v/>
      </c>
      <c r="BT15" s="19">
        <f>MIN(Debt!BT65,BT14)*(1-Time!BT20)</f>
        <v/>
      </c>
      <c r="BU15" s="19">
        <f>MIN(Debt!BU65,BU14)*(1-Time!BU20)</f>
        <v/>
      </c>
      <c r="BV15" s="19">
        <f>MIN(Debt!BV65,BV14)*(1-Time!BV20)</f>
        <v/>
      </c>
      <c r="BW15" s="19">
        <f>MIN(Debt!BW65,BW14)*(1-Time!BW20)</f>
        <v/>
      </c>
      <c r="BX15" s="19">
        <f>MIN(Debt!BX65,BX14)*(1-Time!BX20)</f>
        <v/>
      </c>
      <c r="BY15" s="19">
        <f>MIN(Debt!BY65,BY14)*(1-Time!BY20)</f>
        <v/>
      </c>
      <c r="BZ15" s="19">
        <f>MIN(Debt!BZ65,BZ14)*(1-Time!BZ20)</f>
        <v/>
      </c>
      <c r="CA15" s="19">
        <f>MIN(Debt!CA65,CA14)*(1-Time!CA20)</f>
        <v/>
      </c>
      <c r="CB15" s="19">
        <f>MIN(Debt!CB65,CB14)*(1-Time!CB20)</f>
        <v/>
      </c>
      <c r="CC15" s="19">
        <f>MIN(Debt!CC65,CC14)*(1-Time!CC20)</f>
        <v/>
      </c>
      <c r="CD15" s="19">
        <f>MIN(Debt!CD65,CD14)*(1-Time!CD20)</f>
        <v/>
      </c>
      <c r="CE15" s="19">
        <f>MIN(Debt!CE65,CE14)*(1-Time!CE20)</f>
        <v/>
      </c>
      <c r="CF15" s="19">
        <f>MIN(Debt!CF65,CF14)*(1-Time!CF20)</f>
        <v/>
      </c>
      <c r="CG15" s="19">
        <f>MIN(Debt!CG65,CG14)*(1-Time!CG20)</f>
        <v/>
      </c>
      <c r="CH15" s="19">
        <f>MIN(Debt!CH65,CH14)*(1-Time!CH20)</f>
        <v/>
      </c>
      <c r="CI15" s="19">
        <f>MIN(Debt!CI65,CI14)*(1-Time!CI20)</f>
        <v/>
      </c>
      <c r="CJ15" s="19">
        <f>MIN(Debt!CJ65,CJ14)*(1-Time!CJ20)</f>
        <v/>
      </c>
      <c r="CK15" s="19">
        <f>MIN(Debt!CK65,CK14)*(1-Time!CK20)</f>
        <v/>
      </c>
      <c r="CL15" s="19">
        <f>MIN(Debt!CL65,CL14)*(1-Time!CL20)</f>
        <v/>
      </c>
      <c r="CM15" s="19">
        <f>MIN(Debt!CM65,CM14)*(1-Time!CM20)</f>
        <v/>
      </c>
      <c r="CN15" s="19">
        <f>MIN(Debt!CN65,CN14)*(1-Time!CN20)</f>
        <v/>
      </c>
      <c r="CO15" s="19">
        <f>MIN(Debt!CO65,CO14)*(1-Time!CO20)</f>
        <v/>
      </c>
      <c r="CP15" s="19">
        <f>MIN(Debt!CP65,CP14)*(1-Time!CP20)</f>
        <v/>
      </c>
      <c r="CQ15" s="19">
        <f>MIN(Debt!CQ65,CQ14)*(1-Time!CQ20)</f>
        <v/>
      </c>
      <c r="CR15" s="19">
        <f>MIN(Debt!CR65,CR14)*(1-Time!CR20)</f>
        <v/>
      </c>
      <c r="CS15" s="19">
        <f>MIN(Debt!CS65,CS14)*(1-Time!CS20)</f>
        <v/>
      </c>
      <c r="CT15" s="19">
        <f>MIN(Debt!CT65,CT14)*(1-Time!CT20)</f>
        <v/>
      </c>
      <c r="CU15" s="19">
        <f>MIN(Debt!CU65,CU14)*(1-Time!CU20)</f>
        <v/>
      </c>
      <c r="CV15" s="19">
        <f>MIN(Debt!CV65,CV14)*(1-Time!CV20)</f>
        <v/>
      </c>
      <c r="CW15" s="19">
        <f>MIN(Debt!CW65,CW14)*(1-Time!CW20)</f>
        <v/>
      </c>
      <c r="CX15" s="19">
        <f>MIN(Debt!CX65,CX14)*(1-Time!CX20)</f>
        <v/>
      </c>
      <c r="CY15" s="19">
        <f>MIN(Debt!CY65,CY14)*(1-Time!CY20)</f>
        <v/>
      </c>
      <c r="CZ15" s="19">
        <f>MIN(Debt!CZ65,CZ14)*(1-Time!CZ20)</f>
        <v/>
      </c>
      <c r="DA15" s="19">
        <f>MIN(Debt!DA65,DA14)*(1-Time!DA20)</f>
        <v/>
      </c>
      <c r="DB15" s="19">
        <f>MIN(Debt!DB65,DB14)*(1-Time!DB20)</f>
        <v/>
      </c>
    </row>
    <row r="16">
      <c r="D16" t="inlineStr">
        <is>
          <t>Interest paid</t>
        </is>
      </c>
      <c r="E16" t="inlineStr">
        <is>
          <t>ARD m</t>
        </is>
      </c>
      <c r="G16" s="19">
        <f>SUM(J16:DB16)</f>
        <v/>
      </c>
      <c r="J16" s="19">
        <f>MIN(Debt!J64+J12,J14-J15)</f>
        <v/>
      </c>
      <c r="K16" s="19">
        <f>MIN(Debt!K64+K12,K14-K15)</f>
        <v/>
      </c>
      <c r="L16" s="19">
        <f>MIN(Debt!L64+L12,L14-L15)</f>
        <v/>
      </c>
      <c r="M16" s="19">
        <f>MIN(Debt!M64+M12,M14-M15)</f>
        <v/>
      </c>
      <c r="N16" s="19">
        <f>MIN(Debt!N64+N12,N14-N15)</f>
        <v/>
      </c>
      <c r="O16" s="19">
        <f>MIN(Debt!O64+O12,O14-O15)</f>
        <v/>
      </c>
      <c r="P16" s="19">
        <f>MIN(Debt!P64+P12,P14-P15)</f>
        <v/>
      </c>
      <c r="Q16" s="19">
        <f>MIN(Debt!Q64+Q12,Q14-Q15)</f>
        <v/>
      </c>
      <c r="R16" s="19">
        <f>MIN(Debt!R64+R12,R14-R15)</f>
        <v/>
      </c>
      <c r="S16" s="19">
        <f>MIN(Debt!S64+S12,S14-S15)</f>
        <v/>
      </c>
      <c r="T16" s="19">
        <f>MIN(Debt!T64+T12,T14-T15)</f>
        <v/>
      </c>
      <c r="U16" s="19">
        <f>MIN(Debt!U64+U12,U14-U15)</f>
        <v/>
      </c>
      <c r="V16" s="19">
        <f>MIN(Debt!V64+V12,V14-V15)</f>
        <v/>
      </c>
      <c r="W16" s="19">
        <f>MIN(Debt!W64+W12,W14-W15)</f>
        <v/>
      </c>
      <c r="X16" s="19">
        <f>MIN(Debt!X64+X12,X14-X15)</f>
        <v/>
      </c>
      <c r="Y16" s="19">
        <f>MIN(Debt!Y64+Y12,Y14-Y15)</f>
        <v/>
      </c>
      <c r="Z16" s="19">
        <f>MIN(Debt!Z64+Z12,Z14-Z15)</f>
        <v/>
      </c>
      <c r="AA16" s="19">
        <f>MIN(Debt!AA64+AA12,AA14-AA15)</f>
        <v/>
      </c>
      <c r="AB16" s="19">
        <f>MIN(Debt!AB64+AB12,AB14-AB15)</f>
        <v/>
      </c>
      <c r="AC16" s="19">
        <f>MIN(Debt!AC64+AC12,AC14-AC15)</f>
        <v/>
      </c>
      <c r="AD16" s="19">
        <f>MIN(Debt!AD64+AD12,AD14-AD15)</f>
        <v/>
      </c>
      <c r="AE16" s="19">
        <f>MIN(Debt!AE64+AE12,AE14-AE15)</f>
        <v/>
      </c>
      <c r="AF16" s="19">
        <f>MIN(Debt!AF64+AF12,AF14-AF15)</f>
        <v/>
      </c>
      <c r="AG16" s="19">
        <f>MIN(Debt!AG64+AG12,AG14-AG15)</f>
        <v/>
      </c>
      <c r="AH16" s="19">
        <f>MIN(Debt!AH64+AH12,AH14-AH15)</f>
        <v/>
      </c>
      <c r="AI16" s="19">
        <f>MIN(Debt!AI64+AI12,AI14-AI15)</f>
        <v/>
      </c>
      <c r="AJ16" s="19">
        <f>MIN(Debt!AJ64+AJ12,AJ14-AJ15)</f>
        <v/>
      </c>
      <c r="AK16" s="19">
        <f>MIN(Debt!AK64+AK12,AK14-AK15)</f>
        <v/>
      </c>
      <c r="AL16" s="19">
        <f>MIN(Debt!AL64+AL12,AL14-AL15)</f>
        <v/>
      </c>
      <c r="AM16" s="19">
        <f>MIN(Debt!AM64+AM12,AM14-AM15)</f>
        <v/>
      </c>
      <c r="AN16" s="19">
        <f>MIN(Debt!AN64+AN12,AN14-AN15)</f>
        <v/>
      </c>
      <c r="AO16" s="19">
        <f>MIN(Debt!AO64+AO12,AO14-AO15)</f>
        <v/>
      </c>
      <c r="AP16" s="19">
        <f>MIN(Debt!AP64+AP12,AP14-AP15)</f>
        <v/>
      </c>
      <c r="AQ16" s="19">
        <f>MIN(Debt!AQ64+AQ12,AQ14-AQ15)</f>
        <v/>
      </c>
      <c r="AR16" s="19">
        <f>MIN(Debt!AR64+AR12,AR14-AR15)</f>
        <v/>
      </c>
      <c r="AS16" s="19">
        <f>MIN(Debt!AS64+AS12,AS14-AS15)</f>
        <v/>
      </c>
      <c r="AT16" s="19">
        <f>MIN(Debt!AT64+AT12,AT14-AT15)</f>
        <v/>
      </c>
      <c r="AU16" s="19">
        <f>MIN(Debt!AU64+AU12,AU14-AU15)</f>
        <v/>
      </c>
      <c r="AV16" s="19">
        <f>MIN(Debt!AV64+AV12,AV14-AV15)</f>
        <v/>
      </c>
      <c r="AW16" s="19">
        <f>MIN(Debt!AW64+AW12,AW14-AW15)</f>
        <v/>
      </c>
      <c r="AX16" s="19">
        <f>MIN(Debt!AX64+AX12,AX14-AX15)</f>
        <v/>
      </c>
      <c r="AY16" s="19">
        <f>MIN(Debt!AY64+AY12,AY14-AY15)</f>
        <v/>
      </c>
      <c r="AZ16" s="19">
        <f>MIN(Debt!AZ64+AZ12,AZ14-AZ15)</f>
        <v/>
      </c>
      <c r="BA16" s="19">
        <f>MIN(Debt!BA64+BA12,BA14-BA15)</f>
        <v/>
      </c>
      <c r="BB16" s="19">
        <f>MIN(Debt!BB64+BB12,BB14-BB15)</f>
        <v/>
      </c>
      <c r="BC16" s="19">
        <f>MIN(Debt!BC64+BC12,BC14-BC15)</f>
        <v/>
      </c>
      <c r="BD16" s="19">
        <f>MIN(Debt!BD64+BD12,BD14-BD15)</f>
        <v/>
      </c>
      <c r="BE16" s="19">
        <f>MIN(Debt!BE64+BE12,BE14-BE15)</f>
        <v/>
      </c>
      <c r="BF16" s="19">
        <f>MIN(Debt!BF64+BF12,BF14-BF15)</f>
        <v/>
      </c>
      <c r="BG16" s="19">
        <f>MIN(Debt!BG64+BG12,BG14-BG15)</f>
        <v/>
      </c>
      <c r="BH16" s="19">
        <f>MIN(Debt!BH64+BH12,BH14-BH15)</f>
        <v/>
      </c>
      <c r="BI16" s="19">
        <f>MIN(Debt!BI64+BI12,BI14-BI15)</f>
        <v/>
      </c>
      <c r="BJ16" s="19">
        <f>MIN(Debt!BJ64+BJ12,BJ14-BJ15)</f>
        <v/>
      </c>
      <c r="BK16" s="19">
        <f>MIN(Debt!BK64+BK12,BK14-BK15)</f>
        <v/>
      </c>
      <c r="BL16" s="19">
        <f>MIN(Debt!BL64+BL12,BL14-BL15)</f>
        <v/>
      </c>
      <c r="BM16" s="19">
        <f>MIN(Debt!BM64+BM12,BM14-BM15)</f>
        <v/>
      </c>
      <c r="BN16" s="19">
        <f>MIN(Debt!BN64+BN12,BN14-BN15)</f>
        <v/>
      </c>
      <c r="BO16" s="19">
        <f>MIN(Debt!BO64+BO12,BO14-BO15)</f>
        <v/>
      </c>
      <c r="BP16" s="19">
        <f>MIN(Debt!BP64+BP12,BP14-BP15)</f>
        <v/>
      </c>
      <c r="BQ16" s="19">
        <f>MIN(Debt!BQ64+BQ12,BQ14-BQ15)</f>
        <v/>
      </c>
      <c r="BR16" s="19">
        <f>MIN(Debt!BR64+BR12,BR14-BR15)</f>
        <v/>
      </c>
      <c r="BS16" s="19">
        <f>MIN(Debt!BS64+BS12,BS14-BS15)</f>
        <v/>
      </c>
      <c r="BT16" s="19">
        <f>MIN(Debt!BT64+BT12,BT14-BT15)</f>
        <v/>
      </c>
      <c r="BU16" s="19">
        <f>MIN(Debt!BU64+BU12,BU14-BU15)</f>
        <v/>
      </c>
      <c r="BV16" s="19">
        <f>MIN(Debt!BV64+BV12,BV14-BV15)</f>
        <v/>
      </c>
      <c r="BW16" s="19">
        <f>MIN(Debt!BW64+BW12,BW14-BW15)</f>
        <v/>
      </c>
      <c r="BX16" s="19">
        <f>MIN(Debt!BX64+BX12,BX14-BX15)</f>
        <v/>
      </c>
      <c r="BY16" s="19">
        <f>MIN(Debt!BY64+BY12,BY14-BY15)</f>
        <v/>
      </c>
      <c r="BZ16" s="19">
        <f>MIN(Debt!BZ64+BZ12,BZ14-BZ15)</f>
        <v/>
      </c>
      <c r="CA16" s="19">
        <f>MIN(Debt!CA64+CA12,CA14-CA15)</f>
        <v/>
      </c>
      <c r="CB16" s="19">
        <f>MIN(Debt!CB64+CB12,CB14-CB15)</f>
        <v/>
      </c>
      <c r="CC16" s="19">
        <f>MIN(Debt!CC64+CC12,CC14-CC15)</f>
        <v/>
      </c>
      <c r="CD16" s="19">
        <f>MIN(Debt!CD64+CD12,CD14-CD15)</f>
        <v/>
      </c>
      <c r="CE16" s="19">
        <f>MIN(Debt!CE64+CE12,CE14-CE15)</f>
        <v/>
      </c>
      <c r="CF16" s="19">
        <f>MIN(Debt!CF64+CF12,CF14-CF15)</f>
        <v/>
      </c>
      <c r="CG16" s="19">
        <f>MIN(Debt!CG64+CG12,CG14-CG15)</f>
        <v/>
      </c>
      <c r="CH16" s="19">
        <f>MIN(Debt!CH64+CH12,CH14-CH15)</f>
        <v/>
      </c>
      <c r="CI16" s="19">
        <f>MIN(Debt!CI64+CI12,CI14-CI15)</f>
        <v/>
      </c>
      <c r="CJ16" s="19">
        <f>MIN(Debt!CJ64+CJ12,CJ14-CJ15)</f>
        <v/>
      </c>
      <c r="CK16" s="19">
        <f>MIN(Debt!CK64+CK12,CK14-CK15)</f>
        <v/>
      </c>
      <c r="CL16" s="19">
        <f>MIN(Debt!CL64+CL12,CL14-CL15)</f>
        <v/>
      </c>
      <c r="CM16" s="19">
        <f>MIN(Debt!CM64+CM12,CM14-CM15)</f>
        <v/>
      </c>
      <c r="CN16" s="19">
        <f>MIN(Debt!CN64+CN12,CN14-CN15)</f>
        <v/>
      </c>
      <c r="CO16" s="19">
        <f>MIN(Debt!CO64+CO12,CO14-CO15)</f>
        <v/>
      </c>
      <c r="CP16" s="19">
        <f>MIN(Debt!CP64+CP12,CP14-CP15)</f>
        <v/>
      </c>
      <c r="CQ16" s="19">
        <f>MIN(Debt!CQ64+CQ12,CQ14-CQ15)</f>
        <v/>
      </c>
      <c r="CR16" s="19">
        <f>MIN(Debt!CR64+CR12,CR14-CR15)</f>
        <v/>
      </c>
      <c r="CS16" s="19">
        <f>MIN(Debt!CS64+CS12,CS14-CS15)</f>
        <v/>
      </c>
      <c r="CT16" s="19">
        <f>MIN(Debt!CT64+CT12,CT14-CT15)</f>
        <v/>
      </c>
      <c r="CU16" s="19">
        <f>MIN(Debt!CU64+CU12,CU14-CU15)</f>
        <v/>
      </c>
      <c r="CV16" s="19">
        <f>MIN(Debt!CV64+CV12,CV14-CV15)</f>
        <v/>
      </c>
      <c r="CW16" s="19">
        <f>MIN(Debt!CW64+CW12,CW14-CW15)</f>
        <v/>
      </c>
      <c r="CX16" s="19">
        <f>MIN(Debt!CX64+CX12,CX14-CX15)</f>
        <v/>
      </c>
      <c r="CY16" s="19">
        <f>MIN(Debt!CY64+CY12,CY14-CY15)</f>
        <v/>
      </c>
      <c r="CZ16" s="19">
        <f>MIN(Debt!CZ64+CZ12,CZ14-CZ15)</f>
        <v/>
      </c>
      <c r="DA16" s="19">
        <f>MIN(Debt!DA64+DA12,DA14-DA15)</f>
        <v/>
      </c>
      <c r="DB16" s="19">
        <f>MIN(Debt!DB64+DB12,DB14-DB15)</f>
        <v/>
      </c>
    </row>
    <row r="17">
      <c r="D17" t="inlineStr">
        <is>
          <t>Principal paid</t>
        </is>
      </c>
      <c r="E17" t="inlineStr">
        <is>
          <t>ARD m</t>
        </is>
      </c>
      <c r="G17" s="19">
        <f>SUM(J17:DB17)</f>
        <v/>
      </c>
      <c r="J17" s="19">
        <f>J14-J15-J16</f>
        <v/>
      </c>
      <c r="K17" s="19">
        <f>K14-K15-K16</f>
        <v/>
      </c>
      <c r="L17" s="19">
        <f>L14-L15-L16</f>
        <v/>
      </c>
      <c r="M17" s="19">
        <f>M14-M15-M16</f>
        <v/>
      </c>
      <c r="N17" s="19">
        <f>N14-N15-N16</f>
        <v/>
      </c>
      <c r="O17" s="19">
        <f>O14-O15-O16</f>
        <v/>
      </c>
      <c r="P17" s="19">
        <f>P14-P15-P16</f>
        <v/>
      </c>
      <c r="Q17" s="19">
        <f>Q14-Q15-Q16</f>
        <v/>
      </c>
      <c r="R17" s="19">
        <f>R14-R15-R16</f>
        <v/>
      </c>
      <c r="S17" s="19">
        <f>S14-S15-S16</f>
        <v/>
      </c>
      <c r="T17" s="19">
        <f>T14-T15-T16</f>
        <v/>
      </c>
      <c r="U17" s="19">
        <f>U14-U15-U16</f>
        <v/>
      </c>
      <c r="V17" s="19">
        <f>V14-V15-V16</f>
        <v/>
      </c>
      <c r="W17" s="19">
        <f>W14-W15-W16</f>
        <v/>
      </c>
      <c r="X17" s="19">
        <f>X14-X15-X16</f>
        <v/>
      </c>
      <c r="Y17" s="19">
        <f>Y14-Y15-Y16</f>
        <v/>
      </c>
      <c r="Z17" s="19">
        <f>Z14-Z15-Z16</f>
        <v/>
      </c>
      <c r="AA17" s="19">
        <f>AA14-AA15-AA16</f>
        <v/>
      </c>
      <c r="AB17" s="19">
        <f>AB14-AB15-AB16</f>
        <v/>
      </c>
      <c r="AC17" s="19">
        <f>AC14-AC15-AC16</f>
        <v/>
      </c>
      <c r="AD17" s="19">
        <f>AD14-AD15-AD16</f>
        <v/>
      </c>
      <c r="AE17" s="19">
        <f>AE14-AE15-AE16</f>
        <v/>
      </c>
      <c r="AF17" s="19">
        <f>AF14-AF15-AF16</f>
        <v/>
      </c>
      <c r="AG17" s="19">
        <f>AG14-AG15-AG16</f>
        <v/>
      </c>
      <c r="AH17" s="19">
        <f>AH14-AH15-AH16</f>
        <v/>
      </c>
      <c r="AI17" s="19">
        <f>AI14-AI15-AI16</f>
        <v/>
      </c>
      <c r="AJ17" s="19">
        <f>AJ14-AJ15-AJ16</f>
        <v/>
      </c>
      <c r="AK17" s="19">
        <f>AK14-AK15-AK16</f>
        <v/>
      </c>
      <c r="AL17" s="19">
        <f>AL14-AL15-AL16</f>
        <v/>
      </c>
      <c r="AM17" s="19">
        <f>AM14-AM15-AM16</f>
        <v/>
      </c>
      <c r="AN17" s="19">
        <f>AN14-AN15-AN16</f>
        <v/>
      </c>
      <c r="AO17" s="19">
        <f>AO14-AO15-AO16</f>
        <v/>
      </c>
      <c r="AP17" s="19">
        <f>AP14-AP15-AP16</f>
        <v/>
      </c>
      <c r="AQ17" s="19">
        <f>AQ14-AQ15-AQ16</f>
        <v/>
      </c>
      <c r="AR17" s="19">
        <f>AR14-AR15-AR16</f>
        <v/>
      </c>
      <c r="AS17" s="19">
        <f>AS14-AS15-AS16</f>
        <v/>
      </c>
      <c r="AT17" s="19">
        <f>AT14-AT15-AT16</f>
        <v/>
      </c>
      <c r="AU17" s="19">
        <f>AU14-AU15-AU16</f>
        <v/>
      </c>
      <c r="AV17" s="19">
        <f>AV14-AV15-AV16</f>
        <v/>
      </c>
      <c r="AW17" s="19">
        <f>AW14-AW15-AW16</f>
        <v/>
      </c>
      <c r="AX17" s="19">
        <f>AX14-AX15-AX16</f>
        <v/>
      </c>
      <c r="AY17" s="19">
        <f>AY14-AY15-AY16</f>
        <v/>
      </c>
      <c r="AZ17" s="19">
        <f>AZ14-AZ15-AZ16</f>
        <v/>
      </c>
      <c r="BA17" s="19">
        <f>BA14-BA15-BA16</f>
        <v/>
      </c>
      <c r="BB17" s="19">
        <f>BB14-BB15-BB16</f>
        <v/>
      </c>
      <c r="BC17" s="19">
        <f>BC14-BC15-BC16</f>
        <v/>
      </c>
      <c r="BD17" s="19">
        <f>BD14-BD15-BD16</f>
        <v/>
      </c>
      <c r="BE17" s="19">
        <f>BE14-BE15-BE16</f>
        <v/>
      </c>
      <c r="BF17" s="19">
        <f>BF14-BF15-BF16</f>
        <v/>
      </c>
      <c r="BG17" s="19">
        <f>BG14-BG15-BG16</f>
        <v/>
      </c>
      <c r="BH17" s="19">
        <f>BH14-BH15-BH16</f>
        <v/>
      </c>
      <c r="BI17" s="19">
        <f>BI14-BI15-BI16</f>
        <v/>
      </c>
      <c r="BJ17" s="19">
        <f>BJ14-BJ15-BJ16</f>
        <v/>
      </c>
      <c r="BK17" s="19">
        <f>BK14-BK15-BK16</f>
        <v/>
      </c>
      <c r="BL17" s="19">
        <f>BL14-BL15-BL16</f>
        <v/>
      </c>
      <c r="BM17" s="19">
        <f>BM14-BM15-BM16</f>
        <v/>
      </c>
      <c r="BN17" s="19">
        <f>BN14-BN15-BN16</f>
        <v/>
      </c>
      <c r="BO17" s="19">
        <f>BO14-BO15-BO16</f>
        <v/>
      </c>
      <c r="BP17" s="19">
        <f>BP14-BP15-BP16</f>
        <v/>
      </c>
      <c r="BQ17" s="19">
        <f>BQ14-BQ15-BQ16</f>
        <v/>
      </c>
      <c r="BR17" s="19">
        <f>BR14-BR15-BR16</f>
        <v/>
      </c>
      <c r="BS17" s="19">
        <f>BS14-BS15-BS16</f>
        <v/>
      </c>
      <c r="BT17" s="19">
        <f>BT14-BT15-BT16</f>
        <v/>
      </c>
      <c r="BU17" s="19">
        <f>BU14-BU15-BU16</f>
        <v/>
      </c>
      <c r="BV17" s="19">
        <f>BV14-BV15-BV16</f>
        <v/>
      </c>
      <c r="BW17" s="19">
        <f>BW14-BW15-BW16</f>
        <v/>
      </c>
      <c r="BX17" s="19">
        <f>BX14-BX15-BX16</f>
        <v/>
      </c>
      <c r="BY17" s="19">
        <f>BY14-BY15-BY16</f>
        <v/>
      </c>
      <c r="BZ17" s="19">
        <f>BZ14-BZ15-BZ16</f>
        <v/>
      </c>
      <c r="CA17" s="19">
        <f>CA14-CA15-CA16</f>
        <v/>
      </c>
      <c r="CB17" s="19">
        <f>CB14-CB15-CB16</f>
        <v/>
      </c>
      <c r="CC17" s="19">
        <f>CC14-CC15-CC16</f>
        <v/>
      </c>
      <c r="CD17" s="19">
        <f>CD14-CD15-CD16</f>
        <v/>
      </c>
      <c r="CE17" s="19">
        <f>CE14-CE15-CE16</f>
        <v/>
      </c>
      <c r="CF17" s="19">
        <f>CF14-CF15-CF16</f>
        <v/>
      </c>
      <c r="CG17" s="19">
        <f>CG14-CG15-CG16</f>
        <v/>
      </c>
      <c r="CH17" s="19">
        <f>CH14-CH15-CH16</f>
        <v/>
      </c>
      <c r="CI17" s="19">
        <f>CI14-CI15-CI16</f>
        <v/>
      </c>
      <c r="CJ17" s="19">
        <f>CJ14-CJ15-CJ16</f>
        <v/>
      </c>
      <c r="CK17" s="19">
        <f>CK14-CK15-CK16</f>
        <v/>
      </c>
      <c r="CL17" s="19">
        <f>CL14-CL15-CL16</f>
        <v/>
      </c>
      <c r="CM17" s="19">
        <f>CM14-CM15-CM16</f>
        <v/>
      </c>
      <c r="CN17" s="19">
        <f>CN14-CN15-CN16</f>
        <v/>
      </c>
      <c r="CO17" s="19">
        <f>CO14-CO15-CO16</f>
        <v/>
      </c>
      <c r="CP17" s="19">
        <f>CP14-CP15-CP16</f>
        <v/>
      </c>
      <c r="CQ17" s="19">
        <f>CQ14-CQ15-CQ16</f>
        <v/>
      </c>
      <c r="CR17" s="19">
        <f>CR14-CR15-CR16</f>
        <v/>
      </c>
      <c r="CS17" s="19">
        <f>CS14-CS15-CS16</f>
        <v/>
      </c>
      <c r="CT17" s="19">
        <f>CT14-CT15-CT16</f>
        <v/>
      </c>
      <c r="CU17" s="19">
        <f>CU14-CU15-CU16</f>
        <v/>
      </c>
      <c r="CV17" s="19">
        <f>CV14-CV15-CV16</f>
        <v/>
      </c>
      <c r="CW17" s="19">
        <f>CW14-CW15-CW16</f>
        <v/>
      </c>
      <c r="CX17" s="19">
        <f>CX14-CX15-CX16</f>
        <v/>
      </c>
      <c r="CY17" s="19">
        <f>CY14-CY15-CY16</f>
        <v/>
      </c>
      <c r="CZ17" s="19">
        <f>CZ14-CZ15-CZ16</f>
        <v/>
      </c>
      <c r="DA17" s="19">
        <f>DA14-DA15-DA16</f>
        <v/>
      </c>
      <c r="DB17" s="19">
        <f>DB14-DB15-DB16</f>
        <v/>
      </c>
    </row>
    <row r="18">
      <c r="D18" t="inlineStr">
        <is>
          <t>Bank share of interest paid</t>
        </is>
      </c>
      <c r="E18" t="inlineStr">
        <is>
          <t>factor</t>
        </is>
      </c>
      <c r="J18" s="16">
        <f>IF(Debt!J64+J12&gt;0,(Debt!J44+Debt!J56)/(Debt!J64+J12),0)</f>
        <v/>
      </c>
      <c r="K18" s="16">
        <f>IF(Debt!K64+K12&gt;0,(Debt!K44+Debt!K56)/(Debt!K64+K12),0)</f>
        <v/>
      </c>
      <c r="L18" s="16">
        <f>IF(Debt!L64+L12&gt;0,(Debt!L44+Debt!L56)/(Debt!L64+L12),0)</f>
        <v/>
      </c>
      <c r="M18" s="16">
        <f>IF(Debt!M64+M12&gt;0,(Debt!M44+Debt!M56)/(Debt!M64+M12),0)</f>
        <v/>
      </c>
      <c r="N18" s="16">
        <f>IF(Debt!N64+N12&gt;0,(Debt!N44+Debt!N56)/(Debt!N64+N12),0)</f>
        <v/>
      </c>
      <c r="O18" s="16">
        <f>IF(Debt!O64+O12&gt;0,(Debt!O44+Debt!O56)/(Debt!O64+O12),0)</f>
        <v/>
      </c>
      <c r="P18" s="16">
        <f>IF(Debt!P64+P12&gt;0,(Debt!P44+Debt!P56)/(Debt!P64+P12),0)</f>
        <v/>
      </c>
      <c r="Q18" s="16">
        <f>IF(Debt!Q64+Q12&gt;0,(Debt!Q44+Debt!Q56)/(Debt!Q64+Q12),0)</f>
        <v/>
      </c>
      <c r="R18" s="16">
        <f>IF(Debt!R64+R12&gt;0,(Debt!R44+Debt!R56)/(Debt!R64+R12),0)</f>
        <v/>
      </c>
      <c r="S18" s="16">
        <f>IF(Debt!S64+S12&gt;0,(Debt!S44+Debt!S56)/(Debt!S64+S12),0)</f>
        <v/>
      </c>
      <c r="T18" s="16">
        <f>IF(Debt!T64+T12&gt;0,(Debt!T44+Debt!T56)/(Debt!T64+T12),0)</f>
        <v/>
      </c>
      <c r="U18" s="16">
        <f>IF(Debt!U64+U12&gt;0,(Debt!U44+Debt!U56)/(Debt!U64+U12),0)</f>
        <v/>
      </c>
      <c r="V18" s="16">
        <f>IF(Debt!V64+V12&gt;0,(Debt!V44+Debt!V56)/(Debt!V64+V12),0)</f>
        <v/>
      </c>
      <c r="W18" s="16">
        <f>IF(Debt!W64+W12&gt;0,(Debt!W44+Debt!W56)/(Debt!W64+W12),0)</f>
        <v/>
      </c>
      <c r="X18" s="16">
        <f>IF(Debt!X64+X12&gt;0,(Debt!X44+Debt!X56)/(Debt!X64+X12),0)</f>
        <v/>
      </c>
      <c r="Y18" s="16">
        <f>IF(Debt!Y64+Y12&gt;0,(Debt!Y44+Debt!Y56)/(Debt!Y64+Y12),0)</f>
        <v/>
      </c>
      <c r="Z18" s="16">
        <f>IF(Debt!Z64+Z12&gt;0,(Debt!Z44+Debt!Z56)/(Debt!Z64+Z12),0)</f>
        <v/>
      </c>
      <c r="AA18" s="16">
        <f>IF(Debt!AA64+AA12&gt;0,(Debt!AA44+Debt!AA56)/(Debt!AA64+AA12),0)</f>
        <v/>
      </c>
      <c r="AB18" s="16">
        <f>IF(Debt!AB64+AB12&gt;0,(Debt!AB44+Debt!AB56)/(Debt!AB64+AB12),0)</f>
        <v/>
      </c>
      <c r="AC18" s="16">
        <f>IF(Debt!AC64+AC12&gt;0,(Debt!AC44+Debt!AC56)/(Debt!AC64+AC12),0)</f>
        <v/>
      </c>
      <c r="AD18" s="16">
        <f>IF(Debt!AD64+AD12&gt;0,(Debt!AD44+Debt!AD56)/(Debt!AD64+AD12),0)</f>
        <v/>
      </c>
      <c r="AE18" s="16">
        <f>IF(Debt!AE64+AE12&gt;0,(Debt!AE44+Debt!AE56)/(Debt!AE64+AE12),0)</f>
        <v/>
      </c>
      <c r="AF18" s="16">
        <f>IF(Debt!AF64+AF12&gt;0,(Debt!AF44+Debt!AF56)/(Debt!AF64+AF12),0)</f>
        <v/>
      </c>
      <c r="AG18" s="16">
        <f>IF(Debt!AG64+AG12&gt;0,(Debt!AG44+Debt!AG56)/(Debt!AG64+AG12),0)</f>
        <v/>
      </c>
      <c r="AH18" s="16">
        <f>IF(Debt!AH64+AH12&gt;0,(Debt!AH44+Debt!AH56)/(Debt!AH64+AH12),0)</f>
        <v/>
      </c>
      <c r="AI18" s="16">
        <f>IF(Debt!AI64+AI12&gt;0,(Debt!AI44+Debt!AI56)/(Debt!AI64+AI12),0)</f>
        <v/>
      </c>
      <c r="AJ18" s="16">
        <f>IF(Debt!AJ64+AJ12&gt;0,(Debt!AJ44+Debt!AJ56)/(Debt!AJ64+AJ12),0)</f>
        <v/>
      </c>
      <c r="AK18" s="16">
        <f>IF(Debt!AK64+AK12&gt;0,(Debt!AK44+Debt!AK56)/(Debt!AK64+AK12),0)</f>
        <v/>
      </c>
      <c r="AL18" s="16">
        <f>IF(Debt!AL64+AL12&gt;0,(Debt!AL44+Debt!AL56)/(Debt!AL64+AL12),0)</f>
        <v/>
      </c>
      <c r="AM18" s="16">
        <f>IF(Debt!AM64+AM12&gt;0,(Debt!AM44+Debt!AM56)/(Debt!AM64+AM12),0)</f>
        <v/>
      </c>
      <c r="AN18" s="16">
        <f>IF(Debt!AN64+AN12&gt;0,(Debt!AN44+Debt!AN56)/(Debt!AN64+AN12),0)</f>
        <v/>
      </c>
      <c r="AO18" s="16">
        <f>IF(Debt!AO64+AO12&gt;0,(Debt!AO44+Debt!AO56)/(Debt!AO64+AO12),0)</f>
        <v/>
      </c>
      <c r="AP18" s="16">
        <f>IF(Debt!AP64+AP12&gt;0,(Debt!AP44+Debt!AP56)/(Debt!AP64+AP12),0)</f>
        <v/>
      </c>
      <c r="AQ18" s="16">
        <f>IF(Debt!AQ64+AQ12&gt;0,(Debt!AQ44+Debt!AQ56)/(Debt!AQ64+AQ12),0)</f>
        <v/>
      </c>
      <c r="AR18" s="16">
        <f>IF(Debt!AR64+AR12&gt;0,(Debt!AR44+Debt!AR56)/(Debt!AR64+AR12),0)</f>
        <v/>
      </c>
      <c r="AS18" s="16">
        <f>IF(Debt!AS64+AS12&gt;0,(Debt!AS44+Debt!AS56)/(Debt!AS64+AS12),0)</f>
        <v/>
      </c>
      <c r="AT18" s="16">
        <f>IF(Debt!AT64+AT12&gt;0,(Debt!AT44+Debt!AT56)/(Debt!AT64+AT12),0)</f>
        <v/>
      </c>
      <c r="AU18" s="16">
        <f>IF(Debt!AU64+AU12&gt;0,(Debt!AU44+Debt!AU56)/(Debt!AU64+AU12),0)</f>
        <v/>
      </c>
      <c r="AV18" s="16">
        <f>IF(Debt!AV64+AV12&gt;0,(Debt!AV44+Debt!AV56)/(Debt!AV64+AV12),0)</f>
        <v/>
      </c>
      <c r="AW18" s="16">
        <f>IF(Debt!AW64+AW12&gt;0,(Debt!AW44+Debt!AW56)/(Debt!AW64+AW12),0)</f>
        <v/>
      </c>
      <c r="AX18" s="16">
        <f>IF(Debt!AX64+AX12&gt;0,(Debt!AX44+Debt!AX56)/(Debt!AX64+AX12),0)</f>
        <v/>
      </c>
      <c r="AY18" s="16">
        <f>IF(Debt!AY64+AY12&gt;0,(Debt!AY44+Debt!AY56)/(Debt!AY64+AY12),0)</f>
        <v/>
      </c>
      <c r="AZ18" s="16">
        <f>IF(Debt!AZ64+AZ12&gt;0,(Debt!AZ44+Debt!AZ56)/(Debt!AZ64+AZ12),0)</f>
        <v/>
      </c>
      <c r="BA18" s="16">
        <f>IF(Debt!BA64+BA12&gt;0,(Debt!BA44+Debt!BA56)/(Debt!BA64+BA12),0)</f>
        <v/>
      </c>
      <c r="BB18" s="16">
        <f>IF(Debt!BB64+BB12&gt;0,(Debt!BB44+Debt!BB56)/(Debt!BB64+BB12),0)</f>
        <v/>
      </c>
      <c r="BC18" s="16">
        <f>IF(Debt!BC64+BC12&gt;0,(Debt!BC44+Debt!BC56)/(Debt!BC64+BC12),0)</f>
        <v/>
      </c>
      <c r="BD18" s="16">
        <f>IF(Debt!BD64+BD12&gt;0,(Debt!BD44+Debt!BD56)/(Debt!BD64+BD12),0)</f>
        <v/>
      </c>
      <c r="BE18" s="16">
        <f>IF(Debt!BE64+BE12&gt;0,(Debt!BE44+Debt!BE56)/(Debt!BE64+BE12),0)</f>
        <v/>
      </c>
      <c r="BF18" s="16">
        <f>IF(Debt!BF64+BF12&gt;0,(Debt!BF44+Debt!BF56)/(Debt!BF64+BF12),0)</f>
        <v/>
      </c>
      <c r="BG18" s="16">
        <f>IF(Debt!BG64+BG12&gt;0,(Debt!BG44+Debt!BG56)/(Debt!BG64+BG12),0)</f>
        <v/>
      </c>
      <c r="BH18" s="16">
        <f>IF(Debt!BH64+BH12&gt;0,(Debt!BH44+Debt!BH56)/(Debt!BH64+BH12),0)</f>
        <v/>
      </c>
      <c r="BI18" s="16">
        <f>IF(Debt!BI64+BI12&gt;0,(Debt!BI44+Debt!BI56)/(Debt!BI64+BI12),0)</f>
        <v/>
      </c>
      <c r="BJ18" s="16">
        <f>IF(Debt!BJ64+BJ12&gt;0,(Debt!BJ44+Debt!BJ56)/(Debt!BJ64+BJ12),0)</f>
        <v/>
      </c>
      <c r="BK18" s="16">
        <f>IF(Debt!BK64+BK12&gt;0,(Debt!BK44+Debt!BK56)/(Debt!BK64+BK12),0)</f>
        <v/>
      </c>
      <c r="BL18" s="16">
        <f>IF(Debt!BL64+BL12&gt;0,(Debt!BL44+Debt!BL56)/(Debt!BL64+BL12),0)</f>
        <v/>
      </c>
      <c r="BM18" s="16">
        <f>IF(Debt!BM64+BM12&gt;0,(Debt!BM44+Debt!BM56)/(Debt!BM64+BM12),0)</f>
        <v/>
      </c>
      <c r="BN18" s="16">
        <f>IF(Debt!BN64+BN12&gt;0,(Debt!BN44+Debt!BN56)/(Debt!BN64+BN12),0)</f>
        <v/>
      </c>
      <c r="BO18" s="16">
        <f>IF(Debt!BO64+BO12&gt;0,(Debt!BO44+Debt!BO56)/(Debt!BO64+BO12),0)</f>
        <v/>
      </c>
      <c r="BP18" s="16">
        <f>IF(Debt!BP64+BP12&gt;0,(Debt!BP44+Debt!BP56)/(Debt!BP64+BP12),0)</f>
        <v/>
      </c>
      <c r="BQ18" s="16">
        <f>IF(Debt!BQ64+BQ12&gt;0,(Debt!BQ44+Debt!BQ56)/(Debt!BQ64+BQ12),0)</f>
        <v/>
      </c>
      <c r="BR18" s="16">
        <f>IF(Debt!BR64+BR12&gt;0,(Debt!BR44+Debt!BR56)/(Debt!BR64+BR12),0)</f>
        <v/>
      </c>
      <c r="BS18" s="16">
        <f>IF(Debt!BS64+BS12&gt;0,(Debt!BS44+Debt!BS56)/(Debt!BS64+BS12),0)</f>
        <v/>
      </c>
      <c r="BT18" s="16">
        <f>IF(Debt!BT64+BT12&gt;0,(Debt!BT44+Debt!BT56)/(Debt!BT64+BT12),0)</f>
        <v/>
      </c>
      <c r="BU18" s="16">
        <f>IF(Debt!BU64+BU12&gt;0,(Debt!BU44+Debt!BU56)/(Debt!BU64+BU12),0)</f>
        <v/>
      </c>
      <c r="BV18" s="16">
        <f>IF(Debt!BV64+BV12&gt;0,(Debt!BV44+Debt!BV56)/(Debt!BV64+BV12),0)</f>
        <v/>
      </c>
      <c r="BW18" s="16">
        <f>IF(Debt!BW64+BW12&gt;0,(Debt!BW44+Debt!BW56)/(Debt!BW64+BW12),0)</f>
        <v/>
      </c>
      <c r="BX18" s="16">
        <f>IF(Debt!BX64+BX12&gt;0,(Debt!BX44+Debt!BX56)/(Debt!BX64+BX12),0)</f>
        <v/>
      </c>
      <c r="BY18" s="16">
        <f>IF(Debt!BY64+BY12&gt;0,(Debt!BY44+Debt!BY56)/(Debt!BY64+BY12),0)</f>
        <v/>
      </c>
      <c r="BZ18" s="16">
        <f>IF(Debt!BZ64+BZ12&gt;0,(Debt!BZ44+Debt!BZ56)/(Debt!BZ64+BZ12),0)</f>
        <v/>
      </c>
      <c r="CA18" s="16">
        <f>IF(Debt!CA64+CA12&gt;0,(Debt!CA44+Debt!CA56)/(Debt!CA64+CA12),0)</f>
        <v/>
      </c>
      <c r="CB18" s="16">
        <f>IF(Debt!CB64+CB12&gt;0,(Debt!CB44+Debt!CB56)/(Debt!CB64+CB12),0)</f>
        <v/>
      </c>
      <c r="CC18" s="16">
        <f>IF(Debt!CC64+CC12&gt;0,(Debt!CC44+Debt!CC56)/(Debt!CC64+CC12),0)</f>
        <v/>
      </c>
      <c r="CD18" s="16">
        <f>IF(Debt!CD64+CD12&gt;0,(Debt!CD44+Debt!CD56)/(Debt!CD64+CD12),0)</f>
        <v/>
      </c>
      <c r="CE18" s="16">
        <f>IF(Debt!CE64+CE12&gt;0,(Debt!CE44+Debt!CE56)/(Debt!CE64+CE12),0)</f>
        <v/>
      </c>
      <c r="CF18" s="16">
        <f>IF(Debt!CF64+CF12&gt;0,(Debt!CF44+Debt!CF56)/(Debt!CF64+CF12),0)</f>
        <v/>
      </c>
      <c r="CG18" s="16">
        <f>IF(Debt!CG64+CG12&gt;0,(Debt!CG44+Debt!CG56)/(Debt!CG64+CG12),0)</f>
        <v/>
      </c>
      <c r="CH18" s="16">
        <f>IF(Debt!CH64+CH12&gt;0,(Debt!CH44+Debt!CH56)/(Debt!CH64+CH12),0)</f>
        <v/>
      </c>
      <c r="CI18" s="16">
        <f>IF(Debt!CI64+CI12&gt;0,(Debt!CI44+Debt!CI56)/(Debt!CI64+CI12),0)</f>
        <v/>
      </c>
      <c r="CJ18" s="16">
        <f>IF(Debt!CJ64+CJ12&gt;0,(Debt!CJ44+Debt!CJ56)/(Debt!CJ64+CJ12),0)</f>
        <v/>
      </c>
      <c r="CK18" s="16">
        <f>IF(Debt!CK64+CK12&gt;0,(Debt!CK44+Debt!CK56)/(Debt!CK64+CK12),0)</f>
        <v/>
      </c>
      <c r="CL18" s="16">
        <f>IF(Debt!CL64+CL12&gt;0,(Debt!CL44+Debt!CL56)/(Debt!CL64+CL12),0)</f>
        <v/>
      </c>
      <c r="CM18" s="16">
        <f>IF(Debt!CM64+CM12&gt;0,(Debt!CM44+Debt!CM56)/(Debt!CM64+CM12),0)</f>
        <v/>
      </c>
      <c r="CN18" s="16">
        <f>IF(Debt!CN64+CN12&gt;0,(Debt!CN44+Debt!CN56)/(Debt!CN64+CN12),0)</f>
        <v/>
      </c>
      <c r="CO18" s="16">
        <f>IF(Debt!CO64+CO12&gt;0,(Debt!CO44+Debt!CO56)/(Debt!CO64+CO12),0)</f>
        <v/>
      </c>
      <c r="CP18" s="16">
        <f>IF(Debt!CP64+CP12&gt;0,(Debt!CP44+Debt!CP56)/(Debt!CP64+CP12),0)</f>
        <v/>
      </c>
      <c r="CQ18" s="16">
        <f>IF(Debt!CQ64+CQ12&gt;0,(Debt!CQ44+Debt!CQ56)/(Debt!CQ64+CQ12),0)</f>
        <v/>
      </c>
      <c r="CR18" s="16">
        <f>IF(Debt!CR64+CR12&gt;0,(Debt!CR44+Debt!CR56)/(Debt!CR64+CR12),0)</f>
        <v/>
      </c>
      <c r="CS18" s="16">
        <f>IF(Debt!CS64+CS12&gt;0,(Debt!CS44+Debt!CS56)/(Debt!CS64+CS12),0)</f>
        <v/>
      </c>
      <c r="CT18" s="16">
        <f>IF(Debt!CT64+CT12&gt;0,(Debt!CT44+Debt!CT56)/(Debt!CT64+CT12),0)</f>
        <v/>
      </c>
      <c r="CU18" s="16">
        <f>IF(Debt!CU64+CU12&gt;0,(Debt!CU44+Debt!CU56)/(Debt!CU64+CU12),0)</f>
        <v/>
      </c>
      <c r="CV18" s="16">
        <f>IF(Debt!CV64+CV12&gt;0,(Debt!CV44+Debt!CV56)/(Debt!CV64+CV12),0)</f>
        <v/>
      </c>
      <c r="CW18" s="16">
        <f>IF(Debt!CW64+CW12&gt;0,(Debt!CW44+Debt!CW56)/(Debt!CW64+CW12),0)</f>
        <v/>
      </c>
      <c r="CX18" s="16">
        <f>IF(Debt!CX64+CX12&gt;0,(Debt!CX44+Debt!CX56)/(Debt!CX64+CX12),0)</f>
        <v/>
      </c>
      <c r="CY18" s="16">
        <f>IF(Debt!CY64+CY12&gt;0,(Debt!CY44+Debt!CY56)/(Debt!CY64+CY12),0)</f>
        <v/>
      </c>
      <c r="CZ18" s="16">
        <f>IF(Debt!CZ64+CZ12&gt;0,(Debt!CZ44+Debt!CZ56)/(Debt!CZ64+CZ12),0)</f>
        <v/>
      </c>
      <c r="DA18" s="16">
        <f>IF(Debt!DA64+DA12&gt;0,(Debt!DA44+Debt!DA56)/(Debt!DA64+DA12),0)</f>
        <v/>
      </c>
      <c r="DB18" s="16">
        <f>IF(Debt!DB64+DB12&gt;0,(Debt!DB44+Debt!DB56)/(Debt!DB64+DB12),0)</f>
        <v/>
      </c>
    </row>
    <row r="19">
      <c r="D19" t="inlineStr">
        <is>
          <t>Bond share of interest paid</t>
        </is>
      </c>
      <c r="E19" t="inlineStr">
        <is>
          <t>factor</t>
        </is>
      </c>
      <c r="J19" s="16">
        <f>IF(Debt!J64+J12&gt;0,(Debt!J51+Debt!J57)/(Debt!J64+J12),0)</f>
        <v/>
      </c>
      <c r="K19" s="16">
        <f>IF(Debt!K64+K12&gt;0,(Debt!K51+Debt!K57)/(Debt!K64+K12),0)</f>
        <v/>
      </c>
      <c r="L19" s="16">
        <f>IF(Debt!L64+L12&gt;0,(Debt!L51+Debt!L57)/(Debt!L64+L12),0)</f>
        <v/>
      </c>
      <c r="M19" s="16">
        <f>IF(Debt!M64+M12&gt;0,(Debt!M51+Debt!M57)/(Debt!M64+M12),0)</f>
        <v/>
      </c>
      <c r="N19" s="16">
        <f>IF(Debt!N64+N12&gt;0,(Debt!N51+Debt!N57)/(Debt!N64+N12),0)</f>
        <v/>
      </c>
      <c r="O19" s="16">
        <f>IF(Debt!O64+O12&gt;0,(Debt!O51+Debt!O57)/(Debt!O64+O12),0)</f>
        <v/>
      </c>
      <c r="P19" s="16">
        <f>IF(Debt!P64+P12&gt;0,(Debt!P51+Debt!P57)/(Debt!P64+P12),0)</f>
        <v/>
      </c>
      <c r="Q19" s="16">
        <f>IF(Debt!Q64+Q12&gt;0,(Debt!Q51+Debt!Q57)/(Debt!Q64+Q12),0)</f>
        <v/>
      </c>
      <c r="R19" s="16">
        <f>IF(Debt!R64+R12&gt;0,(Debt!R51+Debt!R57)/(Debt!R64+R12),0)</f>
        <v/>
      </c>
      <c r="S19" s="16">
        <f>IF(Debt!S64+S12&gt;0,(Debt!S51+Debt!S57)/(Debt!S64+S12),0)</f>
        <v/>
      </c>
      <c r="T19" s="16">
        <f>IF(Debt!T64+T12&gt;0,(Debt!T51+Debt!T57)/(Debt!T64+T12),0)</f>
        <v/>
      </c>
      <c r="U19" s="16">
        <f>IF(Debt!U64+U12&gt;0,(Debt!U51+Debt!U57)/(Debt!U64+U12),0)</f>
        <v/>
      </c>
      <c r="V19" s="16">
        <f>IF(Debt!V64+V12&gt;0,(Debt!V51+Debt!V57)/(Debt!V64+V12),0)</f>
        <v/>
      </c>
      <c r="W19" s="16">
        <f>IF(Debt!W64+W12&gt;0,(Debt!W51+Debt!W57)/(Debt!W64+W12),0)</f>
        <v/>
      </c>
      <c r="X19" s="16">
        <f>IF(Debt!X64+X12&gt;0,(Debt!X51+Debt!X57)/(Debt!X64+X12),0)</f>
        <v/>
      </c>
      <c r="Y19" s="16">
        <f>IF(Debt!Y64+Y12&gt;0,(Debt!Y51+Debt!Y57)/(Debt!Y64+Y12),0)</f>
        <v/>
      </c>
      <c r="Z19" s="16">
        <f>IF(Debt!Z64+Z12&gt;0,(Debt!Z51+Debt!Z57)/(Debt!Z64+Z12),0)</f>
        <v/>
      </c>
      <c r="AA19" s="16">
        <f>IF(Debt!AA64+AA12&gt;0,(Debt!AA51+Debt!AA57)/(Debt!AA64+AA12),0)</f>
        <v/>
      </c>
      <c r="AB19" s="16">
        <f>IF(Debt!AB64+AB12&gt;0,(Debt!AB51+Debt!AB57)/(Debt!AB64+AB12),0)</f>
        <v/>
      </c>
      <c r="AC19" s="16">
        <f>IF(Debt!AC64+AC12&gt;0,(Debt!AC51+Debt!AC57)/(Debt!AC64+AC12),0)</f>
        <v/>
      </c>
      <c r="AD19" s="16">
        <f>IF(Debt!AD64+AD12&gt;0,(Debt!AD51+Debt!AD57)/(Debt!AD64+AD12),0)</f>
        <v/>
      </c>
      <c r="AE19" s="16">
        <f>IF(Debt!AE64+AE12&gt;0,(Debt!AE51+Debt!AE57)/(Debt!AE64+AE12),0)</f>
        <v/>
      </c>
      <c r="AF19" s="16">
        <f>IF(Debt!AF64+AF12&gt;0,(Debt!AF51+Debt!AF57)/(Debt!AF64+AF12),0)</f>
        <v/>
      </c>
      <c r="AG19" s="16">
        <f>IF(Debt!AG64+AG12&gt;0,(Debt!AG51+Debt!AG57)/(Debt!AG64+AG12),0)</f>
        <v/>
      </c>
      <c r="AH19" s="16">
        <f>IF(Debt!AH64+AH12&gt;0,(Debt!AH51+Debt!AH57)/(Debt!AH64+AH12),0)</f>
        <v/>
      </c>
      <c r="AI19" s="16">
        <f>IF(Debt!AI64+AI12&gt;0,(Debt!AI51+Debt!AI57)/(Debt!AI64+AI12),0)</f>
        <v/>
      </c>
      <c r="AJ19" s="16">
        <f>IF(Debt!AJ64+AJ12&gt;0,(Debt!AJ51+Debt!AJ57)/(Debt!AJ64+AJ12),0)</f>
        <v/>
      </c>
      <c r="AK19" s="16">
        <f>IF(Debt!AK64+AK12&gt;0,(Debt!AK51+Debt!AK57)/(Debt!AK64+AK12),0)</f>
        <v/>
      </c>
      <c r="AL19" s="16">
        <f>IF(Debt!AL64+AL12&gt;0,(Debt!AL51+Debt!AL57)/(Debt!AL64+AL12),0)</f>
        <v/>
      </c>
      <c r="AM19" s="16">
        <f>IF(Debt!AM64+AM12&gt;0,(Debt!AM51+Debt!AM57)/(Debt!AM64+AM12),0)</f>
        <v/>
      </c>
      <c r="AN19" s="16">
        <f>IF(Debt!AN64+AN12&gt;0,(Debt!AN51+Debt!AN57)/(Debt!AN64+AN12),0)</f>
        <v/>
      </c>
      <c r="AO19" s="16">
        <f>IF(Debt!AO64+AO12&gt;0,(Debt!AO51+Debt!AO57)/(Debt!AO64+AO12),0)</f>
        <v/>
      </c>
      <c r="AP19" s="16">
        <f>IF(Debt!AP64+AP12&gt;0,(Debt!AP51+Debt!AP57)/(Debt!AP64+AP12),0)</f>
        <v/>
      </c>
      <c r="AQ19" s="16">
        <f>IF(Debt!AQ64+AQ12&gt;0,(Debt!AQ51+Debt!AQ57)/(Debt!AQ64+AQ12),0)</f>
        <v/>
      </c>
      <c r="AR19" s="16">
        <f>IF(Debt!AR64+AR12&gt;0,(Debt!AR51+Debt!AR57)/(Debt!AR64+AR12),0)</f>
        <v/>
      </c>
      <c r="AS19" s="16">
        <f>IF(Debt!AS64+AS12&gt;0,(Debt!AS51+Debt!AS57)/(Debt!AS64+AS12),0)</f>
        <v/>
      </c>
      <c r="AT19" s="16">
        <f>IF(Debt!AT64+AT12&gt;0,(Debt!AT51+Debt!AT57)/(Debt!AT64+AT12),0)</f>
        <v/>
      </c>
      <c r="AU19" s="16">
        <f>IF(Debt!AU64+AU12&gt;0,(Debt!AU51+Debt!AU57)/(Debt!AU64+AU12),0)</f>
        <v/>
      </c>
      <c r="AV19" s="16">
        <f>IF(Debt!AV64+AV12&gt;0,(Debt!AV51+Debt!AV57)/(Debt!AV64+AV12),0)</f>
        <v/>
      </c>
      <c r="AW19" s="16">
        <f>IF(Debt!AW64+AW12&gt;0,(Debt!AW51+Debt!AW57)/(Debt!AW64+AW12),0)</f>
        <v/>
      </c>
      <c r="AX19" s="16">
        <f>IF(Debt!AX64+AX12&gt;0,(Debt!AX51+Debt!AX57)/(Debt!AX64+AX12),0)</f>
        <v/>
      </c>
      <c r="AY19" s="16">
        <f>IF(Debt!AY64+AY12&gt;0,(Debt!AY51+Debt!AY57)/(Debt!AY64+AY12),0)</f>
        <v/>
      </c>
      <c r="AZ19" s="16">
        <f>IF(Debt!AZ64+AZ12&gt;0,(Debt!AZ51+Debt!AZ57)/(Debt!AZ64+AZ12),0)</f>
        <v/>
      </c>
      <c r="BA19" s="16">
        <f>IF(Debt!BA64+BA12&gt;0,(Debt!BA51+Debt!BA57)/(Debt!BA64+BA12),0)</f>
        <v/>
      </c>
      <c r="BB19" s="16">
        <f>IF(Debt!BB64+BB12&gt;0,(Debt!BB51+Debt!BB57)/(Debt!BB64+BB12),0)</f>
        <v/>
      </c>
      <c r="BC19" s="16">
        <f>IF(Debt!BC64+BC12&gt;0,(Debt!BC51+Debt!BC57)/(Debt!BC64+BC12),0)</f>
        <v/>
      </c>
      <c r="BD19" s="16">
        <f>IF(Debt!BD64+BD12&gt;0,(Debt!BD51+Debt!BD57)/(Debt!BD64+BD12),0)</f>
        <v/>
      </c>
      <c r="BE19" s="16">
        <f>IF(Debt!BE64+BE12&gt;0,(Debt!BE51+Debt!BE57)/(Debt!BE64+BE12),0)</f>
        <v/>
      </c>
      <c r="BF19" s="16">
        <f>IF(Debt!BF64+BF12&gt;0,(Debt!BF51+Debt!BF57)/(Debt!BF64+BF12),0)</f>
        <v/>
      </c>
      <c r="BG19" s="16">
        <f>IF(Debt!BG64+BG12&gt;0,(Debt!BG51+Debt!BG57)/(Debt!BG64+BG12),0)</f>
        <v/>
      </c>
      <c r="BH19" s="16">
        <f>IF(Debt!BH64+BH12&gt;0,(Debt!BH51+Debt!BH57)/(Debt!BH64+BH12),0)</f>
        <v/>
      </c>
      <c r="BI19" s="16">
        <f>IF(Debt!BI64+BI12&gt;0,(Debt!BI51+Debt!BI57)/(Debt!BI64+BI12),0)</f>
        <v/>
      </c>
      <c r="BJ19" s="16">
        <f>IF(Debt!BJ64+BJ12&gt;0,(Debt!BJ51+Debt!BJ57)/(Debt!BJ64+BJ12),0)</f>
        <v/>
      </c>
      <c r="BK19" s="16">
        <f>IF(Debt!BK64+BK12&gt;0,(Debt!BK51+Debt!BK57)/(Debt!BK64+BK12),0)</f>
        <v/>
      </c>
      <c r="BL19" s="16">
        <f>IF(Debt!BL64+BL12&gt;0,(Debt!BL51+Debt!BL57)/(Debt!BL64+BL12),0)</f>
        <v/>
      </c>
      <c r="BM19" s="16">
        <f>IF(Debt!BM64+BM12&gt;0,(Debt!BM51+Debt!BM57)/(Debt!BM64+BM12),0)</f>
        <v/>
      </c>
      <c r="BN19" s="16">
        <f>IF(Debt!BN64+BN12&gt;0,(Debt!BN51+Debt!BN57)/(Debt!BN64+BN12),0)</f>
        <v/>
      </c>
      <c r="BO19" s="16">
        <f>IF(Debt!BO64+BO12&gt;0,(Debt!BO51+Debt!BO57)/(Debt!BO64+BO12),0)</f>
        <v/>
      </c>
      <c r="BP19" s="16">
        <f>IF(Debt!BP64+BP12&gt;0,(Debt!BP51+Debt!BP57)/(Debt!BP64+BP12),0)</f>
        <v/>
      </c>
      <c r="BQ19" s="16">
        <f>IF(Debt!BQ64+BQ12&gt;0,(Debt!BQ51+Debt!BQ57)/(Debt!BQ64+BQ12),0)</f>
        <v/>
      </c>
      <c r="BR19" s="16">
        <f>IF(Debt!BR64+BR12&gt;0,(Debt!BR51+Debt!BR57)/(Debt!BR64+BR12),0)</f>
        <v/>
      </c>
      <c r="BS19" s="16">
        <f>IF(Debt!BS64+BS12&gt;0,(Debt!BS51+Debt!BS57)/(Debt!BS64+BS12),0)</f>
        <v/>
      </c>
      <c r="BT19" s="16">
        <f>IF(Debt!BT64+BT12&gt;0,(Debt!BT51+Debt!BT57)/(Debt!BT64+BT12),0)</f>
        <v/>
      </c>
      <c r="BU19" s="16">
        <f>IF(Debt!BU64+BU12&gt;0,(Debt!BU51+Debt!BU57)/(Debt!BU64+BU12),0)</f>
        <v/>
      </c>
      <c r="BV19" s="16">
        <f>IF(Debt!BV64+BV12&gt;0,(Debt!BV51+Debt!BV57)/(Debt!BV64+BV12),0)</f>
        <v/>
      </c>
      <c r="BW19" s="16">
        <f>IF(Debt!BW64+BW12&gt;0,(Debt!BW51+Debt!BW57)/(Debt!BW64+BW12),0)</f>
        <v/>
      </c>
      <c r="BX19" s="16">
        <f>IF(Debt!BX64+BX12&gt;0,(Debt!BX51+Debt!BX57)/(Debt!BX64+BX12),0)</f>
        <v/>
      </c>
      <c r="BY19" s="16">
        <f>IF(Debt!BY64+BY12&gt;0,(Debt!BY51+Debt!BY57)/(Debt!BY64+BY12),0)</f>
        <v/>
      </c>
      <c r="BZ19" s="16">
        <f>IF(Debt!BZ64+BZ12&gt;0,(Debt!BZ51+Debt!BZ57)/(Debt!BZ64+BZ12),0)</f>
        <v/>
      </c>
      <c r="CA19" s="16">
        <f>IF(Debt!CA64+CA12&gt;0,(Debt!CA51+Debt!CA57)/(Debt!CA64+CA12),0)</f>
        <v/>
      </c>
      <c r="CB19" s="16">
        <f>IF(Debt!CB64+CB12&gt;0,(Debt!CB51+Debt!CB57)/(Debt!CB64+CB12),0)</f>
        <v/>
      </c>
      <c r="CC19" s="16">
        <f>IF(Debt!CC64+CC12&gt;0,(Debt!CC51+Debt!CC57)/(Debt!CC64+CC12),0)</f>
        <v/>
      </c>
      <c r="CD19" s="16">
        <f>IF(Debt!CD64+CD12&gt;0,(Debt!CD51+Debt!CD57)/(Debt!CD64+CD12),0)</f>
        <v/>
      </c>
      <c r="CE19" s="16">
        <f>IF(Debt!CE64+CE12&gt;0,(Debt!CE51+Debt!CE57)/(Debt!CE64+CE12),0)</f>
        <v/>
      </c>
      <c r="CF19" s="16">
        <f>IF(Debt!CF64+CF12&gt;0,(Debt!CF51+Debt!CF57)/(Debt!CF64+CF12),0)</f>
        <v/>
      </c>
      <c r="CG19" s="16">
        <f>IF(Debt!CG64+CG12&gt;0,(Debt!CG51+Debt!CG57)/(Debt!CG64+CG12),0)</f>
        <v/>
      </c>
      <c r="CH19" s="16">
        <f>IF(Debt!CH64+CH12&gt;0,(Debt!CH51+Debt!CH57)/(Debt!CH64+CH12),0)</f>
        <v/>
      </c>
      <c r="CI19" s="16">
        <f>IF(Debt!CI64+CI12&gt;0,(Debt!CI51+Debt!CI57)/(Debt!CI64+CI12),0)</f>
        <v/>
      </c>
      <c r="CJ19" s="16">
        <f>IF(Debt!CJ64+CJ12&gt;0,(Debt!CJ51+Debt!CJ57)/(Debt!CJ64+CJ12),0)</f>
        <v/>
      </c>
      <c r="CK19" s="16">
        <f>IF(Debt!CK64+CK12&gt;0,(Debt!CK51+Debt!CK57)/(Debt!CK64+CK12),0)</f>
        <v/>
      </c>
      <c r="CL19" s="16">
        <f>IF(Debt!CL64+CL12&gt;0,(Debt!CL51+Debt!CL57)/(Debt!CL64+CL12),0)</f>
        <v/>
      </c>
      <c r="CM19" s="16">
        <f>IF(Debt!CM64+CM12&gt;0,(Debt!CM51+Debt!CM57)/(Debt!CM64+CM12),0)</f>
        <v/>
      </c>
      <c r="CN19" s="16">
        <f>IF(Debt!CN64+CN12&gt;0,(Debt!CN51+Debt!CN57)/(Debt!CN64+CN12),0)</f>
        <v/>
      </c>
      <c r="CO19" s="16">
        <f>IF(Debt!CO64+CO12&gt;0,(Debt!CO51+Debt!CO57)/(Debt!CO64+CO12),0)</f>
        <v/>
      </c>
      <c r="CP19" s="16">
        <f>IF(Debt!CP64+CP12&gt;0,(Debt!CP51+Debt!CP57)/(Debt!CP64+CP12),0)</f>
        <v/>
      </c>
      <c r="CQ19" s="16">
        <f>IF(Debt!CQ64+CQ12&gt;0,(Debt!CQ51+Debt!CQ57)/(Debt!CQ64+CQ12),0)</f>
        <v/>
      </c>
      <c r="CR19" s="16">
        <f>IF(Debt!CR64+CR12&gt;0,(Debt!CR51+Debt!CR57)/(Debt!CR64+CR12),0)</f>
        <v/>
      </c>
      <c r="CS19" s="16">
        <f>IF(Debt!CS64+CS12&gt;0,(Debt!CS51+Debt!CS57)/(Debt!CS64+CS12),0)</f>
        <v/>
      </c>
      <c r="CT19" s="16">
        <f>IF(Debt!CT64+CT12&gt;0,(Debt!CT51+Debt!CT57)/(Debt!CT64+CT12),0)</f>
        <v/>
      </c>
      <c r="CU19" s="16">
        <f>IF(Debt!CU64+CU12&gt;0,(Debt!CU51+Debt!CU57)/(Debt!CU64+CU12),0)</f>
        <v/>
      </c>
      <c r="CV19" s="16">
        <f>IF(Debt!CV64+CV12&gt;0,(Debt!CV51+Debt!CV57)/(Debt!CV64+CV12),0)</f>
        <v/>
      </c>
      <c r="CW19" s="16">
        <f>IF(Debt!CW64+CW12&gt;0,(Debt!CW51+Debt!CW57)/(Debt!CW64+CW12),0)</f>
        <v/>
      </c>
      <c r="CX19" s="16">
        <f>IF(Debt!CX64+CX12&gt;0,(Debt!CX51+Debt!CX57)/(Debt!CX64+CX12),0)</f>
        <v/>
      </c>
      <c r="CY19" s="16">
        <f>IF(Debt!CY64+CY12&gt;0,(Debt!CY51+Debt!CY57)/(Debt!CY64+CY12),0)</f>
        <v/>
      </c>
      <c r="CZ19" s="16">
        <f>IF(Debt!CZ64+CZ12&gt;0,(Debt!CZ51+Debt!CZ57)/(Debt!CZ64+CZ12),0)</f>
        <v/>
      </c>
      <c r="DA19" s="16">
        <f>IF(Debt!DA64+DA12&gt;0,(Debt!DA51+Debt!DA57)/(Debt!DA64+DA12),0)</f>
        <v/>
      </c>
      <c r="DB19" s="16">
        <f>IF(Debt!DB64+DB12&gt;0,(Debt!DB51+Debt!DB57)/(Debt!DB64+DB12),0)</f>
        <v/>
      </c>
    </row>
    <row r="20">
      <c r="D20" t="inlineStr">
        <is>
          <t>Bank principal paid</t>
        </is>
      </c>
      <c r="E20" t="inlineStr">
        <is>
          <t>ARD m</t>
        </is>
      </c>
      <c r="G20" s="19">
        <f>SUM(J20:DB20)</f>
        <v/>
      </c>
      <c r="J20" s="19">
        <f>IF(Debt!J67&gt;0,J17*Debt!J45/Debt!J67,0)</f>
        <v/>
      </c>
      <c r="K20" s="19">
        <f>IF(Debt!K67&gt;0,K17*Debt!K45/Debt!K67,0)</f>
        <v/>
      </c>
      <c r="L20" s="19">
        <f>IF(Debt!L67&gt;0,L17*Debt!L45/Debt!L67,0)</f>
        <v/>
      </c>
      <c r="M20" s="19">
        <f>IF(Debt!M67&gt;0,M17*Debt!M45/Debt!M67,0)</f>
        <v/>
      </c>
      <c r="N20" s="19">
        <f>IF(Debt!N67&gt;0,N17*Debt!N45/Debt!N67,0)</f>
        <v/>
      </c>
      <c r="O20" s="19">
        <f>IF(Debt!O67&gt;0,O17*Debt!O45/Debt!O67,0)</f>
        <v/>
      </c>
      <c r="P20" s="19">
        <f>IF(Debt!P67&gt;0,P17*Debt!P45/Debt!P67,0)</f>
        <v/>
      </c>
      <c r="Q20" s="19">
        <f>IF(Debt!Q67&gt;0,Q17*Debt!Q45/Debt!Q67,0)</f>
        <v/>
      </c>
      <c r="R20" s="19">
        <f>IF(Debt!R67&gt;0,R17*Debt!R45/Debt!R67,0)</f>
        <v/>
      </c>
      <c r="S20" s="19">
        <f>IF(Debt!S67&gt;0,S17*Debt!S45/Debt!S67,0)</f>
        <v/>
      </c>
      <c r="T20" s="19">
        <f>IF(Debt!T67&gt;0,T17*Debt!T45/Debt!T67,0)</f>
        <v/>
      </c>
      <c r="U20" s="19">
        <f>IF(Debt!U67&gt;0,U17*Debt!U45/Debt!U67,0)</f>
        <v/>
      </c>
      <c r="V20" s="19">
        <f>IF(Debt!V67&gt;0,V17*Debt!V45/Debt!V67,0)</f>
        <v/>
      </c>
      <c r="W20" s="19">
        <f>IF(Debt!W67&gt;0,W17*Debt!W45/Debt!W67,0)</f>
        <v/>
      </c>
      <c r="X20" s="19">
        <f>IF(Debt!X67&gt;0,X17*Debt!X45/Debt!X67,0)</f>
        <v/>
      </c>
      <c r="Y20" s="19">
        <f>IF(Debt!Y67&gt;0,Y17*Debt!Y45/Debt!Y67,0)</f>
        <v/>
      </c>
      <c r="Z20" s="19">
        <f>IF(Debt!Z67&gt;0,Z17*Debt!Z45/Debt!Z67,0)</f>
        <v/>
      </c>
      <c r="AA20" s="19">
        <f>IF(Debt!AA67&gt;0,AA17*Debt!AA45/Debt!AA67,0)</f>
        <v/>
      </c>
      <c r="AB20" s="19">
        <f>IF(Debt!AB67&gt;0,AB17*Debt!AB45/Debt!AB67,0)</f>
        <v/>
      </c>
      <c r="AC20" s="19">
        <f>IF(Debt!AC67&gt;0,AC17*Debt!AC45/Debt!AC67,0)</f>
        <v/>
      </c>
      <c r="AD20" s="19">
        <f>IF(Debt!AD67&gt;0,AD17*Debt!AD45/Debt!AD67,0)</f>
        <v/>
      </c>
      <c r="AE20" s="19">
        <f>IF(Debt!AE67&gt;0,AE17*Debt!AE45/Debt!AE67,0)</f>
        <v/>
      </c>
      <c r="AF20" s="19">
        <f>IF(Debt!AF67&gt;0,AF17*Debt!AF45/Debt!AF67,0)</f>
        <v/>
      </c>
      <c r="AG20" s="19">
        <f>IF(Debt!AG67&gt;0,AG17*Debt!AG45/Debt!AG67,0)</f>
        <v/>
      </c>
      <c r="AH20" s="19">
        <f>IF(Debt!AH67&gt;0,AH17*Debt!AH45/Debt!AH67,0)</f>
        <v/>
      </c>
      <c r="AI20" s="19">
        <f>IF(Debt!AI67&gt;0,AI17*Debt!AI45/Debt!AI67,0)</f>
        <v/>
      </c>
      <c r="AJ20" s="19">
        <f>IF(Debt!AJ67&gt;0,AJ17*Debt!AJ45/Debt!AJ67,0)</f>
        <v/>
      </c>
      <c r="AK20" s="19">
        <f>IF(Debt!AK67&gt;0,AK17*Debt!AK45/Debt!AK67,0)</f>
        <v/>
      </c>
      <c r="AL20" s="19">
        <f>IF(Debt!AL67&gt;0,AL17*Debt!AL45/Debt!AL67,0)</f>
        <v/>
      </c>
      <c r="AM20" s="19">
        <f>IF(Debt!AM67&gt;0,AM17*Debt!AM45/Debt!AM67,0)</f>
        <v/>
      </c>
      <c r="AN20" s="19">
        <f>IF(Debt!AN67&gt;0,AN17*Debt!AN45/Debt!AN67,0)</f>
        <v/>
      </c>
      <c r="AO20" s="19">
        <f>IF(Debt!AO67&gt;0,AO17*Debt!AO45/Debt!AO67,0)</f>
        <v/>
      </c>
      <c r="AP20" s="19">
        <f>IF(Debt!AP67&gt;0,AP17*Debt!AP45/Debt!AP67,0)</f>
        <v/>
      </c>
      <c r="AQ20" s="19">
        <f>IF(Debt!AQ67&gt;0,AQ17*Debt!AQ45/Debt!AQ67,0)</f>
        <v/>
      </c>
      <c r="AR20" s="19">
        <f>IF(Debt!AR67&gt;0,AR17*Debt!AR45/Debt!AR67,0)</f>
        <v/>
      </c>
      <c r="AS20" s="19">
        <f>IF(Debt!AS67&gt;0,AS17*Debt!AS45/Debt!AS67,0)</f>
        <v/>
      </c>
      <c r="AT20" s="19">
        <f>IF(Debt!AT67&gt;0,AT17*Debt!AT45/Debt!AT67,0)</f>
        <v/>
      </c>
      <c r="AU20" s="19">
        <f>IF(Debt!AU67&gt;0,AU17*Debt!AU45/Debt!AU67,0)</f>
        <v/>
      </c>
      <c r="AV20" s="19">
        <f>IF(Debt!AV67&gt;0,AV17*Debt!AV45/Debt!AV67,0)</f>
        <v/>
      </c>
      <c r="AW20" s="19">
        <f>IF(Debt!AW67&gt;0,AW17*Debt!AW45/Debt!AW67,0)</f>
        <v/>
      </c>
      <c r="AX20" s="19">
        <f>IF(Debt!AX67&gt;0,AX17*Debt!AX45/Debt!AX67,0)</f>
        <v/>
      </c>
      <c r="AY20" s="19">
        <f>IF(Debt!AY67&gt;0,AY17*Debt!AY45/Debt!AY67,0)</f>
        <v/>
      </c>
      <c r="AZ20" s="19">
        <f>IF(Debt!AZ67&gt;0,AZ17*Debt!AZ45/Debt!AZ67,0)</f>
        <v/>
      </c>
      <c r="BA20" s="19">
        <f>IF(Debt!BA67&gt;0,BA17*Debt!BA45/Debt!BA67,0)</f>
        <v/>
      </c>
      <c r="BB20" s="19">
        <f>IF(Debt!BB67&gt;0,BB17*Debt!BB45/Debt!BB67,0)</f>
        <v/>
      </c>
      <c r="BC20" s="19">
        <f>IF(Debt!BC67&gt;0,BC17*Debt!BC45/Debt!BC67,0)</f>
        <v/>
      </c>
      <c r="BD20" s="19">
        <f>IF(Debt!BD67&gt;0,BD17*Debt!BD45/Debt!BD67,0)</f>
        <v/>
      </c>
      <c r="BE20" s="19">
        <f>IF(Debt!BE67&gt;0,BE17*Debt!BE45/Debt!BE67,0)</f>
        <v/>
      </c>
      <c r="BF20" s="19">
        <f>IF(Debt!BF67&gt;0,BF17*Debt!BF45/Debt!BF67,0)</f>
        <v/>
      </c>
      <c r="BG20" s="19">
        <f>IF(Debt!BG67&gt;0,BG17*Debt!BG45/Debt!BG67,0)</f>
        <v/>
      </c>
      <c r="BH20" s="19">
        <f>IF(Debt!BH67&gt;0,BH17*Debt!BH45/Debt!BH67,0)</f>
        <v/>
      </c>
      <c r="BI20" s="19">
        <f>IF(Debt!BI67&gt;0,BI17*Debt!BI45/Debt!BI67,0)</f>
        <v/>
      </c>
      <c r="BJ20" s="19">
        <f>IF(Debt!BJ67&gt;0,BJ17*Debt!BJ45/Debt!BJ67,0)</f>
        <v/>
      </c>
      <c r="BK20" s="19">
        <f>IF(Debt!BK67&gt;0,BK17*Debt!BK45/Debt!BK67,0)</f>
        <v/>
      </c>
      <c r="BL20" s="19">
        <f>IF(Debt!BL67&gt;0,BL17*Debt!BL45/Debt!BL67,0)</f>
        <v/>
      </c>
      <c r="BM20" s="19">
        <f>IF(Debt!BM67&gt;0,BM17*Debt!BM45/Debt!BM67,0)</f>
        <v/>
      </c>
      <c r="BN20" s="19">
        <f>IF(Debt!BN67&gt;0,BN17*Debt!BN45/Debt!BN67,0)</f>
        <v/>
      </c>
      <c r="BO20" s="19">
        <f>IF(Debt!BO67&gt;0,BO17*Debt!BO45/Debt!BO67,0)</f>
        <v/>
      </c>
      <c r="BP20" s="19">
        <f>IF(Debt!BP67&gt;0,BP17*Debt!BP45/Debt!BP67,0)</f>
        <v/>
      </c>
      <c r="BQ20" s="19">
        <f>IF(Debt!BQ67&gt;0,BQ17*Debt!BQ45/Debt!BQ67,0)</f>
        <v/>
      </c>
      <c r="BR20" s="19">
        <f>IF(Debt!BR67&gt;0,BR17*Debt!BR45/Debt!BR67,0)</f>
        <v/>
      </c>
      <c r="BS20" s="19">
        <f>IF(Debt!BS67&gt;0,BS17*Debt!BS45/Debt!BS67,0)</f>
        <v/>
      </c>
      <c r="BT20" s="19">
        <f>IF(Debt!BT67&gt;0,BT17*Debt!BT45/Debt!BT67,0)</f>
        <v/>
      </c>
      <c r="BU20" s="19">
        <f>IF(Debt!BU67&gt;0,BU17*Debt!BU45/Debt!BU67,0)</f>
        <v/>
      </c>
      <c r="BV20" s="19">
        <f>IF(Debt!BV67&gt;0,BV17*Debt!BV45/Debt!BV67,0)</f>
        <v/>
      </c>
      <c r="BW20" s="19">
        <f>IF(Debt!BW67&gt;0,BW17*Debt!BW45/Debt!BW67,0)</f>
        <v/>
      </c>
      <c r="BX20" s="19">
        <f>IF(Debt!BX67&gt;0,BX17*Debt!BX45/Debt!BX67,0)</f>
        <v/>
      </c>
      <c r="BY20" s="19">
        <f>IF(Debt!BY67&gt;0,BY17*Debt!BY45/Debt!BY67,0)</f>
        <v/>
      </c>
      <c r="BZ20" s="19">
        <f>IF(Debt!BZ67&gt;0,BZ17*Debt!BZ45/Debt!BZ67,0)</f>
        <v/>
      </c>
      <c r="CA20" s="19">
        <f>IF(Debt!CA67&gt;0,CA17*Debt!CA45/Debt!CA67,0)</f>
        <v/>
      </c>
      <c r="CB20" s="19">
        <f>IF(Debt!CB67&gt;0,CB17*Debt!CB45/Debt!CB67,0)</f>
        <v/>
      </c>
      <c r="CC20" s="19">
        <f>IF(Debt!CC67&gt;0,CC17*Debt!CC45/Debt!CC67,0)</f>
        <v/>
      </c>
      <c r="CD20" s="19">
        <f>IF(Debt!CD67&gt;0,CD17*Debt!CD45/Debt!CD67,0)</f>
        <v/>
      </c>
      <c r="CE20" s="19">
        <f>IF(Debt!CE67&gt;0,CE17*Debt!CE45/Debt!CE67,0)</f>
        <v/>
      </c>
      <c r="CF20" s="19">
        <f>IF(Debt!CF67&gt;0,CF17*Debt!CF45/Debt!CF67,0)</f>
        <v/>
      </c>
      <c r="CG20" s="19">
        <f>IF(Debt!CG67&gt;0,CG17*Debt!CG45/Debt!CG67,0)</f>
        <v/>
      </c>
      <c r="CH20" s="19">
        <f>IF(Debt!CH67&gt;0,CH17*Debt!CH45/Debt!CH67,0)</f>
        <v/>
      </c>
      <c r="CI20" s="19">
        <f>IF(Debt!CI67&gt;0,CI17*Debt!CI45/Debt!CI67,0)</f>
        <v/>
      </c>
      <c r="CJ20" s="19">
        <f>IF(Debt!CJ67&gt;0,CJ17*Debt!CJ45/Debt!CJ67,0)</f>
        <v/>
      </c>
      <c r="CK20" s="19">
        <f>IF(Debt!CK67&gt;0,CK17*Debt!CK45/Debt!CK67,0)</f>
        <v/>
      </c>
      <c r="CL20" s="19">
        <f>IF(Debt!CL67&gt;0,CL17*Debt!CL45/Debt!CL67,0)</f>
        <v/>
      </c>
      <c r="CM20" s="19">
        <f>IF(Debt!CM67&gt;0,CM17*Debt!CM45/Debt!CM67,0)</f>
        <v/>
      </c>
      <c r="CN20" s="19">
        <f>IF(Debt!CN67&gt;0,CN17*Debt!CN45/Debt!CN67,0)</f>
        <v/>
      </c>
      <c r="CO20" s="19">
        <f>IF(Debt!CO67&gt;0,CO17*Debt!CO45/Debt!CO67,0)</f>
        <v/>
      </c>
      <c r="CP20" s="19">
        <f>IF(Debt!CP67&gt;0,CP17*Debt!CP45/Debt!CP67,0)</f>
        <v/>
      </c>
      <c r="CQ20" s="19">
        <f>IF(Debt!CQ67&gt;0,CQ17*Debt!CQ45/Debt!CQ67,0)</f>
        <v/>
      </c>
      <c r="CR20" s="19">
        <f>IF(Debt!CR67&gt;0,CR17*Debt!CR45/Debt!CR67,0)</f>
        <v/>
      </c>
      <c r="CS20" s="19">
        <f>IF(Debt!CS67&gt;0,CS17*Debt!CS45/Debt!CS67,0)</f>
        <v/>
      </c>
      <c r="CT20" s="19">
        <f>IF(Debt!CT67&gt;0,CT17*Debt!CT45/Debt!CT67,0)</f>
        <v/>
      </c>
      <c r="CU20" s="19">
        <f>IF(Debt!CU67&gt;0,CU17*Debt!CU45/Debt!CU67,0)</f>
        <v/>
      </c>
      <c r="CV20" s="19">
        <f>IF(Debt!CV67&gt;0,CV17*Debt!CV45/Debt!CV67,0)</f>
        <v/>
      </c>
      <c r="CW20" s="19">
        <f>IF(Debt!CW67&gt;0,CW17*Debt!CW45/Debt!CW67,0)</f>
        <v/>
      </c>
      <c r="CX20" s="19">
        <f>IF(Debt!CX67&gt;0,CX17*Debt!CX45/Debt!CX67,0)</f>
        <v/>
      </c>
      <c r="CY20" s="19">
        <f>IF(Debt!CY67&gt;0,CY17*Debt!CY45/Debt!CY67,0)</f>
        <v/>
      </c>
      <c r="CZ20" s="19">
        <f>IF(Debt!CZ67&gt;0,CZ17*Debt!CZ45/Debt!CZ67,0)</f>
        <v/>
      </c>
      <c r="DA20" s="19">
        <f>IF(Debt!DA67&gt;0,DA17*Debt!DA45/Debt!DA67,0)</f>
        <v/>
      </c>
      <c r="DB20" s="19">
        <f>IF(Debt!DB67&gt;0,DB17*Debt!DB45/Debt!DB67,0)</f>
        <v/>
      </c>
    </row>
    <row r="21">
      <c r="D21" t="inlineStr">
        <is>
          <t>Bond principal paid</t>
        </is>
      </c>
      <c r="E21" t="inlineStr">
        <is>
          <t>ARD m</t>
        </is>
      </c>
      <c r="G21" s="19">
        <f>SUM(J21:DB21)</f>
        <v/>
      </c>
      <c r="J21" s="19">
        <f>IF(Debt!J67&gt;0,J17*Debt!J52/Debt!J67,0)</f>
        <v/>
      </c>
      <c r="K21" s="19">
        <f>IF(Debt!K67&gt;0,K17*Debt!K52/Debt!K67,0)</f>
        <v/>
      </c>
      <c r="L21" s="19">
        <f>IF(Debt!L67&gt;0,L17*Debt!L52/Debt!L67,0)</f>
        <v/>
      </c>
      <c r="M21" s="19">
        <f>IF(Debt!M67&gt;0,M17*Debt!M52/Debt!M67,0)</f>
        <v/>
      </c>
      <c r="N21" s="19">
        <f>IF(Debt!N67&gt;0,N17*Debt!N52/Debt!N67,0)</f>
        <v/>
      </c>
      <c r="O21" s="19">
        <f>IF(Debt!O67&gt;0,O17*Debt!O52/Debt!O67,0)</f>
        <v/>
      </c>
      <c r="P21" s="19">
        <f>IF(Debt!P67&gt;0,P17*Debt!P52/Debt!P67,0)</f>
        <v/>
      </c>
      <c r="Q21" s="19">
        <f>IF(Debt!Q67&gt;0,Q17*Debt!Q52/Debt!Q67,0)</f>
        <v/>
      </c>
      <c r="R21" s="19">
        <f>IF(Debt!R67&gt;0,R17*Debt!R52/Debt!R67,0)</f>
        <v/>
      </c>
      <c r="S21" s="19">
        <f>IF(Debt!S67&gt;0,S17*Debt!S52/Debt!S67,0)</f>
        <v/>
      </c>
      <c r="T21" s="19">
        <f>IF(Debt!T67&gt;0,T17*Debt!T52/Debt!T67,0)</f>
        <v/>
      </c>
      <c r="U21" s="19">
        <f>IF(Debt!U67&gt;0,U17*Debt!U52/Debt!U67,0)</f>
        <v/>
      </c>
      <c r="V21" s="19">
        <f>IF(Debt!V67&gt;0,V17*Debt!V52/Debt!V67,0)</f>
        <v/>
      </c>
      <c r="W21" s="19">
        <f>IF(Debt!W67&gt;0,W17*Debt!W52/Debt!W67,0)</f>
        <v/>
      </c>
      <c r="X21" s="19">
        <f>IF(Debt!X67&gt;0,X17*Debt!X52/Debt!X67,0)</f>
        <v/>
      </c>
      <c r="Y21" s="19">
        <f>IF(Debt!Y67&gt;0,Y17*Debt!Y52/Debt!Y67,0)</f>
        <v/>
      </c>
      <c r="Z21" s="19">
        <f>IF(Debt!Z67&gt;0,Z17*Debt!Z52/Debt!Z67,0)</f>
        <v/>
      </c>
      <c r="AA21" s="19">
        <f>IF(Debt!AA67&gt;0,AA17*Debt!AA52/Debt!AA67,0)</f>
        <v/>
      </c>
      <c r="AB21" s="19">
        <f>IF(Debt!AB67&gt;0,AB17*Debt!AB52/Debt!AB67,0)</f>
        <v/>
      </c>
      <c r="AC21" s="19">
        <f>IF(Debt!AC67&gt;0,AC17*Debt!AC52/Debt!AC67,0)</f>
        <v/>
      </c>
      <c r="AD21" s="19">
        <f>IF(Debt!AD67&gt;0,AD17*Debt!AD52/Debt!AD67,0)</f>
        <v/>
      </c>
      <c r="AE21" s="19">
        <f>IF(Debt!AE67&gt;0,AE17*Debt!AE52/Debt!AE67,0)</f>
        <v/>
      </c>
      <c r="AF21" s="19">
        <f>IF(Debt!AF67&gt;0,AF17*Debt!AF52/Debt!AF67,0)</f>
        <v/>
      </c>
      <c r="AG21" s="19">
        <f>IF(Debt!AG67&gt;0,AG17*Debt!AG52/Debt!AG67,0)</f>
        <v/>
      </c>
      <c r="AH21" s="19">
        <f>IF(Debt!AH67&gt;0,AH17*Debt!AH52/Debt!AH67,0)</f>
        <v/>
      </c>
      <c r="AI21" s="19">
        <f>IF(Debt!AI67&gt;0,AI17*Debt!AI52/Debt!AI67,0)</f>
        <v/>
      </c>
      <c r="AJ21" s="19">
        <f>IF(Debt!AJ67&gt;0,AJ17*Debt!AJ52/Debt!AJ67,0)</f>
        <v/>
      </c>
      <c r="AK21" s="19">
        <f>IF(Debt!AK67&gt;0,AK17*Debt!AK52/Debt!AK67,0)</f>
        <v/>
      </c>
      <c r="AL21" s="19">
        <f>IF(Debt!AL67&gt;0,AL17*Debt!AL52/Debt!AL67,0)</f>
        <v/>
      </c>
      <c r="AM21" s="19">
        <f>IF(Debt!AM67&gt;0,AM17*Debt!AM52/Debt!AM67,0)</f>
        <v/>
      </c>
      <c r="AN21" s="19">
        <f>IF(Debt!AN67&gt;0,AN17*Debt!AN52/Debt!AN67,0)</f>
        <v/>
      </c>
      <c r="AO21" s="19">
        <f>IF(Debt!AO67&gt;0,AO17*Debt!AO52/Debt!AO67,0)</f>
        <v/>
      </c>
      <c r="AP21" s="19">
        <f>IF(Debt!AP67&gt;0,AP17*Debt!AP52/Debt!AP67,0)</f>
        <v/>
      </c>
      <c r="AQ21" s="19">
        <f>IF(Debt!AQ67&gt;0,AQ17*Debt!AQ52/Debt!AQ67,0)</f>
        <v/>
      </c>
      <c r="AR21" s="19">
        <f>IF(Debt!AR67&gt;0,AR17*Debt!AR52/Debt!AR67,0)</f>
        <v/>
      </c>
      <c r="AS21" s="19">
        <f>IF(Debt!AS67&gt;0,AS17*Debt!AS52/Debt!AS67,0)</f>
        <v/>
      </c>
      <c r="AT21" s="19">
        <f>IF(Debt!AT67&gt;0,AT17*Debt!AT52/Debt!AT67,0)</f>
        <v/>
      </c>
      <c r="AU21" s="19">
        <f>IF(Debt!AU67&gt;0,AU17*Debt!AU52/Debt!AU67,0)</f>
        <v/>
      </c>
      <c r="AV21" s="19">
        <f>IF(Debt!AV67&gt;0,AV17*Debt!AV52/Debt!AV67,0)</f>
        <v/>
      </c>
      <c r="AW21" s="19">
        <f>IF(Debt!AW67&gt;0,AW17*Debt!AW52/Debt!AW67,0)</f>
        <v/>
      </c>
      <c r="AX21" s="19">
        <f>IF(Debt!AX67&gt;0,AX17*Debt!AX52/Debt!AX67,0)</f>
        <v/>
      </c>
      <c r="AY21" s="19">
        <f>IF(Debt!AY67&gt;0,AY17*Debt!AY52/Debt!AY67,0)</f>
        <v/>
      </c>
      <c r="AZ21" s="19">
        <f>IF(Debt!AZ67&gt;0,AZ17*Debt!AZ52/Debt!AZ67,0)</f>
        <v/>
      </c>
      <c r="BA21" s="19">
        <f>IF(Debt!BA67&gt;0,BA17*Debt!BA52/Debt!BA67,0)</f>
        <v/>
      </c>
      <c r="BB21" s="19">
        <f>IF(Debt!BB67&gt;0,BB17*Debt!BB52/Debt!BB67,0)</f>
        <v/>
      </c>
      <c r="BC21" s="19">
        <f>IF(Debt!BC67&gt;0,BC17*Debt!BC52/Debt!BC67,0)</f>
        <v/>
      </c>
      <c r="BD21" s="19">
        <f>IF(Debt!BD67&gt;0,BD17*Debt!BD52/Debt!BD67,0)</f>
        <v/>
      </c>
      <c r="BE21" s="19">
        <f>IF(Debt!BE67&gt;0,BE17*Debt!BE52/Debt!BE67,0)</f>
        <v/>
      </c>
      <c r="BF21" s="19">
        <f>IF(Debt!BF67&gt;0,BF17*Debt!BF52/Debt!BF67,0)</f>
        <v/>
      </c>
      <c r="BG21" s="19">
        <f>IF(Debt!BG67&gt;0,BG17*Debt!BG52/Debt!BG67,0)</f>
        <v/>
      </c>
      <c r="BH21" s="19">
        <f>IF(Debt!BH67&gt;0,BH17*Debt!BH52/Debt!BH67,0)</f>
        <v/>
      </c>
      <c r="BI21" s="19">
        <f>IF(Debt!BI67&gt;0,BI17*Debt!BI52/Debt!BI67,0)</f>
        <v/>
      </c>
      <c r="BJ21" s="19">
        <f>IF(Debt!BJ67&gt;0,BJ17*Debt!BJ52/Debt!BJ67,0)</f>
        <v/>
      </c>
      <c r="BK21" s="19">
        <f>IF(Debt!BK67&gt;0,BK17*Debt!BK52/Debt!BK67,0)</f>
        <v/>
      </c>
      <c r="BL21" s="19">
        <f>IF(Debt!BL67&gt;0,BL17*Debt!BL52/Debt!BL67,0)</f>
        <v/>
      </c>
      <c r="BM21" s="19">
        <f>IF(Debt!BM67&gt;0,BM17*Debt!BM52/Debt!BM67,0)</f>
        <v/>
      </c>
      <c r="BN21" s="19">
        <f>IF(Debt!BN67&gt;0,BN17*Debt!BN52/Debt!BN67,0)</f>
        <v/>
      </c>
      <c r="BO21" s="19">
        <f>IF(Debt!BO67&gt;0,BO17*Debt!BO52/Debt!BO67,0)</f>
        <v/>
      </c>
      <c r="BP21" s="19">
        <f>IF(Debt!BP67&gt;0,BP17*Debt!BP52/Debt!BP67,0)</f>
        <v/>
      </c>
      <c r="BQ21" s="19">
        <f>IF(Debt!BQ67&gt;0,BQ17*Debt!BQ52/Debt!BQ67,0)</f>
        <v/>
      </c>
      <c r="BR21" s="19">
        <f>IF(Debt!BR67&gt;0,BR17*Debt!BR52/Debt!BR67,0)</f>
        <v/>
      </c>
      <c r="BS21" s="19">
        <f>IF(Debt!BS67&gt;0,BS17*Debt!BS52/Debt!BS67,0)</f>
        <v/>
      </c>
      <c r="BT21" s="19">
        <f>IF(Debt!BT67&gt;0,BT17*Debt!BT52/Debt!BT67,0)</f>
        <v/>
      </c>
      <c r="BU21" s="19">
        <f>IF(Debt!BU67&gt;0,BU17*Debt!BU52/Debt!BU67,0)</f>
        <v/>
      </c>
      <c r="BV21" s="19">
        <f>IF(Debt!BV67&gt;0,BV17*Debt!BV52/Debt!BV67,0)</f>
        <v/>
      </c>
      <c r="BW21" s="19">
        <f>IF(Debt!BW67&gt;0,BW17*Debt!BW52/Debt!BW67,0)</f>
        <v/>
      </c>
      <c r="BX21" s="19">
        <f>IF(Debt!BX67&gt;0,BX17*Debt!BX52/Debt!BX67,0)</f>
        <v/>
      </c>
      <c r="BY21" s="19">
        <f>IF(Debt!BY67&gt;0,BY17*Debt!BY52/Debt!BY67,0)</f>
        <v/>
      </c>
      <c r="BZ21" s="19">
        <f>IF(Debt!BZ67&gt;0,BZ17*Debt!BZ52/Debt!BZ67,0)</f>
        <v/>
      </c>
      <c r="CA21" s="19">
        <f>IF(Debt!CA67&gt;0,CA17*Debt!CA52/Debt!CA67,0)</f>
        <v/>
      </c>
      <c r="CB21" s="19">
        <f>IF(Debt!CB67&gt;0,CB17*Debt!CB52/Debt!CB67,0)</f>
        <v/>
      </c>
      <c r="CC21" s="19">
        <f>IF(Debt!CC67&gt;0,CC17*Debt!CC52/Debt!CC67,0)</f>
        <v/>
      </c>
      <c r="CD21" s="19">
        <f>IF(Debt!CD67&gt;0,CD17*Debt!CD52/Debt!CD67,0)</f>
        <v/>
      </c>
      <c r="CE21" s="19">
        <f>IF(Debt!CE67&gt;0,CE17*Debt!CE52/Debt!CE67,0)</f>
        <v/>
      </c>
      <c r="CF21" s="19">
        <f>IF(Debt!CF67&gt;0,CF17*Debt!CF52/Debt!CF67,0)</f>
        <v/>
      </c>
      <c r="CG21" s="19">
        <f>IF(Debt!CG67&gt;0,CG17*Debt!CG52/Debt!CG67,0)</f>
        <v/>
      </c>
      <c r="CH21" s="19">
        <f>IF(Debt!CH67&gt;0,CH17*Debt!CH52/Debt!CH67,0)</f>
        <v/>
      </c>
      <c r="CI21" s="19">
        <f>IF(Debt!CI67&gt;0,CI17*Debt!CI52/Debt!CI67,0)</f>
        <v/>
      </c>
      <c r="CJ21" s="19">
        <f>IF(Debt!CJ67&gt;0,CJ17*Debt!CJ52/Debt!CJ67,0)</f>
        <v/>
      </c>
      <c r="CK21" s="19">
        <f>IF(Debt!CK67&gt;0,CK17*Debt!CK52/Debt!CK67,0)</f>
        <v/>
      </c>
      <c r="CL21" s="19">
        <f>IF(Debt!CL67&gt;0,CL17*Debt!CL52/Debt!CL67,0)</f>
        <v/>
      </c>
      <c r="CM21" s="19">
        <f>IF(Debt!CM67&gt;0,CM17*Debt!CM52/Debt!CM67,0)</f>
        <v/>
      </c>
      <c r="CN21" s="19">
        <f>IF(Debt!CN67&gt;0,CN17*Debt!CN52/Debt!CN67,0)</f>
        <v/>
      </c>
      <c r="CO21" s="19">
        <f>IF(Debt!CO67&gt;0,CO17*Debt!CO52/Debt!CO67,0)</f>
        <v/>
      </c>
      <c r="CP21" s="19">
        <f>IF(Debt!CP67&gt;0,CP17*Debt!CP52/Debt!CP67,0)</f>
        <v/>
      </c>
      <c r="CQ21" s="19">
        <f>IF(Debt!CQ67&gt;0,CQ17*Debt!CQ52/Debt!CQ67,0)</f>
        <v/>
      </c>
      <c r="CR21" s="19">
        <f>IF(Debt!CR67&gt;0,CR17*Debt!CR52/Debt!CR67,0)</f>
        <v/>
      </c>
      <c r="CS21" s="19">
        <f>IF(Debt!CS67&gt;0,CS17*Debt!CS52/Debt!CS67,0)</f>
        <v/>
      </c>
      <c r="CT21" s="19">
        <f>IF(Debt!CT67&gt;0,CT17*Debt!CT52/Debt!CT67,0)</f>
        <v/>
      </c>
      <c r="CU21" s="19">
        <f>IF(Debt!CU67&gt;0,CU17*Debt!CU52/Debt!CU67,0)</f>
        <v/>
      </c>
      <c r="CV21" s="19">
        <f>IF(Debt!CV67&gt;0,CV17*Debt!CV52/Debt!CV67,0)</f>
        <v/>
      </c>
      <c r="CW21" s="19">
        <f>IF(Debt!CW67&gt;0,CW17*Debt!CW52/Debt!CW67,0)</f>
        <v/>
      </c>
      <c r="CX21" s="19">
        <f>IF(Debt!CX67&gt;0,CX17*Debt!CX52/Debt!CX67,0)</f>
        <v/>
      </c>
      <c r="CY21" s="19">
        <f>IF(Debt!CY67&gt;0,CY17*Debt!CY52/Debt!CY67,0)</f>
        <v/>
      </c>
      <c r="CZ21" s="19">
        <f>IF(Debt!CZ67&gt;0,CZ17*Debt!CZ52/Debt!CZ67,0)</f>
        <v/>
      </c>
      <c r="DA21" s="19">
        <f>IF(Debt!DA67&gt;0,DA17*Debt!DA52/Debt!DA67,0)</f>
        <v/>
      </c>
      <c r="DB21" s="19">
        <f>IF(Debt!DB67&gt;0,DB17*Debt!DB52/Debt!DB67,0)</f>
        <v/>
      </c>
    </row>
    <row r="22">
      <c r="D22" t="inlineStr">
        <is>
          <t>Notes principal paid</t>
        </is>
      </c>
      <c r="E22" t="inlineStr">
        <is>
          <t>ARD m</t>
        </is>
      </c>
      <c r="G22" s="19">
        <f>SUM(J22:DB22)</f>
        <v/>
      </c>
      <c r="J22" s="19">
        <f>IF(Debt!J67&gt;0,J17*Debt!J66/Debt!J67,0)</f>
        <v/>
      </c>
      <c r="K22" s="19">
        <f>IF(Debt!K67&gt;0,K17*Debt!K66/Debt!K67,0)</f>
        <v/>
      </c>
      <c r="L22" s="19">
        <f>IF(Debt!L67&gt;0,L17*Debt!L66/Debt!L67,0)</f>
        <v/>
      </c>
      <c r="M22" s="19">
        <f>IF(Debt!M67&gt;0,M17*Debt!M66/Debt!M67,0)</f>
        <v/>
      </c>
      <c r="N22" s="19">
        <f>IF(Debt!N67&gt;0,N17*Debt!N66/Debt!N67,0)</f>
        <v/>
      </c>
      <c r="O22" s="19">
        <f>IF(Debt!O67&gt;0,O17*Debt!O66/Debt!O67,0)</f>
        <v/>
      </c>
      <c r="P22" s="19">
        <f>IF(Debt!P67&gt;0,P17*Debt!P66/Debt!P67,0)</f>
        <v/>
      </c>
      <c r="Q22" s="19">
        <f>IF(Debt!Q67&gt;0,Q17*Debt!Q66/Debt!Q67,0)</f>
        <v/>
      </c>
      <c r="R22" s="19">
        <f>IF(Debt!R67&gt;0,R17*Debt!R66/Debt!R67,0)</f>
        <v/>
      </c>
      <c r="S22" s="19">
        <f>IF(Debt!S67&gt;0,S17*Debt!S66/Debt!S67,0)</f>
        <v/>
      </c>
      <c r="T22" s="19">
        <f>IF(Debt!T67&gt;0,T17*Debt!T66/Debt!T67,0)</f>
        <v/>
      </c>
      <c r="U22" s="19">
        <f>IF(Debt!U67&gt;0,U17*Debt!U66/Debt!U67,0)</f>
        <v/>
      </c>
      <c r="V22" s="19">
        <f>IF(Debt!V67&gt;0,V17*Debt!V66/Debt!V67,0)</f>
        <v/>
      </c>
      <c r="W22" s="19">
        <f>IF(Debt!W67&gt;0,W17*Debt!W66/Debt!W67,0)</f>
        <v/>
      </c>
      <c r="X22" s="19">
        <f>IF(Debt!X67&gt;0,X17*Debt!X66/Debt!X67,0)</f>
        <v/>
      </c>
      <c r="Y22" s="19">
        <f>IF(Debt!Y67&gt;0,Y17*Debt!Y66/Debt!Y67,0)</f>
        <v/>
      </c>
      <c r="Z22" s="19">
        <f>IF(Debt!Z67&gt;0,Z17*Debt!Z66/Debt!Z67,0)</f>
        <v/>
      </c>
      <c r="AA22" s="19">
        <f>IF(Debt!AA67&gt;0,AA17*Debt!AA66/Debt!AA67,0)</f>
        <v/>
      </c>
      <c r="AB22" s="19">
        <f>IF(Debt!AB67&gt;0,AB17*Debt!AB66/Debt!AB67,0)</f>
        <v/>
      </c>
      <c r="AC22" s="19">
        <f>IF(Debt!AC67&gt;0,AC17*Debt!AC66/Debt!AC67,0)</f>
        <v/>
      </c>
      <c r="AD22" s="19">
        <f>IF(Debt!AD67&gt;0,AD17*Debt!AD66/Debt!AD67,0)</f>
        <v/>
      </c>
      <c r="AE22" s="19">
        <f>IF(Debt!AE67&gt;0,AE17*Debt!AE66/Debt!AE67,0)</f>
        <v/>
      </c>
      <c r="AF22" s="19">
        <f>IF(Debt!AF67&gt;0,AF17*Debt!AF66/Debt!AF67,0)</f>
        <v/>
      </c>
      <c r="AG22" s="19">
        <f>IF(Debt!AG67&gt;0,AG17*Debt!AG66/Debt!AG67,0)</f>
        <v/>
      </c>
      <c r="AH22" s="19">
        <f>IF(Debt!AH67&gt;0,AH17*Debt!AH66/Debt!AH67,0)</f>
        <v/>
      </c>
      <c r="AI22" s="19">
        <f>IF(Debt!AI67&gt;0,AI17*Debt!AI66/Debt!AI67,0)</f>
        <v/>
      </c>
      <c r="AJ22" s="19">
        <f>IF(Debt!AJ67&gt;0,AJ17*Debt!AJ66/Debt!AJ67,0)</f>
        <v/>
      </c>
      <c r="AK22" s="19">
        <f>IF(Debt!AK67&gt;0,AK17*Debt!AK66/Debt!AK67,0)</f>
        <v/>
      </c>
      <c r="AL22" s="19">
        <f>IF(Debt!AL67&gt;0,AL17*Debt!AL66/Debt!AL67,0)</f>
        <v/>
      </c>
      <c r="AM22" s="19">
        <f>IF(Debt!AM67&gt;0,AM17*Debt!AM66/Debt!AM67,0)</f>
        <v/>
      </c>
      <c r="AN22" s="19">
        <f>IF(Debt!AN67&gt;0,AN17*Debt!AN66/Debt!AN67,0)</f>
        <v/>
      </c>
      <c r="AO22" s="19">
        <f>IF(Debt!AO67&gt;0,AO17*Debt!AO66/Debt!AO67,0)</f>
        <v/>
      </c>
      <c r="AP22" s="19">
        <f>IF(Debt!AP67&gt;0,AP17*Debt!AP66/Debt!AP67,0)</f>
        <v/>
      </c>
      <c r="AQ22" s="19">
        <f>IF(Debt!AQ67&gt;0,AQ17*Debt!AQ66/Debt!AQ67,0)</f>
        <v/>
      </c>
      <c r="AR22" s="19">
        <f>IF(Debt!AR67&gt;0,AR17*Debt!AR66/Debt!AR67,0)</f>
        <v/>
      </c>
      <c r="AS22" s="19">
        <f>IF(Debt!AS67&gt;0,AS17*Debt!AS66/Debt!AS67,0)</f>
        <v/>
      </c>
      <c r="AT22" s="19">
        <f>IF(Debt!AT67&gt;0,AT17*Debt!AT66/Debt!AT67,0)</f>
        <v/>
      </c>
      <c r="AU22" s="19">
        <f>IF(Debt!AU67&gt;0,AU17*Debt!AU66/Debt!AU67,0)</f>
        <v/>
      </c>
      <c r="AV22" s="19">
        <f>IF(Debt!AV67&gt;0,AV17*Debt!AV66/Debt!AV67,0)</f>
        <v/>
      </c>
      <c r="AW22" s="19">
        <f>IF(Debt!AW67&gt;0,AW17*Debt!AW66/Debt!AW67,0)</f>
        <v/>
      </c>
      <c r="AX22" s="19">
        <f>IF(Debt!AX67&gt;0,AX17*Debt!AX66/Debt!AX67,0)</f>
        <v/>
      </c>
      <c r="AY22" s="19">
        <f>IF(Debt!AY67&gt;0,AY17*Debt!AY66/Debt!AY67,0)</f>
        <v/>
      </c>
      <c r="AZ22" s="19">
        <f>IF(Debt!AZ67&gt;0,AZ17*Debt!AZ66/Debt!AZ67,0)</f>
        <v/>
      </c>
      <c r="BA22" s="19">
        <f>IF(Debt!BA67&gt;0,BA17*Debt!BA66/Debt!BA67,0)</f>
        <v/>
      </c>
      <c r="BB22" s="19">
        <f>IF(Debt!BB67&gt;0,BB17*Debt!BB66/Debt!BB67,0)</f>
        <v/>
      </c>
      <c r="BC22" s="19">
        <f>IF(Debt!BC67&gt;0,BC17*Debt!BC66/Debt!BC67,0)</f>
        <v/>
      </c>
      <c r="BD22" s="19">
        <f>IF(Debt!BD67&gt;0,BD17*Debt!BD66/Debt!BD67,0)</f>
        <v/>
      </c>
      <c r="BE22" s="19">
        <f>IF(Debt!BE67&gt;0,BE17*Debt!BE66/Debt!BE67,0)</f>
        <v/>
      </c>
      <c r="BF22" s="19">
        <f>IF(Debt!BF67&gt;0,BF17*Debt!BF66/Debt!BF67,0)</f>
        <v/>
      </c>
      <c r="BG22" s="19">
        <f>IF(Debt!BG67&gt;0,BG17*Debt!BG66/Debt!BG67,0)</f>
        <v/>
      </c>
      <c r="BH22" s="19">
        <f>IF(Debt!BH67&gt;0,BH17*Debt!BH66/Debt!BH67,0)</f>
        <v/>
      </c>
      <c r="BI22" s="19">
        <f>IF(Debt!BI67&gt;0,BI17*Debt!BI66/Debt!BI67,0)</f>
        <v/>
      </c>
      <c r="BJ22" s="19">
        <f>IF(Debt!BJ67&gt;0,BJ17*Debt!BJ66/Debt!BJ67,0)</f>
        <v/>
      </c>
      <c r="BK22" s="19">
        <f>IF(Debt!BK67&gt;0,BK17*Debt!BK66/Debt!BK67,0)</f>
        <v/>
      </c>
      <c r="BL22" s="19">
        <f>IF(Debt!BL67&gt;0,BL17*Debt!BL66/Debt!BL67,0)</f>
        <v/>
      </c>
      <c r="BM22" s="19">
        <f>IF(Debt!BM67&gt;0,BM17*Debt!BM66/Debt!BM67,0)</f>
        <v/>
      </c>
      <c r="BN22" s="19">
        <f>IF(Debt!BN67&gt;0,BN17*Debt!BN66/Debt!BN67,0)</f>
        <v/>
      </c>
      <c r="BO22" s="19">
        <f>IF(Debt!BO67&gt;0,BO17*Debt!BO66/Debt!BO67,0)</f>
        <v/>
      </c>
      <c r="BP22" s="19">
        <f>IF(Debt!BP67&gt;0,BP17*Debt!BP66/Debt!BP67,0)</f>
        <v/>
      </c>
      <c r="BQ22" s="19">
        <f>IF(Debt!BQ67&gt;0,BQ17*Debt!BQ66/Debt!BQ67,0)</f>
        <v/>
      </c>
      <c r="BR22" s="19">
        <f>IF(Debt!BR67&gt;0,BR17*Debt!BR66/Debt!BR67,0)</f>
        <v/>
      </c>
      <c r="BS22" s="19">
        <f>IF(Debt!BS67&gt;0,BS17*Debt!BS66/Debt!BS67,0)</f>
        <v/>
      </c>
      <c r="BT22" s="19">
        <f>IF(Debt!BT67&gt;0,BT17*Debt!BT66/Debt!BT67,0)</f>
        <v/>
      </c>
      <c r="BU22" s="19">
        <f>IF(Debt!BU67&gt;0,BU17*Debt!BU66/Debt!BU67,0)</f>
        <v/>
      </c>
      <c r="BV22" s="19">
        <f>IF(Debt!BV67&gt;0,BV17*Debt!BV66/Debt!BV67,0)</f>
        <v/>
      </c>
      <c r="BW22" s="19">
        <f>IF(Debt!BW67&gt;0,BW17*Debt!BW66/Debt!BW67,0)</f>
        <v/>
      </c>
      <c r="BX22" s="19">
        <f>IF(Debt!BX67&gt;0,BX17*Debt!BX66/Debt!BX67,0)</f>
        <v/>
      </c>
      <c r="BY22" s="19">
        <f>IF(Debt!BY67&gt;0,BY17*Debt!BY66/Debt!BY67,0)</f>
        <v/>
      </c>
      <c r="BZ22" s="19">
        <f>IF(Debt!BZ67&gt;0,BZ17*Debt!BZ66/Debt!BZ67,0)</f>
        <v/>
      </c>
      <c r="CA22" s="19">
        <f>IF(Debt!CA67&gt;0,CA17*Debt!CA66/Debt!CA67,0)</f>
        <v/>
      </c>
      <c r="CB22" s="19">
        <f>IF(Debt!CB67&gt;0,CB17*Debt!CB66/Debt!CB67,0)</f>
        <v/>
      </c>
      <c r="CC22" s="19">
        <f>IF(Debt!CC67&gt;0,CC17*Debt!CC66/Debt!CC67,0)</f>
        <v/>
      </c>
      <c r="CD22" s="19">
        <f>IF(Debt!CD67&gt;0,CD17*Debt!CD66/Debt!CD67,0)</f>
        <v/>
      </c>
      <c r="CE22" s="19">
        <f>IF(Debt!CE67&gt;0,CE17*Debt!CE66/Debt!CE67,0)</f>
        <v/>
      </c>
      <c r="CF22" s="19">
        <f>IF(Debt!CF67&gt;0,CF17*Debt!CF66/Debt!CF67,0)</f>
        <v/>
      </c>
      <c r="CG22" s="19">
        <f>IF(Debt!CG67&gt;0,CG17*Debt!CG66/Debt!CG67,0)</f>
        <v/>
      </c>
      <c r="CH22" s="19">
        <f>IF(Debt!CH67&gt;0,CH17*Debt!CH66/Debt!CH67,0)</f>
        <v/>
      </c>
      <c r="CI22" s="19">
        <f>IF(Debt!CI67&gt;0,CI17*Debt!CI66/Debt!CI67,0)</f>
        <v/>
      </c>
      <c r="CJ22" s="19">
        <f>IF(Debt!CJ67&gt;0,CJ17*Debt!CJ66/Debt!CJ67,0)</f>
        <v/>
      </c>
      <c r="CK22" s="19">
        <f>IF(Debt!CK67&gt;0,CK17*Debt!CK66/Debt!CK67,0)</f>
        <v/>
      </c>
      <c r="CL22" s="19">
        <f>IF(Debt!CL67&gt;0,CL17*Debt!CL66/Debt!CL67,0)</f>
        <v/>
      </c>
      <c r="CM22" s="19">
        <f>IF(Debt!CM67&gt;0,CM17*Debt!CM66/Debt!CM67,0)</f>
        <v/>
      </c>
      <c r="CN22" s="19">
        <f>IF(Debt!CN67&gt;0,CN17*Debt!CN66/Debt!CN67,0)</f>
        <v/>
      </c>
      <c r="CO22" s="19">
        <f>IF(Debt!CO67&gt;0,CO17*Debt!CO66/Debt!CO67,0)</f>
        <v/>
      </c>
      <c r="CP22" s="19">
        <f>IF(Debt!CP67&gt;0,CP17*Debt!CP66/Debt!CP67,0)</f>
        <v/>
      </c>
      <c r="CQ22" s="19">
        <f>IF(Debt!CQ67&gt;0,CQ17*Debt!CQ66/Debt!CQ67,0)</f>
        <v/>
      </c>
      <c r="CR22" s="19">
        <f>IF(Debt!CR67&gt;0,CR17*Debt!CR66/Debt!CR67,0)</f>
        <v/>
      </c>
      <c r="CS22" s="19">
        <f>IF(Debt!CS67&gt;0,CS17*Debt!CS66/Debt!CS67,0)</f>
        <v/>
      </c>
      <c r="CT22" s="19">
        <f>IF(Debt!CT67&gt;0,CT17*Debt!CT66/Debt!CT67,0)</f>
        <v/>
      </c>
      <c r="CU22" s="19">
        <f>IF(Debt!CU67&gt;0,CU17*Debt!CU66/Debt!CU67,0)</f>
        <v/>
      </c>
      <c r="CV22" s="19">
        <f>IF(Debt!CV67&gt;0,CV17*Debt!CV66/Debt!CV67,0)</f>
        <v/>
      </c>
      <c r="CW22" s="19">
        <f>IF(Debt!CW67&gt;0,CW17*Debt!CW66/Debt!CW67,0)</f>
        <v/>
      </c>
      <c r="CX22" s="19">
        <f>IF(Debt!CX67&gt;0,CX17*Debt!CX66/Debt!CX67,0)</f>
        <v/>
      </c>
      <c r="CY22" s="19">
        <f>IF(Debt!CY67&gt;0,CY17*Debt!CY66/Debt!CY67,0)</f>
        <v/>
      </c>
      <c r="CZ22" s="19">
        <f>IF(Debt!CZ67&gt;0,CZ17*Debt!CZ66/Debt!CZ67,0)</f>
        <v/>
      </c>
      <c r="DA22" s="19">
        <f>IF(Debt!DA67&gt;0,DA17*Debt!DA66/Debt!DA67,0)</f>
        <v/>
      </c>
      <c r="DB22" s="19">
        <f>IF(Debt!DB67&gt;0,DB17*Debt!DB66/Debt!DB67,0)</f>
        <v/>
      </c>
    </row>
    <row r="23">
      <c r="D23" t="inlineStr">
        <is>
          <t>DSRA drawn</t>
        </is>
      </c>
      <c r="E23" t="inlineStr">
        <is>
          <t>ARD m</t>
        </is>
      </c>
      <c r="G23" s="19">
        <f>SUM(J23:DB23)</f>
        <v/>
      </c>
      <c r="J23" s="19">
        <f>MAX(0,J14-MAX(0,J10))</f>
        <v/>
      </c>
      <c r="K23" s="19">
        <f>MAX(0,K14-MAX(0,K10))</f>
        <v/>
      </c>
      <c r="L23" s="19">
        <f>MAX(0,L14-MAX(0,L10))</f>
        <v/>
      </c>
      <c r="M23" s="19">
        <f>MAX(0,M14-MAX(0,M10))</f>
        <v/>
      </c>
      <c r="N23" s="19">
        <f>MAX(0,N14-MAX(0,N10))</f>
        <v/>
      </c>
      <c r="O23" s="19">
        <f>MAX(0,O14-MAX(0,O10))</f>
        <v/>
      </c>
      <c r="P23" s="19">
        <f>MAX(0,P14-MAX(0,P10))</f>
        <v/>
      </c>
      <c r="Q23" s="19">
        <f>MAX(0,Q14-MAX(0,Q10))</f>
        <v/>
      </c>
      <c r="R23" s="19">
        <f>MAX(0,R14-MAX(0,R10))</f>
        <v/>
      </c>
      <c r="S23" s="19">
        <f>MAX(0,S14-MAX(0,S10))</f>
        <v/>
      </c>
      <c r="T23" s="19">
        <f>MAX(0,T14-MAX(0,T10))</f>
        <v/>
      </c>
      <c r="U23" s="19">
        <f>MAX(0,U14-MAX(0,U10))</f>
        <v/>
      </c>
      <c r="V23" s="19">
        <f>MAX(0,V14-MAX(0,V10))</f>
        <v/>
      </c>
      <c r="W23" s="19">
        <f>MAX(0,W14-MAX(0,W10))</f>
        <v/>
      </c>
      <c r="X23" s="19">
        <f>MAX(0,X14-MAX(0,X10))</f>
        <v/>
      </c>
      <c r="Y23" s="19">
        <f>MAX(0,Y14-MAX(0,Y10))</f>
        <v/>
      </c>
      <c r="Z23" s="19">
        <f>MAX(0,Z14-MAX(0,Z10))</f>
        <v/>
      </c>
      <c r="AA23" s="19">
        <f>MAX(0,AA14-MAX(0,AA10))</f>
        <v/>
      </c>
      <c r="AB23" s="19">
        <f>MAX(0,AB14-MAX(0,AB10))</f>
        <v/>
      </c>
      <c r="AC23" s="19">
        <f>MAX(0,AC14-MAX(0,AC10))</f>
        <v/>
      </c>
      <c r="AD23" s="19">
        <f>MAX(0,AD14-MAX(0,AD10))</f>
        <v/>
      </c>
      <c r="AE23" s="19">
        <f>MAX(0,AE14-MAX(0,AE10))</f>
        <v/>
      </c>
      <c r="AF23" s="19">
        <f>MAX(0,AF14-MAX(0,AF10))</f>
        <v/>
      </c>
      <c r="AG23" s="19">
        <f>MAX(0,AG14-MAX(0,AG10))</f>
        <v/>
      </c>
      <c r="AH23" s="19">
        <f>MAX(0,AH14-MAX(0,AH10))</f>
        <v/>
      </c>
      <c r="AI23" s="19">
        <f>MAX(0,AI14-MAX(0,AI10))</f>
        <v/>
      </c>
      <c r="AJ23" s="19">
        <f>MAX(0,AJ14-MAX(0,AJ10))</f>
        <v/>
      </c>
      <c r="AK23" s="19">
        <f>MAX(0,AK14-MAX(0,AK10))</f>
        <v/>
      </c>
      <c r="AL23" s="19">
        <f>MAX(0,AL14-MAX(0,AL10))</f>
        <v/>
      </c>
      <c r="AM23" s="19">
        <f>MAX(0,AM14-MAX(0,AM10))</f>
        <v/>
      </c>
      <c r="AN23" s="19">
        <f>MAX(0,AN14-MAX(0,AN10))</f>
        <v/>
      </c>
      <c r="AO23" s="19">
        <f>MAX(0,AO14-MAX(0,AO10))</f>
        <v/>
      </c>
      <c r="AP23" s="19">
        <f>MAX(0,AP14-MAX(0,AP10))</f>
        <v/>
      </c>
      <c r="AQ23" s="19">
        <f>MAX(0,AQ14-MAX(0,AQ10))</f>
        <v/>
      </c>
      <c r="AR23" s="19">
        <f>MAX(0,AR14-MAX(0,AR10))</f>
        <v/>
      </c>
      <c r="AS23" s="19">
        <f>MAX(0,AS14-MAX(0,AS10))</f>
        <v/>
      </c>
      <c r="AT23" s="19">
        <f>MAX(0,AT14-MAX(0,AT10))</f>
        <v/>
      </c>
      <c r="AU23" s="19">
        <f>MAX(0,AU14-MAX(0,AU10))</f>
        <v/>
      </c>
      <c r="AV23" s="19">
        <f>MAX(0,AV14-MAX(0,AV10))</f>
        <v/>
      </c>
      <c r="AW23" s="19">
        <f>MAX(0,AW14-MAX(0,AW10))</f>
        <v/>
      </c>
      <c r="AX23" s="19">
        <f>MAX(0,AX14-MAX(0,AX10))</f>
        <v/>
      </c>
      <c r="AY23" s="19">
        <f>MAX(0,AY14-MAX(0,AY10))</f>
        <v/>
      </c>
      <c r="AZ23" s="19">
        <f>MAX(0,AZ14-MAX(0,AZ10))</f>
        <v/>
      </c>
      <c r="BA23" s="19">
        <f>MAX(0,BA14-MAX(0,BA10))</f>
        <v/>
      </c>
      <c r="BB23" s="19">
        <f>MAX(0,BB14-MAX(0,BB10))</f>
        <v/>
      </c>
      <c r="BC23" s="19">
        <f>MAX(0,BC14-MAX(0,BC10))</f>
        <v/>
      </c>
      <c r="BD23" s="19">
        <f>MAX(0,BD14-MAX(0,BD10))</f>
        <v/>
      </c>
      <c r="BE23" s="19">
        <f>MAX(0,BE14-MAX(0,BE10))</f>
        <v/>
      </c>
      <c r="BF23" s="19">
        <f>MAX(0,BF14-MAX(0,BF10))</f>
        <v/>
      </c>
      <c r="BG23" s="19">
        <f>MAX(0,BG14-MAX(0,BG10))</f>
        <v/>
      </c>
      <c r="BH23" s="19">
        <f>MAX(0,BH14-MAX(0,BH10))</f>
        <v/>
      </c>
      <c r="BI23" s="19">
        <f>MAX(0,BI14-MAX(0,BI10))</f>
        <v/>
      </c>
      <c r="BJ23" s="19">
        <f>MAX(0,BJ14-MAX(0,BJ10))</f>
        <v/>
      </c>
      <c r="BK23" s="19">
        <f>MAX(0,BK14-MAX(0,BK10))</f>
        <v/>
      </c>
      <c r="BL23" s="19">
        <f>MAX(0,BL14-MAX(0,BL10))</f>
        <v/>
      </c>
      <c r="BM23" s="19">
        <f>MAX(0,BM14-MAX(0,BM10))</f>
        <v/>
      </c>
      <c r="BN23" s="19">
        <f>MAX(0,BN14-MAX(0,BN10))</f>
        <v/>
      </c>
      <c r="BO23" s="19">
        <f>MAX(0,BO14-MAX(0,BO10))</f>
        <v/>
      </c>
      <c r="BP23" s="19">
        <f>MAX(0,BP14-MAX(0,BP10))</f>
        <v/>
      </c>
      <c r="BQ23" s="19">
        <f>MAX(0,BQ14-MAX(0,BQ10))</f>
        <v/>
      </c>
      <c r="BR23" s="19">
        <f>MAX(0,BR14-MAX(0,BR10))</f>
        <v/>
      </c>
      <c r="BS23" s="19">
        <f>MAX(0,BS14-MAX(0,BS10))</f>
        <v/>
      </c>
      <c r="BT23" s="19">
        <f>MAX(0,BT14-MAX(0,BT10))</f>
        <v/>
      </c>
      <c r="BU23" s="19">
        <f>MAX(0,BU14-MAX(0,BU10))</f>
        <v/>
      </c>
      <c r="BV23" s="19">
        <f>MAX(0,BV14-MAX(0,BV10))</f>
        <v/>
      </c>
      <c r="BW23" s="19">
        <f>MAX(0,BW14-MAX(0,BW10))</f>
        <v/>
      </c>
      <c r="BX23" s="19">
        <f>MAX(0,BX14-MAX(0,BX10))</f>
        <v/>
      </c>
      <c r="BY23" s="19">
        <f>MAX(0,BY14-MAX(0,BY10))</f>
        <v/>
      </c>
      <c r="BZ23" s="19">
        <f>MAX(0,BZ14-MAX(0,BZ10))</f>
        <v/>
      </c>
      <c r="CA23" s="19">
        <f>MAX(0,CA14-MAX(0,CA10))</f>
        <v/>
      </c>
      <c r="CB23" s="19">
        <f>MAX(0,CB14-MAX(0,CB10))</f>
        <v/>
      </c>
      <c r="CC23" s="19">
        <f>MAX(0,CC14-MAX(0,CC10))</f>
        <v/>
      </c>
      <c r="CD23" s="19">
        <f>MAX(0,CD14-MAX(0,CD10))</f>
        <v/>
      </c>
      <c r="CE23" s="19">
        <f>MAX(0,CE14-MAX(0,CE10))</f>
        <v/>
      </c>
      <c r="CF23" s="19">
        <f>MAX(0,CF14-MAX(0,CF10))</f>
        <v/>
      </c>
      <c r="CG23" s="19">
        <f>MAX(0,CG14-MAX(0,CG10))</f>
        <v/>
      </c>
      <c r="CH23" s="19">
        <f>MAX(0,CH14-MAX(0,CH10))</f>
        <v/>
      </c>
      <c r="CI23" s="19">
        <f>MAX(0,CI14-MAX(0,CI10))</f>
        <v/>
      </c>
      <c r="CJ23" s="19">
        <f>MAX(0,CJ14-MAX(0,CJ10))</f>
        <v/>
      </c>
      <c r="CK23" s="19">
        <f>MAX(0,CK14-MAX(0,CK10))</f>
        <v/>
      </c>
      <c r="CL23" s="19">
        <f>MAX(0,CL14-MAX(0,CL10))</f>
        <v/>
      </c>
      <c r="CM23" s="19">
        <f>MAX(0,CM14-MAX(0,CM10))</f>
        <v/>
      </c>
      <c r="CN23" s="19">
        <f>MAX(0,CN14-MAX(0,CN10))</f>
        <v/>
      </c>
      <c r="CO23" s="19">
        <f>MAX(0,CO14-MAX(0,CO10))</f>
        <v/>
      </c>
      <c r="CP23" s="19">
        <f>MAX(0,CP14-MAX(0,CP10))</f>
        <v/>
      </c>
      <c r="CQ23" s="19">
        <f>MAX(0,CQ14-MAX(0,CQ10))</f>
        <v/>
      </c>
      <c r="CR23" s="19">
        <f>MAX(0,CR14-MAX(0,CR10))</f>
        <v/>
      </c>
      <c r="CS23" s="19">
        <f>MAX(0,CS14-MAX(0,CS10))</f>
        <v/>
      </c>
      <c r="CT23" s="19">
        <f>MAX(0,CT14-MAX(0,CT10))</f>
        <v/>
      </c>
      <c r="CU23" s="19">
        <f>MAX(0,CU14-MAX(0,CU10))</f>
        <v/>
      </c>
      <c r="CV23" s="19">
        <f>MAX(0,CV14-MAX(0,CV10))</f>
        <v/>
      </c>
      <c r="CW23" s="19">
        <f>MAX(0,CW14-MAX(0,CW10))</f>
        <v/>
      </c>
      <c r="CX23" s="19">
        <f>MAX(0,CX14-MAX(0,CX10))</f>
        <v/>
      </c>
      <c r="CY23" s="19">
        <f>MAX(0,CY14-MAX(0,CY10))</f>
        <v/>
      </c>
      <c r="CZ23" s="19">
        <f>MAX(0,CZ14-MAX(0,CZ10))</f>
        <v/>
      </c>
      <c r="DA23" s="19">
        <f>MAX(0,DA14-MAX(0,DA10))</f>
        <v/>
      </c>
      <c r="DB23" s="19">
        <f>MAX(0,DB14-MAX(0,DB10))</f>
        <v/>
      </c>
    </row>
    <row r="24">
      <c r="D24" t="inlineStr">
        <is>
          <t>Cash after senior debt service</t>
        </is>
      </c>
      <c r="E24" t="inlineStr">
        <is>
          <t>ARD m</t>
        </is>
      </c>
      <c r="J24" s="19">
        <f>J10-J14+J23</f>
        <v/>
      </c>
      <c r="K24" s="19">
        <f>K10-K14+K23</f>
        <v/>
      </c>
      <c r="L24" s="19">
        <f>L10-L14+L23</f>
        <v/>
      </c>
      <c r="M24" s="19">
        <f>M10-M14+M23</f>
        <v/>
      </c>
      <c r="N24" s="19">
        <f>N10-N14+N23</f>
        <v/>
      </c>
      <c r="O24" s="19">
        <f>O10-O14+O23</f>
        <v/>
      </c>
      <c r="P24" s="19">
        <f>P10-P14+P23</f>
        <v/>
      </c>
      <c r="Q24" s="19">
        <f>Q10-Q14+Q23</f>
        <v/>
      </c>
      <c r="R24" s="19">
        <f>R10-R14+R23</f>
        <v/>
      </c>
      <c r="S24" s="19">
        <f>S10-S14+S23</f>
        <v/>
      </c>
      <c r="T24" s="19">
        <f>T10-T14+T23</f>
        <v/>
      </c>
      <c r="U24" s="19">
        <f>U10-U14+U23</f>
        <v/>
      </c>
      <c r="V24" s="19">
        <f>V10-V14+V23</f>
        <v/>
      </c>
      <c r="W24" s="19">
        <f>W10-W14+W23</f>
        <v/>
      </c>
      <c r="X24" s="19">
        <f>X10-X14+X23</f>
        <v/>
      </c>
      <c r="Y24" s="19">
        <f>Y10-Y14+Y23</f>
        <v/>
      </c>
      <c r="Z24" s="19">
        <f>Z10-Z14+Z23</f>
        <v/>
      </c>
      <c r="AA24" s="19">
        <f>AA10-AA14+AA23</f>
        <v/>
      </c>
      <c r="AB24" s="19">
        <f>AB10-AB14+AB23</f>
        <v/>
      </c>
      <c r="AC24" s="19">
        <f>AC10-AC14+AC23</f>
        <v/>
      </c>
      <c r="AD24" s="19">
        <f>AD10-AD14+AD23</f>
        <v/>
      </c>
      <c r="AE24" s="19">
        <f>AE10-AE14+AE23</f>
        <v/>
      </c>
      <c r="AF24" s="19">
        <f>AF10-AF14+AF23</f>
        <v/>
      </c>
      <c r="AG24" s="19">
        <f>AG10-AG14+AG23</f>
        <v/>
      </c>
      <c r="AH24" s="19">
        <f>AH10-AH14+AH23</f>
        <v/>
      </c>
      <c r="AI24" s="19">
        <f>AI10-AI14+AI23</f>
        <v/>
      </c>
      <c r="AJ24" s="19">
        <f>AJ10-AJ14+AJ23</f>
        <v/>
      </c>
      <c r="AK24" s="19">
        <f>AK10-AK14+AK23</f>
        <v/>
      </c>
      <c r="AL24" s="19">
        <f>AL10-AL14+AL23</f>
        <v/>
      </c>
      <c r="AM24" s="19">
        <f>AM10-AM14+AM23</f>
        <v/>
      </c>
      <c r="AN24" s="19">
        <f>AN10-AN14+AN23</f>
        <v/>
      </c>
      <c r="AO24" s="19">
        <f>AO10-AO14+AO23</f>
        <v/>
      </c>
      <c r="AP24" s="19">
        <f>AP10-AP14+AP23</f>
        <v/>
      </c>
      <c r="AQ24" s="19">
        <f>AQ10-AQ14+AQ23</f>
        <v/>
      </c>
      <c r="AR24" s="19">
        <f>AR10-AR14+AR23</f>
        <v/>
      </c>
      <c r="AS24" s="19">
        <f>AS10-AS14+AS23</f>
        <v/>
      </c>
      <c r="AT24" s="19">
        <f>AT10-AT14+AT23</f>
        <v/>
      </c>
      <c r="AU24" s="19">
        <f>AU10-AU14+AU23</f>
        <v/>
      </c>
      <c r="AV24" s="19">
        <f>AV10-AV14+AV23</f>
        <v/>
      </c>
      <c r="AW24" s="19">
        <f>AW10-AW14+AW23</f>
        <v/>
      </c>
      <c r="AX24" s="19">
        <f>AX10-AX14+AX23</f>
        <v/>
      </c>
      <c r="AY24" s="19">
        <f>AY10-AY14+AY23</f>
        <v/>
      </c>
      <c r="AZ24" s="19">
        <f>AZ10-AZ14+AZ23</f>
        <v/>
      </c>
      <c r="BA24" s="19">
        <f>BA10-BA14+BA23</f>
        <v/>
      </c>
      <c r="BB24" s="19">
        <f>BB10-BB14+BB23</f>
        <v/>
      </c>
      <c r="BC24" s="19">
        <f>BC10-BC14+BC23</f>
        <v/>
      </c>
      <c r="BD24" s="19">
        <f>BD10-BD14+BD23</f>
        <v/>
      </c>
      <c r="BE24" s="19">
        <f>BE10-BE14+BE23</f>
        <v/>
      </c>
      <c r="BF24" s="19">
        <f>BF10-BF14+BF23</f>
        <v/>
      </c>
      <c r="BG24" s="19">
        <f>BG10-BG14+BG23</f>
        <v/>
      </c>
      <c r="BH24" s="19">
        <f>BH10-BH14+BH23</f>
        <v/>
      </c>
      <c r="BI24" s="19">
        <f>BI10-BI14+BI23</f>
        <v/>
      </c>
      <c r="BJ24" s="19">
        <f>BJ10-BJ14+BJ23</f>
        <v/>
      </c>
      <c r="BK24" s="19">
        <f>BK10-BK14+BK23</f>
        <v/>
      </c>
      <c r="BL24" s="19">
        <f>BL10-BL14+BL23</f>
        <v/>
      </c>
      <c r="BM24" s="19">
        <f>BM10-BM14+BM23</f>
        <v/>
      </c>
      <c r="BN24" s="19">
        <f>BN10-BN14+BN23</f>
        <v/>
      </c>
      <c r="BO24" s="19">
        <f>BO10-BO14+BO23</f>
        <v/>
      </c>
      <c r="BP24" s="19">
        <f>BP10-BP14+BP23</f>
        <v/>
      </c>
      <c r="BQ24" s="19">
        <f>BQ10-BQ14+BQ23</f>
        <v/>
      </c>
      <c r="BR24" s="19">
        <f>BR10-BR14+BR23</f>
        <v/>
      </c>
      <c r="BS24" s="19">
        <f>BS10-BS14+BS23</f>
        <v/>
      </c>
      <c r="BT24" s="19">
        <f>BT10-BT14+BT23</f>
        <v/>
      </c>
      <c r="BU24" s="19">
        <f>BU10-BU14+BU23</f>
        <v/>
      </c>
      <c r="BV24" s="19">
        <f>BV10-BV14+BV23</f>
        <v/>
      </c>
      <c r="BW24" s="19">
        <f>BW10-BW14+BW23</f>
        <v/>
      </c>
      <c r="BX24" s="19">
        <f>BX10-BX14+BX23</f>
        <v/>
      </c>
      <c r="BY24" s="19">
        <f>BY10-BY14+BY23</f>
        <v/>
      </c>
      <c r="BZ24" s="19">
        <f>BZ10-BZ14+BZ23</f>
        <v/>
      </c>
      <c r="CA24" s="19">
        <f>CA10-CA14+CA23</f>
        <v/>
      </c>
      <c r="CB24" s="19">
        <f>CB10-CB14+CB23</f>
        <v/>
      </c>
      <c r="CC24" s="19">
        <f>CC10-CC14+CC23</f>
        <v/>
      </c>
      <c r="CD24" s="19">
        <f>CD10-CD14+CD23</f>
        <v/>
      </c>
      <c r="CE24" s="19">
        <f>CE10-CE14+CE23</f>
        <v/>
      </c>
      <c r="CF24" s="19">
        <f>CF10-CF14+CF23</f>
        <v/>
      </c>
      <c r="CG24" s="19">
        <f>CG10-CG14+CG23</f>
        <v/>
      </c>
      <c r="CH24" s="19">
        <f>CH10-CH14+CH23</f>
        <v/>
      </c>
      <c r="CI24" s="19">
        <f>CI10-CI14+CI23</f>
        <v/>
      </c>
      <c r="CJ24" s="19">
        <f>CJ10-CJ14+CJ23</f>
        <v/>
      </c>
      <c r="CK24" s="19">
        <f>CK10-CK14+CK23</f>
        <v/>
      </c>
      <c r="CL24" s="19">
        <f>CL10-CL14+CL23</f>
        <v/>
      </c>
      <c r="CM24" s="19">
        <f>CM10-CM14+CM23</f>
        <v/>
      </c>
      <c r="CN24" s="19">
        <f>CN10-CN14+CN23</f>
        <v/>
      </c>
      <c r="CO24" s="19">
        <f>CO10-CO14+CO23</f>
        <v/>
      </c>
      <c r="CP24" s="19">
        <f>CP10-CP14+CP23</f>
        <v/>
      </c>
      <c r="CQ24" s="19">
        <f>CQ10-CQ14+CQ23</f>
        <v/>
      </c>
      <c r="CR24" s="19">
        <f>CR10-CR14+CR23</f>
        <v/>
      </c>
      <c r="CS24" s="19">
        <f>CS10-CS14+CS23</f>
        <v/>
      </c>
      <c r="CT24" s="19">
        <f>CT10-CT14+CT23</f>
        <v/>
      </c>
      <c r="CU24" s="19">
        <f>CU10-CU14+CU23</f>
        <v/>
      </c>
      <c r="CV24" s="19">
        <f>CV10-CV14+CV23</f>
        <v/>
      </c>
      <c r="CW24" s="19">
        <f>CW10-CW14+CW23</f>
        <v/>
      </c>
      <c r="CX24" s="19">
        <f>CX10-CX14+CX23</f>
        <v/>
      </c>
      <c r="CY24" s="19">
        <f>CY10-CY14+CY23</f>
        <v/>
      </c>
      <c r="CZ24" s="19">
        <f>CZ10-CZ14+CZ23</f>
        <v/>
      </c>
      <c r="DA24" s="19">
        <f>DA10-DA14+DA23</f>
        <v/>
      </c>
      <c r="DB24" s="19">
        <f>DB10-DB14+DB23</f>
        <v/>
      </c>
    </row>
    <row r="25">
      <c r="D25" s="3" t="inlineStr">
        <is>
          <t>2. DSRA top-up or release</t>
        </is>
      </c>
    </row>
    <row r="26">
      <c r="D26" t="inlineStr">
        <is>
          <t>Cash after DSRA</t>
        </is>
      </c>
      <c r="E26" t="inlineStr">
        <is>
          <t>ARD m</t>
        </is>
      </c>
      <c r="J26" s="19">
        <f>J24-Reserves!J11+Reserves!J12</f>
        <v/>
      </c>
      <c r="K26" s="19">
        <f>K24-Reserves!K11+Reserves!K12</f>
        <v/>
      </c>
      <c r="L26" s="19">
        <f>L24-Reserves!L11+Reserves!L12</f>
        <v/>
      </c>
      <c r="M26" s="19">
        <f>M24-Reserves!M11+Reserves!M12</f>
        <v/>
      </c>
      <c r="N26" s="19">
        <f>N24-Reserves!N11+Reserves!N12</f>
        <v/>
      </c>
      <c r="O26" s="19">
        <f>O24-Reserves!O11+Reserves!O12</f>
        <v/>
      </c>
      <c r="P26" s="19">
        <f>P24-Reserves!P11+Reserves!P12</f>
        <v/>
      </c>
      <c r="Q26" s="19">
        <f>Q24-Reserves!Q11+Reserves!Q12</f>
        <v/>
      </c>
      <c r="R26" s="19">
        <f>R24-Reserves!R11+Reserves!R12</f>
        <v/>
      </c>
      <c r="S26" s="19">
        <f>S24-Reserves!S11+Reserves!S12</f>
        <v/>
      </c>
      <c r="T26" s="19">
        <f>T24-Reserves!T11+Reserves!T12</f>
        <v/>
      </c>
      <c r="U26" s="19">
        <f>U24-Reserves!U11+Reserves!U12</f>
        <v/>
      </c>
      <c r="V26" s="19">
        <f>V24-Reserves!V11+Reserves!V12</f>
        <v/>
      </c>
      <c r="W26" s="19">
        <f>W24-Reserves!W11+Reserves!W12</f>
        <v/>
      </c>
      <c r="X26" s="19">
        <f>X24-Reserves!X11+Reserves!X12</f>
        <v/>
      </c>
      <c r="Y26" s="19">
        <f>Y24-Reserves!Y11+Reserves!Y12</f>
        <v/>
      </c>
      <c r="Z26" s="19">
        <f>Z24-Reserves!Z11+Reserves!Z12</f>
        <v/>
      </c>
      <c r="AA26" s="19">
        <f>AA24-Reserves!AA11+Reserves!AA12</f>
        <v/>
      </c>
      <c r="AB26" s="19">
        <f>AB24-Reserves!AB11+Reserves!AB12</f>
        <v/>
      </c>
      <c r="AC26" s="19">
        <f>AC24-Reserves!AC11+Reserves!AC12</f>
        <v/>
      </c>
      <c r="AD26" s="19">
        <f>AD24-Reserves!AD11+Reserves!AD12</f>
        <v/>
      </c>
      <c r="AE26" s="19">
        <f>AE24-Reserves!AE11+Reserves!AE12</f>
        <v/>
      </c>
      <c r="AF26" s="19">
        <f>AF24-Reserves!AF11+Reserves!AF12</f>
        <v/>
      </c>
      <c r="AG26" s="19">
        <f>AG24-Reserves!AG11+Reserves!AG12</f>
        <v/>
      </c>
      <c r="AH26" s="19">
        <f>AH24-Reserves!AH11+Reserves!AH12</f>
        <v/>
      </c>
      <c r="AI26" s="19">
        <f>AI24-Reserves!AI11+Reserves!AI12</f>
        <v/>
      </c>
      <c r="AJ26" s="19">
        <f>AJ24-Reserves!AJ11+Reserves!AJ12</f>
        <v/>
      </c>
      <c r="AK26" s="19">
        <f>AK24-Reserves!AK11+Reserves!AK12</f>
        <v/>
      </c>
      <c r="AL26" s="19">
        <f>AL24-Reserves!AL11+Reserves!AL12</f>
        <v/>
      </c>
      <c r="AM26" s="19">
        <f>AM24-Reserves!AM11+Reserves!AM12</f>
        <v/>
      </c>
      <c r="AN26" s="19">
        <f>AN24-Reserves!AN11+Reserves!AN12</f>
        <v/>
      </c>
      <c r="AO26" s="19">
        <f>AO24-Reserves!AO11+Reserves!AO12</f>
        <v/>
      </c>
      <c r="AP26" s="19">
        <f>AP24-Reserves!AP11+Reserves!AP12</f>
        <v/>
      </c>
      <c r="AQ26" s="19">
        <f>AQ24-Reserves!AQ11+Reserves!AQ12</f>
        <v/>
      </c>
      <c r="AR26" s="19">
        <f>AR24-Reserves!AR11+Reserves!AR12</f>
        <v/>
      </c>
      <c r="AS26" s="19">
        <f>AS24-Reserves!AS11+Reserves!AS12</f>
        <v/>
      </c>
      <c r="AT26" s="19">
        <f>AT24-Reserves!AT11+Reserves!AT12</f>
        <v/>
      </c>
      <c r="AU26" s="19">
        <f>AU24-Reserves!AU11+Reserves!AU12</f>
        <v/>
      </c>
      <c r="AV26" s="19">
        <f>AV24-Reserves!AV11+Reserves!AV12</f>
        <v/>
      </c>
      <c r="AW26" s="19">
        <f>AW24-Reserves!AW11+Reserves!AW12</f>
        <v/>
      </c>
      <c r="AX26" s="19">
        <f>AX24-Reserves!AX11+Reserves!AX12</f>
        <v/>
      </c>
      <c r="AY26" s="19">
        <f>AY24-Reserves!AY11+Reserves!AY12</f>
        <v/>
      </c>
      <c r="AZ26" s="19">
        <f>AZ24-Reserves!AZ11+Reserves!AZ12</f>
        <v/>
      </c>
      <c r="BA26" s="19">
        <f>BA24-Reserves!BA11+Reserves!BA12</f>
        <v/>
      </c>
      <c r="BB26" s="19">
        <f>BB24-Reserves!BB11+Reserves!BB12</f>
        <v/>
      </c>
      <c r="BC26" s="19">
        <f>BC24-Reserves!BC11+Reserves!BC12</f>
        <v/>
      </c>
      <c r="BD26" s="19">
        <f>BD24-Reserves!BD11+Reserves!BD12</f>
        <v/>
      </c>
      <c r="BE26" s="19">
        <f>BE24-Reserves!BE11+Reserves!BE12</f>
        <v/>
      </c>
      <c r="BF26" s="19">
        <f>BF24-Reserves!BF11+Reserves!BF12</f>
        <v/>
      </c>
      <c r="BG26" s="19">
        <f>BG24-Reserves!BG11+Reserves!BG12</f>
        <v/>
      </c>
      <c r="BH26" s="19">
        <f>BH24-Reserves!BH11+Reserves!BH12</f>
        <v/>
      </c>
      <c r="BI26" s="19">
        <f>BI24-Reserves!BI11+Reserves!BI12</f>
        <v/>
      </c>
      <c r="BJ26" s="19">
        <f>BJ24-Reserves!BJ11+Reserves!BJ12</f>
        <v/>
      </c>
      <c r="BK26" s="19">
        <f>BK24-Reserves!BK11+Reserves!BK12</f>
        <v/>
      </c>
      <c r="BL26" s="19">
        <f>BL24-Reserves!BL11+Reserves!BL12</f>
        <v/>
      </c>
      <c r="BM26" s="19">
        <f>BM24-Reserves!BM11+Reserves!BM12</f>
        <v/>
      </c>
      <c r="BN26" s="19">
        <f>BN24-Reserves!BN11+Reserves!BN12</f>
        <v/>
      </c>
      <c r="BO26" s="19">
        <f>BO24-Reserves!BO11+Reserves!BO12</f>
        <v/>
      </c>
      <c r="BP26" s="19">
        <f>BP24-Reserves!BP11+Reserves!BP12</f>
        <v/>
      </c>
      <c r="BQ26" s="19">
        <f>BQ24-Reserves!BQ11+Reserves!BQ12</f>
        <v/>
      </c>
      <c r="BR26" s="19">
        <f>BR24-Reserves!BR11+Reserves!BR12</f>
        <v/>
      </c>
      <c r="BS26" s="19">
        <f>BS24-Reserves!BS11+Reserves!BS12</f>
        <v/>
      </c>
      <c r="BT26" s="19">
        <f>BT24-Reserves!BT11+Reserves!BT12</f>
        <v/>
      </c>
      <c r="BU26" s="19">
        <f>BU24-Reserves!BU11+Reserves!BU12</f>
        <v/>
      </c>
      <c r="BV26" s="19">
        <f>BV24-Reserves!BV11+Reserves!BV12</f>
        <v/>
      </c>
      <c r="BW26" s="19">
        <f>BW24-Reserves!BW11+Reserves!BW12</f>
        <v/>
      </c>
      <c r="BX26" s="19">
        <f>BX24-Reserves!BX11+Reserves!BX12</f>
        <v/>
      </c>
      <c r="BY26" s="19">
        <f>BY24-Reserves!BY11+Reserves!BY12</f>
        <v/>
      </c>
      <c r="BZ26" s="19">
        <f>BZ24-Reserves!BZ11+Reserves!BZ12</f>
        <v/>
      </c>
      <c r="CA26" s="19">
        <f>CA24-Reserves!CA11+Reserves!CA12</f>
        <v/>
      </c>
      <c r="CB26" s="19">
        <f>CB24-Reserves!CB11+Reserves!CB12</f>
        <v/>
      </c>
      <c r="CC26" s="19">
        <f>CC24-Reserves!CC11+Reserves!CC12</f>
        <v/>
      </c>
      <c r="CD26" s="19">
        <f>CD24-Reserves!CD11+Reserves!CD12</f>
        <v/>
      </c>
      <c r="CE26" s="19">
        <f>CE24-Reserves!CE11+Reserves!CE12</f>
        <v/>
      </c>
      <c r="CF26" s="19">
        <f>CF24-Reserves!CF11+Reserves!CF12</f>
        <v/>
      </c>
      <c r="CG26" s="19">
        <f>CG24-Reserves!CG11+Reserves!CG12</f>
        <v/>
      </c>
      <c r="CH26" s="19">
        <f>CH24-Reserves!CH11+Reserves!CH12</f>
        <v/>
      </c>
      <c r="CI26" s="19">
        <f>CI24-Reserves!CI11+Reserves!CI12</f>
        <v/>
      </c>
      <c r="CJ26" s="19">
        <f>CJ24-Reserves!CJ11+Reserves!CJ12</f>
        <v/>
      </c>
      <c r="CK26" s="19">
        <f>CK24-Reserves!CK11+Reserves!CK12</f>
        <v/>
      </c>
      <c r="CL26" s="19">
        <f>CL24-Reserves!CL11+Reserves!CL12</f>
        <v/>
      </c>
      <c r="CM26" s="19">
        <f>CM24-Reserves!CM11+Reserves!CM12</f>
        <v/>
      </c>
      <c r="CN26" s="19">
        <f>CN24-Reserves!CN11+Reserves!CN12</f>
        <v/>
      </c>
      <c r="CO26" s="19">
        <f>CO24-Reserves!CO11+Reserves!CO12</f>
        <v/>
      </c>
      <c r="CP26" s="19">
        <f>CP24-Reserves!CP11+Reserves!CP12</f>
        <v/>
      </c>
      <c r="CQ26" s="19">
        <f>CQ24-Reserves!CQ11+Reserves!CQ12</f>
        <v/>
      </c>
      <c r="CR26" s="19">
        <f>CR24-Reserves!CR11+Reserves!CR12</f>
        <v/>
      </c>
      <c r="CS26" s="19">
        <f>CS24-Reserves!CS11+Reserves!CS12</f>
        <v/>
      </c>
      <c r="CT26" s="19">
        <f>CT24-Reserves!CT11+Reserves!CT12</f>
        <v/>
      </c>
      <c r="CU26" s="19">
        <f>CU24-Reserves!CU11+Reserves!CU12</f>
        <v/>
      </c>
      <c r="CV26" s="19">
        <f>CV24-Reserves!CV11+Reserves!CV12</f>
        <v/>
      </c>
      <c r="CW26" s="19">
        <f>CW24-Reserves!CW11+Reserves!CW12</f>
        <v/>
      </c>
      <c r="CX26" s="19">
        <f>CX24-Reserves!CX11+Reserves!CX12</f>
        <v/>
      </c>
      <c r="CY26" s="19">
        <f>CY24-Reserves!CY11+Reserves!CY12</f>
        <v/>
      </c>
      <c r="CZ26" s="19">
        <f>CZ24-Reserves!CZ11+Reserves!CZ12</f>
        <v/>
      </c>
      <c r="DA26" s="19">
        <f>DA24-Reserves!DA11+Reserves!DA12</f>
        <v/>
      </c>
      <c r="DB26" s="19">
        <f>DB24-Reserves!DB11+Reserves!DB12</f>
        <v/>
      </c>
    </row>
    <row r="27">
      <c r="D27" s="3" t="inlineStr">
        <is>
          <t>3. Standstill cash sweep (100% to senior principal)</t>
        </is>
      </c>
    </row>
    <row r="28">
      <c r="D28" t="inlineStr">
        <is>
          <t>Bank balance after scheduled principal</t>
        </is>
      </c>
      <c r="E28" t="inlineStr">
        <is>
          <t>ARD m</t>
        </is>
      </c>
      <c r="J28" s="19">
        <f>Debt!J42-J20</f>
        <v/>
      </c>
      <c r="K28" s="19">
        <f>Debt!K42-K20</f>
        <v/>
      </c>
      <c r="L28" s="19">
        <f>Debt!L42-L20</f>
        <v/>
      </c>
      <c r="M28" s="19">
        <f>Debt!M42-M20</f>
        <v/>
      </c>
      <c r="N28" s="19">
        <f>Debt!N42-N20</f>
        <v/>
      </c>
      <c r="O28" s="19">
        <f>Debt!O42-O20</f>
        <v/>
      </c>
      <c r="P28" s="19">
        <f>Debt!P42-P20</f>
        <v/>
      </c>
      <c r="Q28" s="19">
        <f>Debt!Q42-Q20</f>
        <v/>
      </c>
      <c r="R28" s="19">
        <f>Debt!R42-R20</f>
        <v/>
      </c>
      <c r="S28" s="19">
        <f>Debt!S42-S20</f>
        <v/>
      </c>
      <c r="T28" s="19">
        <f>Debt!T42-T20</f>
        <v/>
      </c>
      <c r="U28" s="19">
        <f>Debt!U42-U20</f>
        <v/>
      </c>
      <c r="V28" s="19">
        <f>Debt!V42-V20</f>
        <v/>
      </c>
      <c r="W28" s="19">
        <f>Debt!W42-W20</f>
        <v/>
      </c>
      <c r="X28" s="19">
        <f>Debt!X42-X20</f>
        <v/>
      </c>
      <c r="Y28" s="19">
        <f>Debt!Y42-Y20</f>
        <v/>
      </c>
      <c r="Z28" s="19">
        <f>Debt!Z42-Z20</f>
        <v/>
      </c>
      <c r="AA28" s="19">
        <f>Debt!AA42-AA20</f>
        <v/>
      </c>
      <c r="AB28" s="19">
        <f>Debt!AB42-AB20</f>
        <v/>
      </c>
      <c r="AC28" s="19">
        <f>Debt!AC42-AC20</f>
        <v/>
      </c>
      <c r="AD28" s="19">
        <f>Debt!AD42-AD20</f>
        <v/>
      </c>
      <c r="AE28" s="19">
        <f>Debt!AE42-AE20</f>
        <v/>
      </c>
      <c r="AF28" s="19">
        <f>Debt!AF42-AF20</f>
        <v/>
      </c>
      <c r="AG28" s="19">
        <f>Debt!AG42-AG20</f>
        <v/>
      </c>
      <c r="AH28" s="19">
        <f>Debt!AH42-AH20</f>
        <v/>
      </c>
      <c r="AI28" s="19">
        <f>Debt!AI42-AI20</f>
        <v/>
      </c>
      <c r="AJ28" s="19">
        <f>Debt!AJ42-AJ20</f>
        <v/>
      </c>
      <c r="AK28" s="19">
        <f>Debt!AK42-AK20</f>
        <v/>
      </c>
      <c r="AL28" s="19">
        <f>Debt!AL42-AL20</f>
        <v/>
      </c>
      <c r="AM28" s="19">
        <f>Debt!AM42-AM20</f>
        <v/>
      </c>
      <c r="AN28" s="19">
        <f>Debt!AN42-AN20</f>
        <v/>
      </c>
      <c r="AO28" s="19">
        <f>Debt!AO42-AO20</f>
        <v/>
      </c>
      <c r="AP28" s="19">
        <f>Debt!AP42-AP20</f>
        <v/>
      </c>
      <c r="AQ28" s="19">
        <f>Debt!AQ42-AQ20</f>
        <v/>
      </c>
      <c r="AR28" s="19">
        <f>Debt!AR42-AR20</f>
        <v/>
      </c>
      <c r="AS28" s="19">
        <f>Debt!AS42-AS20</f>
        <v/>
      </c>
      <c r="AT28" s="19">
        <f>Debt!AT42-AT20</f>
        <v/>
      </c>
      <c r="AU28" s="19">
        <f>Debt!AU42-AU20</f>
        <v/>
      </c>
      <c r="AV28" s="19">
        <f>Debt!AV42-AV20</f>
        <v/>
      </c>
      <c r="AW28" s="19">
        <f>Debt!AW42-AW20</f>
        <v/>
      </c>
      <c r="AX28" s="19">
        <f>Debt!AX42-AX20</f>
        <v/>
      </c>
      <c r="AY28" s="19">
        <f>Debt!AY42-AY20</f>
        <v/>
      </c>
      <c r="AZ28" s="19">
        <f>Debt!AZ42-AZ20</f>
        <v/>
      </c>
      <c r="BA28" s="19">
        <f>Debt!BA42-BA20</f>
        <v/>
      </c>
      <c r="BB28" s="19">
        <f>Debt!BB42-BB20</f>
        <v/>
      </c>
      <c r="BC28" s="19">
        <f>Debt!BC42-BC20</f>
        <v/>
      </c>
      <c r="BD28" s="19">
        <f>Debt!BD42-BD20</f>
        <v/>
      </c>
      <c r="BE28" s="19">
        <f>Debt!BE42-BE20</f>
        <v/>
      </c>
      <c r="BF28" s="19">
        <f>Debt!BF42-BF20</f>
        <v/>
      </c>
      <c r="BG28" s="19">
        <f>Debt!BG42-BG20</f>
        <v/>
      </c>
      <c r="BH28" s="19">
        <f>Debt!BH42-BH20</f>
        <v/>
      </c>
      <c r="BI28" s="19">
        <f>Debt!BI42-BI20</f>
        <v/>
      </c>
      <c r="BJ28" s="19">
        <f>Debt!BJ42-BJ20</f>
        <v/>
      </c>
      <c r="BK28" s="19">
        <f>Debt!BK42-BK20</f>
        <v/>
      </c>
      <c r="BL28" s="19">
        <f>Debt!BL42-BL20</f>
        <v/>
      </c>
      <c r="BM28" s="19">
        <f>Debt!BM42-BM20</f>
        <v/>
      </c>
      <c r="BN28" s="19">
        <f>Debt!BN42-BN20</f>
        <v/>
      </c>
      <c r="BO28" s="19">
        <f>Debt!BO42-BO20</f>
        <v/>
      </c>
      <c r="BP28" s="19">
        <f>Debt!BP42-BP20</f>
        <v/>
      </c>
      <c r="BQ28" s="19">
        <f>Debt!BQ42-BQ20</f>
        <v/>
      </c>
      <c r="BR28" s="19">
        <f>Debt!BR42-BR20</f>
        <v/>
      </c>
      <c r="BS28" s="19">
        <f>Debt!BS42-BS20</f>
        <v/>
      </c>
      <c r="BT28" s="19">
        <f>Debt!BT42-BT20</f>
        <v/>
      </c>
      <c r="BU28" s="19">
        <f>Debt!BU42-BU20</f>
        <v/>
      </c>
      <c r="BV28" s="19">
        <f>Debt!BV42-BV20</f>
        <v/>
      </c>
      <c r="BW28" s="19">
        <f>Debt!BW42-BW20</f>
        <v/>
      </c>
      <c r="BX28" s="19">
        <f>Debt!BX42-BX20</f>
        <v/>
      </c>
      <c r="BY28" s="19">
        <f>Debt!BY42-BY20</f>
        <v/>
      </c>
      <c r="BZ28" s="19">
        <f>Debt!BZ42-BZ20</f>
        <v/>
      </c>
      <c r="CA28" s="19">
        <f>Debt!CA42-CA20</f>
        <v/>
      </c>
      <c r="CB28" s="19">
        <f>Debt!CB42-CB20</f>
        <v/>
      </c>
      <c r="CC28" s="19">
        <f>Debt!CC42-CC20</f>
        <v/>
      </c>
      <c r="CD28" s="19">
        <f>Debt!CD42-CD20</f>
        <v/>
      </c>
      <c r="CE28" s="19">
        <f>Debt!CE42-CE20</f>
        <v/>
      </c>
      <c r="CF28" s="19">
        <f>Debt!CF42-CF20</f>
        <v/>
      </c>
      <c r="CG28" s="19">
        <f>Debt!CG42-CG20</f>
        <v/>
      </c>
      <c r="CH28" s="19">
        <f>Debt!CH42-CH20</f>
        <v/>
      </c>
      <c r="CI28" s="19">
        <f>Debt!CI42-CI20</f>
        <v/>
      </c>
      <c r="CJ28" s="19">
        <f>Debt!CJ42-CJ20</f>
        <v/>
      </c>
      <c r="CK28" s="19">
        <f>Debt!CK42-CK20</f>
        <v/>
      </c>
      <c r="CL28" s="19">
        <f>Debt!CL42-CL20</f>
        <v/>
      </c>
      <c r="CM28" s="19">
        <f>Debt!CM42-CM20</f>
        <v/>
      </c>
      <c r="CN28" s="19">
        <f>Debt!CN42-CN20</f>
        <v/>
      </c>
      <c r="CO28" s="19">
        <f>Debt!CO42-CO20</f>
        <v/>
      </c>
      <c r="CP28" s="19">
        <f>Debt!CP42-CP20</f>
        <v/>
      </c>
      <c r="CQ28" s="19">
        <f>Debt!CQ42-CQ20</f>
        <v/>
      </c>
      <c r="CR28" s="19">
        <f>Debt!CR42-CR20</f>
        <v/>
      </c>
      <c r="CS28" s="19">
        <f>Debt!CS42-CS20</f>
        <v/>
      </c>
      <c r="CT28" s="19">
        <f>Debt!CT42-CT20</f>
        <v/>
      </c>
      <c r="CU28" s="19">
        <f>Debt!CU42-CU20</f>
        <v/>
      </c>
      <c r="CV28" s="19">
        <f>Debt!CV42-CV20</f>
        <v/>
      </c>
      <c r="CW28" s="19">
        <f>Debt!CW42-CW20</f>
        <v/>
      </c>
      <c r="CX28" s="19">
        <f>Debt!CX42-CX20</f>
        <v/>
      </c>
      <c r="CY28" s="19">
        <f>Debt!CY42-CY20</f>
        <v/>
      </c>
      <c r="CZ28" s="19">
        <f>Debt!CZ42-CZ20</f>
        <v/>
      </c>
      <c r="DA28" s="19">
        <f>Debt!DA42-DA20</f>
        <v/>
      </c>
      <c r="DB28" s="19">
        <f>Debt!DB42-DB20</f>
        <v/>
      </c>
    </row>
    <row r="29">
      <c r="D29" t="inlineStr">
        <is>
          <t>Bond balance after scheduled principal</t>
        </is>
      </c>
      <c r="E29" t="inlineStr">
        <is>
          <t>ARD m</t>
        </is>
      </c>
      <c r="J29" s="19">
        <f>Debt!J49-J21</f>
        <v/>
      </c>
      <c r="K29" s="19">
        <f>Debt!K49-K21</f>
        <v/>
      </c>
      <c r="L29" s="19">
        <f>Debt!L49-L21</f>
        <v/>
      </c>
      <c r="M29" s="19">
        <f>Debt!M49-M21</f>
        <v/>
      </c>
      <c r="N29" s="19">
        <f>Debt!N49-N21</f>
        <v/>
      </c>
      <c r="O29" s="19">
        <f>Debt!O49-O21</f>
        <v/>
      </c>
      <c r="P29" s="19">
        <f>Debt!P49-P21</f>
        <v/>
      </c>
      <c r="Q29" s="19">
        <f>Debt!Q49-Q21</f>
        <v/>
      </c>
      <c r="R29" s="19">
        <f>Debt!R49-R21</f>
        <v/>
      </c>
      <c r="S29" s="19">
        <f>Debt!S49-S21</f>
        <v/>
      </c>
      <c r="T29" s="19">
        <f>Debt!T49-T21</f>
        <v/>
      </c>
      <c r="U29" s="19">
        <f>Debt!U49-U21</f>
        <v/>
      </c>
      <c r="V29" s="19">
        <f>Debt!V49-V21</f>
        <v/>
      </c>
      <c r="W29" s="19">
        <f>Debt!W49-W21</f>
        <v/>
      </c>
      <c r="X29" s="19">
        <f>Debt!X49-X21</f>
        <v/>
      </c>
      <c r="Y29" s="19">
        <f>Debt!Y49-Y21</f>
        <v/>
      </c>
      <c r="Z29" s="19">
        <f>Debt!Z49-Z21</f>
        <v/>
      </c>
      <c r="AA29" s="19">
        <f>Debt!AA49-AA21</f>
        <v/>
      </c>
      <c r="AB29" s="19">
        <f>Debt!AB49-AB21</f>
        <v/>
      </c>
      <c r="AC29" s="19">
        <f>Debt!AC49-AC21</f>
        <v/>
      </c>
      <c r="AD29" s="19">
        <f>Debt!AD49-AD21</f>
        <v/>
      </c>
      <c r="AE29" s="19">
        <f>Debt!AE49-AE21</f>
        <v/>
      </c>
      <c r="AF29" s="19">
        <f>Debt!AF49-AF21</f>
        <v/>
      </c>
      <c r="AG29" s="19">
        <f>Debt!AG49-AG21</f>
        <v/>
      </c>
      <c r="AH29" s="19">
        <f>Debt!AH49-AH21</f>
        <v/>
      </c>
      <c r="AI29" s="19">
        <f>Debt!AI49-AI21</f>
        <v/>
      </c>
      <c r="AJ29" s="19">
        <f>Debt!AJ49-AJ21</f>
        <v/>
      </c>
      <c r="AK29" s="19">
        <f>Debt!AK49-AK21</f>
        <v/>
      </c>
      <c r="AL29" s="19">
        <f>Debt!AL49-AL21</f>
        <v/>
      </c>
      <c r="AM29" s="19">
        <f>Debt!AM49-AM21</f>
        <v/>
      </c>
      <c r="AN29" s="19">
        <f>Debt!AN49-AN21</f>
        <v/>
      </c>
      <c r="AO29" s="19">
        <f>Debt!AO49-AO21</f>
        <v/>
      </c>
      <c r="AP29" s="19">
        <f>Debt!AP49-AP21</f>
        <v/>
      </c>
      <c r="AQ29" s="19">
        <f>Debt!AQ49-AQ21</f>
        <v/>
      </c>
      <c r="AR29" s="19">
        <f>Debt!AR49-AR21</f>
        <v/>
      </c>
      <c r="AS29" s="19">
        <f>Debt!AS49-AS21</f>
        <v/>
      </c>
      <c r="AT29" s="19">
        <f>Debt!AT49-AT21</f>
        <v/>
      </c>
      <c r="AU29" s="19">
        <f>Debt!AU49-AU21</f>
        <v/>
      </c>
      <c r="AV29" s="19">
        <f>Debt!AV49-AV21</f>
        <v/>
      </c>
      <c r="AW29" s="19">
        <f>Debt!AW49-AW21</f>
        <v/>
      </c>
      <c r="AX29" s="19">
        <f>Debt!AX49-AX21</f>
        <v/>
      </c>
      <c r="AY29" s="19">
        <f>Debt!AY49-AY21</f>
        <v/>
      </c>
      <c r="AZ29" s="19">
        <f>Debt!AZ49-AZ21</f>
        <v/>
      </c>
      <c r="BA29" s="19">
        <f>Debt!BA49-BA21</f>
        <v/>
      </c>
      <c r="BB29" s="19">
        <f>Debt!BB49-BB21</f>
        <v/>
      </c>
      <c r="BC29" s="19">
        <f>Debt!BC49-BC21</f>
        <v/>
      </c>
      <c r="BD29" s="19">
        <f>Debt!BD49-BD21</f>
        <v/>
      </c>
      <c r="BE29" s="19">
        <f>Debt!BE49-BE21</f>
        <v/>
      </c>
      <c r="BF29" s="19">
        <f>Debt!BF49-BF21</f>
        <v/>
      </c>
      <c r="BG29" s="19">
        <f>Debt!BG49-BG21</f>
        <v/>
      </c>
      <c r="BH29" s="19">
        <f>Debt!BH49-BH21</f>
        <v/>
      </c>
      <c r="BI29" s="19">
        <f>Debt!BI49-BI21</f>
        <v/>
      </c>
      <c r="BJ29" s="19">
        <f>Debt!BJ49-BJ21</f>
        <v/>
      </c>
      <c r="BK29" s="19">
        <f>Debt!BK49-BK21</f>
        <v/>
      </c>
      <c r="BL29" s="19">
        <f>Debt!BL49-BL21</f>
        <v/>
      </c>
      <c r="BM29" s="19">
        <f>Debt!BM49-BM21</f>
        <v/>
      </c>
      <c r="BN29" s="19">
        <f>Debt!BN49-BN21</f>
        <v/>
      </c>
      <c r="BO29" s="19">
        <f>Debt!BO49-BO21</f>
        <v/>
      </c>
      <c r="BP29" s="19">
        <f>Debt!BP49-BP21</f>
        <v/>
      </c>
      <c r="BQ29" s="19">
        <f>Debt!BQ49-BQ21</f>
        <v/>
      </c>
      <c r="BR29" s="19">
        <f>Debt!BR49-BR21</f>
        <v/>
      </c>
      <c r="BS29" s="19">
        <f>Debt!BS49-BS21</f>
        <v/>
      </c>
      <c r="BT29" s="19">
        <f>Debt!BT49-BT21</f>
        <v/>
      </c>
      <c r="BU29" s="19">
        <f>Debt!BU49-BU21</f>
        <v/>
      </c>
      <c r="BV29" s="19">
        <f>Debt!BV49-BV21</f>
        <v/>
      </c>
      <c r="BW29" s="19">
        <f>Debt!BW49-BW21</f>
        <v/>
      </c>
      <c r="BX29" s="19">
        <f>Debt!BX49-BX21</f>
        <v/>
      </c>
      <c r="BY29" s="19">
        <f>Debt!BY49-BY21</f>
        <v/>
      </c>
      <c r="BZ29" s="19">
        <f>Debt!BZ49-BZ21</f>
        <v/>
      </c>
      <c r="CA29" s="19">
        <f>Debt!CA49-CA21</f>
        <v/>
      </c>
      <c r="CB29" s="19">
        <f>Debt!CB49-CB21</f>
        <v/>
      </c>
      <c r="CC29" s="19">
        <f>Debt!CC49-CC21</f>
        <v/>
      </c>
      <c r="CD29" s="19">
        <f>Debt!CD49-CD21</f>
        <v/>
      </c>
      <c r="CE29" s="19">
        <f>Debt!CE49-CE21</f>
        <v/>
      </c>
      <c r="CF29" s="19">
        <f>Debt!CF49-CF21</f>
        <v/>
      </c>
      <c r="CG29" s="19">
        <f>Debt!CG49-CG21</f>
        <v/>
      </c>
      <c r="CH29" s="19">
        <f>Debt!CH49-CH21</f>
        <v/>
      </c>
      <c r="CI29" s="19">
        <f>Debt!CI49-CI21</f>
        <v/>
      </c>
      <c r="CJ29" s="19">
        <f>Debt!CJ49-CJ21</f>
        <v/>
      </c>
      <c r="CK29" s="19">
        <f>Debt!CK49-CK21</f>
        <v/>
      </c>
      <c r="CL29" s="19">
        <f>Debt!CL49-CL21</f>
        <v/>
      </c>
      <c r="CM29" s="19">
        <f>Debt!CM49-CM21</f>
        <v/>
      </c>
      <c r="CN29" s="19">
        <f>Debt!CN49-CN21</f>
        <v/>
      </c>
      <c r="CO29" s="19">
        <f>Debt!CO49-CO21</f>
        <v/>
      </c>
      <c r="CP29" s="19">
        <f>Debt!CP49-CP21</f>
        <v/>
      </c>
      <c r="CQ29" s="19">
        <f>Debt!CQ49-CQ21</f>
        <v/>
      </c>
      <c r="CR29" s="19">
        <f>Debt!CR49-CR21</f>
        <v/>
      </c>
      <c r="CS29" s="19">
        <f>Debt!CS49-CS21</f>
        <v/>
      </c>
      <c r="CT29" s="19">
        <f>Debt!CT49-CT21</f>
        <v/>
      </c>
      <c r="CU29" s="19">
        <f>Debt!CU49-CU21</f>
        <v/>
      </c>
      <c r="CV29" s="19">
        <f>Debt!CV49-CV21</f>
        <v/>
      </c>
      <c r="CW29" s="19">
        <f>Debt!CW49-CW21</f>
        <v/>
      </c>
      <c r="CX29" s="19">
        <f>Debt!CX49-CX21</f>
        <v/>
      </c>
      <c r="CY29" s="19">
        <f>Debt!CY49-CY21</f>
        <v/>
      </c>
      <c r="CZ29" s="19">
        <f>Debt!CZ49-CZ21</f>
        <v/>
      </c>
      <c r="DA29" s="19">
        <f>Debt!DA49-DA21</f>
        <v/>
      </c>
      <c r="DB29" s="19">
        <f>Debt!DB49-DB21</f>
        <v/>
      </c>
    </row>
    <row r="30">
      <c r="D30" t="inlineStr">
        <is>
          <t>Standstill sweep</t>
        </is>
      </c>
      <c r="E30" t="inlineStr">
        <is>
          <t>ARD m</t>
        </is>
      </c>
      <c r="G30" s="19">
        <f>SUM(J30:DB30)</f>
        <v/>
      </c>
      <c r="J30" s="19">
        <f>Time!J34*MIN(MAX(0,J26),J28+J29)</f>
        <v/>
      </c>
      <c r="K30" s="19">
        <f>Time!K34*MIN(MAX(0,K26),K28+K29)</f>
        <v/>
      </c>
      <c r="L30" s="19">
        <f>Time!L34*MIN(MAX(0,L26),L28+L29)</f>
        <v/>
      </c>
      <c r="M30" s="19">
        <f>Time!M34*MIN(MAX(0,M26),M28+M29)</f>
        <v/>
      </c>
      <c r="N30" s="19">
        <f>Time!N34*MIN(MAX(0,N26),N28+N29)</f>
        <v/>
      </c>
      <c r="O30" s="19">
        <f>Time!O34*MIN(MAX(0,O26),O28+O29)</f>
        <v/>
      </c>
      <c r="P30" s="19">
        <f>Time!P34*MIN(MAX(0,P26),P28+P29)</f>
        <v/>
      </c>
      <c r="Q30" s="19">
        <f>Time!Q34*MIN(MAX(0,Q26),Q28+Q29)</f>
        <v/>
      </c>
      <c r="R30" s="19">
        <f>Time!R34*MIN(MAX(0,R26),R28+R29)</f>
        <v/>
      </c>
      <c r="S30" s="19">
        <f>Time!S34*MIN(MAX(0,S26),S28+S29)</f>
        <v/>
      </c>
      <c r="T30" s="19">
        <f>Time!T34*MIN(MAX(0,T26),T28+T29)</f>
        <v/>
      </c>
      <c r="U30" s="19">
        <f>Time!U34*MIN(MAX(0,U26),U28+U29)</f>
        <v/>
      </c>
      <c r="V30" s="19">
        <f>Time!V34*MIN(MAX(0,V26),V28+V29)</f>
        <v/>
      </c>
      <c r="W30" s="19">
        <f>Time!W34*MIN(MAX(0,W26),W28+W29)</f>
        <v/>
      </c>
      <c r="X30" s="19">
        <f>Time!X34*MIN(MAX(0,X26),X28+X29)</f>
        <v/>
      </c>
      <c r="Y30" s="19">
        <f>Time!Y34*MIN(MAX(0,Y26),Y28+Y29)</f>
        <v/>
      </c>
      <c r="Z30" s="19">
        <f>Time!Z34*MIN(MAX(0,Z26),Z28+Z29)</f>
        <v/>
      </c>
      <c r="AA30" s="19">
        <f>Time!AA34*MIN(MAX(0,AA26),AA28+AA29)</f>
        <v/>
      </c>
      <c r="AB30" s="19">
        <f>Time!AB34*MIN(MAX(0,AB26),AB28+AB29)</f>
        <v/>
      </c>
      <c r="AC30" s="19">
        <f>Time!AC34*MIN(MAX(0,AC26),AC28+AC29)</f>
        <v/>
      </c>
      <c r="AD30" s="19">
        <f>Time!AD34*MIN(MAX(0,AD26),AD28+AD29)</f>
        <v/>
      </c>
      <c r="AE30" s="19">
        <f>Time!AE34*MIN(MAX(0,AE26),AE28+AE29)</f>
        <v/>
      </c>
      <c r="AF30" s="19">
        <f>Time!AF34*MIN(MAX(0,AF26),AF28+AF29)</f>
        <v/>
      </c>
      <c r="AG30" s="19">
        <f>Time!AG34*MIN(MAX(0,AG26),AG28+AG29)</f>
        <v/>
      </c>
      <c r="AH30" s="19">
        <f>Time!AH34*MIN(MAX(0,AH26),AH28+AH29)</f>
        <v/>
      </c>
      <c r="AI30" s="19">
        <f>Time!AI34*MIN(MAX(0,AI26),AI28+AI29)</f>
        <v/>
      </c>
      <c r="AJ30" s="19">
        <f>Time!AJ34*MIN(MAX(0,AJ26),AJ28+AJ29)</f>
        <v/>
      </c>
      <c r="AK30" s="19">
        <f>Time!AK34*MIN(MAX(0,AK26),AK28+AK29)</f>
        <v/>
      </c>
      <c r="AL30" s="19">
        <f>Time!AL34*MIN(MAX(0,AL26),AL28+AL29)</f>
        <v/>
      </c>
      <c r="AM30" s="19">
        <f>Time!AM34*MIN(MAX(0,AM26),AM28+AM29)</f>
        <v/>
      </c>
      <c r="AN30" s="19">
        <f>Time!AN34*MIN(MAX(0,AN26),AN28+AN29)</f>
        <v/>
      </c>
      <c r="AO30" s="19">
        <f>Time!AO34*MIN(MAX(0,AO26),AO28+AO29)</f>
        <v/>
      </c>
      <c r="AP30" s="19">
        <f>Time!AP34*MIN(MAX(0,AP26),AP28+AP29)</f>
        <v/>
      </c>
      <c r="AQ30" s="19">
        <f>Time!AQ34*MIN(MAX(0,AQ26),AQ28+AQ29)</f>
        <v/>
      </c>
      <c r="AR30" s="19">
        <f>Time!AR34*MIN(MAX(0,AR26),AR28+AR29)</f>
        <v/>
      </c>
      <c r="AS30" s="19">
        <f>Time!AS34*MIN(MAX(0,AS26),AS28+AS29)</f>
        <v/>
      </c>
      <c r="AT30" s="19">
        <f>Time!AT34*MIN(MAX(0,AT26),AT28+AT29)</f>
        <v/>
      </c>
      <c r="AU30" s="19">
        <f>Time!AU34*MIN(MAX(0,AU26),AU28+AU29)</f>
        <v/>
      </c>
      <c r="AV30" s="19">
        <f>Time!AV34*MIN(MAX(0,AV26),AV28+AV29)</f>
        <v/>
      </c>
      <c r="AW30" s="19">
        <f>Time!AW34*MIN(MAX(0,AW26),AW28+AW29)</f>
        <v/>
      </c>
      <c r="AX30" s="19">
        <f>Time!AX34*MIN(MAX(0,AX26),AX28+AX29)</f>
        <v/>
      </c>
      <c r="AY30" s="19">
        <f>Time!AY34*MIN(MAX(0,AY26),AY28+AY29)</f>
        <v/>
      </c>
      <c r="AZ30" s="19">
        <f>Time!AZ34*MIN(MAX(0,AZ26),AZ28+AZ29)</f>
        <v/>
      </c>
      <c r="BA30" s="19">
        <f>Time!BA34*MIN(MAX(0,BA26),BA28+BA29)</f>
        <v/>
      </c>
      <c r="BB30" s="19">
        <f>Time!BB34*MIN(MAX(0,BB26),BB28+BB29)</f>
        <v/>
      </c>
      <c r="BC30" s="19">
        <f>Time!BC34*MIN(MAX(0,BC26),BC28+BC29)</f>
        <v/>
      </c>
      <c r="BD30" s="19">
        <f>Time!BD34*MIN(MAX(0,BD26),BD28+BD29)</f>
        <v/>
      </c>
      <c r="BE30" s="19">
        <f>Time!BE34*MIN(MAX(0,BE26),BE28+BE29)</f>
        <v/>
      </c>
      <c r="BF30" s="19">
        <f>Time!BF34*MIN(MAX(0,BF26),BF28+BF29)</f>
        <v/>
      </c>
      <c r="BG30" s="19">
        <f>Time!BG34*MIN(MAX(0,BG26),BG28+BG29)</f>
        <v/>
      </c>
      <c r="BH30" s="19">
        <f>Time!BH34*MIN(MAX(0,BH26),BH28+BH29)</f>
        <v/>
      </c>
      <c r="BI30" s="19">
        <f>Time!BI34*MIN(MAX(0,BI26),BI28+BI29)</f>
        <v/>
      </c>
      <c r="BJ30" s="19">
        <f>Time!BJ34*MIN(MAX(0,BJ26),BJ28+BJ29)</f>
        <v/>
      </c>
      <c r="BK30" s="19">
        <f>Time!BK34*MIN(MAX(0,BK26),BK28+BK29)</f>
        <v/>
      </c>
      <c r="BL30" s="19">
        <f>Time!BL34*MIN(MAX(0,BL26),BL28+BL29)</f>
        <v/>
      </c>
      <c r="BM30" s="19">
        <f>Time!BM34*MIN(MAX(0,BM26),BM28+BM29)</f>
        <v/>
      </c>
      <c r="BN30" s="19">
        <f>Time!BN34*MIN(MAX(0,BN26),BN28+BN29)</f>
        <v/>
      </c>
      <c r="BO30" s="19">
        <f>Time!BO34*MIN(MAX(0,BO26),BO28+BO29)</f>
        <v/>
      </c>
      <c r="BP30" s="19">
        <f>Time!BP34*MIN(MAX(0,BP26),BP28+BP29)</f>
        <v/>
      </c>
      <c r="BQ30" s="19">
        <f>Time!BQ34*MIN(MAX(0,BQ26),BQ28+BQ29)</f>
        <v/>
      </c>
      <c r="BR30" s="19">
        <f>Time!BR34*MIN(MAX(0,BR26),BR28+BR29)</f>
        <v/>
      </c>
      <c r="BS30" s="19">
        <f>Time!BS34*MIN(MAX(0,BS26),BS28+BS29)</f>
        <v/>
      </c>
      <c r="BT30" s="19">
        <f>Time!BT34*MIN(MAX(0,BT26),BT28+BT29)</f>
        <v/>
      </c>
      <c r="BU30" s="19">
        <f>Time!BU34*MIN(MAX(0,BU26),BU28+BU29)</f>
        <v/>
      </c>
      <c r="BV30" s="19">
        <f>Time!BV34*MIN(MAX(0,BV26),BV28+BV29)</f>
        <v/>
      </c>
      <c r="BW30" s="19">
        <f>Time!BW34*MIN(MAX(0,BW26),BW28+BW29)</f>
        <v/>
      </c>
      <c r="BX30" s="19">
        <f>Time!BX34*MIN(MAX(0,BX26),BX28+BX29)</f>
        <v/>
      </c>
      <c r="BY30" s="19">
        <f>Time!BY34*MIN(MAX(0,BY26),BY28+BY29)</f>
        <v/>
      </c>
      <c r="BZ30" s="19">
        <f>Time!BZ34*MIN(MAX(0,BZ26),BZ28+BZ29)</f>
        <v/>
      </c>
      <c r="CA30" s="19">
        <f>Time!CA34*MIN(MAX(0,CA26),CA28+CA29)</f>
        <v/>
      </c>
      <c r="CB30" s="19">
        <f>Time!CB34*MIN(MAX(0,CB26),CB28+CB29)</f>
        <v/>
      </c>
      <c r="CC30" s="19">
        <f>Time!CC34*MIN(MAX(0,CC26),CC28+CC29)</f>
        <v/>
      </c>
      <c r="CD30" s="19">
        <f>Time!CD34*MIN(MAX(0,CD26),CD28+CD29)</f>
        <v/>
      </c>
      <c r="CE30" s="19">
        <f>Time!CE34*MIN(MAX(0,CE26),CE28+CE29)</f>
        <v/>
      </c>
      <c r="CF30" s="19">
        <f>Time!CF34*MIN(MAX(0,CF26),CF28+CF29)</f>
        <v/>
      </c>
      <c r="CG30" s="19">
        <f>Time!CG34*MIN(MAX(0,CG26),CG28+CG29)</f>
        <v/>
      </c>
      <c r="CH30" s="19">
        <f>Time!CH34*MIN(MAX(0,CH26),CH28+CH29)</f>
        <v/>
      </c>
      <c r="CI30" s="19">
        <f>Time!CI34*MIN(MAX(0,CI26),CI28+CI29)</f>
        <v/>
      </c>
      <c r="CJ30" s="19">
        <f>Time!CJ34*MIN(MAX(0,CJ26),CJ28+CJ29)</f>
        <v/>
      </c>
      <c r="CK30" s="19">
        <f>Time!CK34*MIN(MAX(0,CK26),CK28+CK29)</f>
        <v/>
      </c>
      <c r="CL30" s="19">
        <f>Time!CL34*MIN(MAX(0,CL26),CL28+CL29)</f>
        <v/>
      </c>
      <c r="CM30" s="19">
        <f>Time!CM34*MIN(MAX(0,CM26),CM28+CM29)</f>
        <v/>
      </c>
      <c r="CN30" s="19">
        <f>Time!CN34*MIN(MAX(0,CN26),CN28+CN29)</f>
        <v/>
      </c>
      <c r="CO30" s="19">
        <f>Time!CO34*MIN(MAX(0,CO26),CO28+CO29)</f>
        <v/>
      </c>
      <c r="CP30" s="19">
        <f>Time!CP34*MIN(MAX(0,CP26),CP28+CP29)</f>
        <v/>
      </c>
      <c r="CQ30" s="19">
        <f>Time!CQ34*MIN(MAX(0,CQ26),CQ28+CQ29)</f>
        <v/>
      </c>
      <c r="CR30" s="19">
        <f>Time!CR34*MIN(MAX(0,CR26),CR28+CR29)</f>
        <v/>
      </c>
      <c r="CS30" s="19">
        <f>Time!CS34*MIN(MAX(0,CS26),CS28+CS29)</f>
        <v/>
      </c>
      <c r="CT30" s="19">
        <f>Time!CT34*MIN(MAX(0,CT26),CT28+CT29)</f>
        <v/>
      </c>
      <c r="CU30" s="19">
        <f>Time!CU34*MIN(MAX(0,CU26),CU28+CU29)</f>
        <v/>
      </c>
      <c r="CV30" s="19">
        <f>Time!CV34*MIN(MAX(0,CV26),CV28+CV29)</f>
        <v/>
      </c>
      <c r="CW30" s="19">
        <f>Time!CW34*MIN(MAX(0,CW26),CW28+CW29)</f>
        <v/>
      </c>
      <c r="CX30" s="19">
        <f>Time!CX34*MIN(MAX(0,CX26),CX28+CX29)</f>
        <v/>
      </c>
      <c r="CY30" s="19">
        <f>Time!CY34*MIN(MAX(0,CY26),CY28+CY29)</f>
        <v/>
      </c>
      <c r="CZ30" s="19">
        <f>Time!CZ34*MIN(MAX(0,CZ26),CZ28+CZ29)</f>
        <v/>
      </c>
      <c r="DA30" s="19">
        <f>Time!DA34*MIN(MAX(0,DA26),DA28+DA29)</f>
        <v/>
      </c>
      <c r="DB30" s="19">
        <f>Time!DB34*MIN(MAX(0,DB26),DB28+DB29)</f>
        <v/>
      </c>
    </row>
    <row r="31">
      <c r="D31" t="inlineStr">
        <is>
          <t>Standstill sweep to bank</t>
        </is>
      </c>
      <c r="E31" t="inlineStr">
        <is>
          <t>ARD m</t>
        </is>
      </c>
      <c r="G31" s="19">
        <f>SUM(J31:DB31)</f>
        <v/>
      </c>
      <c r="J31" s="19">
        <f>IF(J30&gt;0,J30*J28/(J28+J29),0)</f>
        <v/>
      </c>
      <c r="K31" s="19">
        <f>IF(K30&gt;0,K30*K28/(K28+K29),0)</f>
        <v/>
      </c>
      <c r="L31" s="19">
        <f>IF(L30&gt;0,L30*L28/(L28+L29),0)</f>
        <v/>
      </c>
      <c r="M31" s="19">
        <f>IF(M30&gt;0,M30*M28/(M28+M29),0)</f>
        <v/>
      </c>
      <c r="N31" s="19">
        <f>IF(N30&gt;0,N30*N28/(N28+N29),0)</f>
        <v/>
      </c>
      <c r="O31" s="19">
        <f>IF(O30&gt;0,O30*O28/(O28+O29),0)</f>
        <v/>
      </c>
      <c r="P31" s="19">
        <f>IF(P30&gt;0,P30*P28/(P28+P29),0)</f>
        <v/>
      </c>
      <c r="Q31" s="19">
        <f>IF(Q30&gt;0,Q30*Q28/(Q28+Q29),0)</f>
        <v/>
      </c>
      <c r="R31" s="19">
        <f>IF(R30&gt;0,R30*R28/(R28+R29),0)</f>
        <v/>
      </c>
      <c r="S31" s="19">
        <f>IF(S30&gt;0,S30*S28/(S28+S29),0)</f>
        <v/>
      </c>
      <c r="T31" s="19">
        <f>IF(T30&gt;0,T30*T28/(T28+T29),0)</f>
        <v/>
      </c>
      <c r="U31" s="19">
        <f>IF(U30&gt;0,U30*U28/(U28+U29),0)</f>
        <v/>
      </c>
      <c r="V31" s="19">
        <f>IF(V30&gt;0,V30*V28/(V28+V29),0)</f>
        <v/>
      </c>
      <c r="W31" s="19">
        <f>IF(W30&gt;0,W30*W28/(W28+W29),0)</f>
        <v/>
      </c>
      <c r="X31" s="19">
        <f>IF(X30&gt;0,X30*X28/(X28+X29),0)</f>
        <v/>
      </c>
      <c r="Y31" s="19">
        <f>IF(Y30&gt;0,Y30*Y28/(Y28+Y29),0)</f>
        <v/>
      </c>
      <c r="Z31" s="19">
        <f>IF(Z30&gt;0,Z30*Z28/(Z28+Z29),0)</f>
        <v/>
      </c>
      <c r="AA31" s="19">
        <f>IF(AA30&gt;0,AA30*AA28/(AA28+AA29),0)</f>
        <v/>
      </c>
      <c r="AB31" s="19">
        <f>IF(AB30&gt;0,AB30*AB28/(AB28+AB29),0)</f>
        <v/>
      </c>
      <c r="AC31" s="19">
        <f>IF(AC30&gt;0,AC30*AC28/(AC28+AC29),0)</f>
        <v/>
      </c>
      <c r="AD31" s="19">
        <f>IF(AD30&gt;0,AD30*AD28/(AD28+AD29),0)</f>
        <v/>
      </c>
      <c r="AE31" s="19">
        <f>IF(AE30&gt;0,AE30*AE28/(AE28+AE29),0)</f>
        <v/>
      </c>
      <c r="AF31" s="19">
        <f>IF(AF30&gt;0,AF30*AF28/(AF28+AF29),0)</f>
        <v/>
      </c>
      <c r="AG31" s="19">
        <f>IF(AG30&gt;0,AG30*AG28/(AG28+AG29),0)</f>
        <v/>
      </c>
      <c r="AH31" s="19">
        <f>IF(AH30&gt;0,AH30*AH28/(AH28+AH29),0)</f>
        <v/>
      </c>
      <c r="AI31" s="19">
        <f>IF(AI30&gt;0,AI30*AI28/(AI28+AI29),0)</f>
        <v/>
      </c>
      <c r="AJ31" s="19">
        <f>IF(AJ30&gt;0,AJ30*AJ28/(AJ28+AJ29),0)</f>
        <v/>
      </c>
      <c r="AK31" s="19">
        <f>IF(AK30&gt;0,AK30*AK28/(AK28+AK29),0)</f>
        <v/>
      </c>
      <c r="AL31" s="19">
        <f>IF(AL30&gt;0,AL30*AL28/(AL28+AL29),0)</f>
        <v/>
      </c>
      <c r="AM31" s="19">
        <f>IF(AM30&gt;0,AM30*AM28/(AM28+AM29),0)</f>
        <v/>
      </c>
      <c r="AN31" s="19">
        <f>IF(AN30&gt;0,AN30*AN28/(AN28+AN29),0)</f>
        <v/>
      </c>
      <c r="AO31" s="19">
        <f>IF(AO30&gt;0,AO30*AO28/(AO28+AO29),0)</f>
        <v/>
      </c>
      <c r="AP31" s="19">
        <f>IF(AP30&gt;0,AP30*AP28/(AP28+AP29),0)</f>
        <v/>
      </c>
      <c r="AQ31" s="19">
        <f>IF(AQ30&gt;0,AQ30*AQ28/(AQ28+AQ29),0)</f>
        <v/>
      </c>
      <c r="AR31" s="19">
        <f>IF(AR30&gt;0,AR30*AR28/(AR28+AR29),0)</f>
        <v/>
      </c>
      <c r="AS31" s="19">
        <f>IF(AS30&gt;0,AS30*AS28/(AS28+AS29),0)</f>
        <v/>
      </c>
      <c r="AT31" s="19">
        <f>IF(AT30&gt;0,AT30*AT28/(AT28+AT29),0)</f>
        <v/>
      </c>
      <c r="AU31" s="19">
        <f>IF(AU30&gt;0,AU30*AU28/(AU28+AU29),0)</f>
        <v/>
      </c>
      <c r="AV31" s="19">
        <f>IF(AV30&gt;0,AV30*AV28/(AV28+AV29),0)</f>
        <v/>
      </c>
      <c r="AW31" s="19">
        <f>IF(AW30&gt;0,AW30*AW28/(AW28+AW29),0)</f>
        <v/>
      </c>
      <c r="AX31" s="19">
        <f>IF(AX30&gt;0,AX30*AX28/(AX28+AX29),0)</f>
        <v/>
      </c>
      <c r="AY31" s="19">
        <f>IF(AY30&gt;0,AY30*AY28/(AY28+AY29),0)</f>
        <v/>
      </c>
      <c r="AZ31" s="19">
        <f>IF(AZ30&gt;0,AZ30*AZ28/(AZ28+AZ29),0)</f>
        <v/>
      </c>
      <c r="BA31" s="19">
        <f>IF(BA30&gt;0,BA30*BA28/(BA28+BA29),0)</f>
        <v/>
      </c>
      <c r="BB31" s="19">
        <f>IF(BB30&gt;0,BB30*BB28/(BB28+BB29),0)</f>
        <v/>
      </c>
      <c r="BC31" s="19">
        <f>IF(BC30&gt;0,BC30*BC28/(BC28+BC29),0)</f>
        <v/>
      </c>
      <c r="BD31" s="19">
        <f>IF(BD30&gt;0,BD30*BD28/(BD28+BD29),0)</f>
        <v/>
      </c>
      <c r="BE31" s="19">
        <f>IF(BE30&gt;0,BE30*BE28/(BE28+BE29),0)</f>
        <v/>
      </c>
      <c r="BF31" s="19">
        <f>IF(BF30&gt;0,BF30*BF28/(BF28+BF29),0)</f>
        <v/>
      </c>
      <c r="BG31" s="19">
        <f>IF(BG30&gt;0,BG30*BG28/(BG28+BG29),0)</f>
        <v/>
      </c>
      <c r="BH31" s="19">
        <f>IF(BH30&gt;0,BH30*BH28/(BH28+BH29),0)</f>
        <v/>
      </c>
      <c r="BI31" s="19">
        <f>IF(BI30&gt;0,BI30*BI28/(BI28+BI29),0)</f>
        <v/>
      </c>
      <c r="BJ31" s="19">
        <f>IF(BJ30&gt;0,BJ30*BJ28/(BJ28+BJ29),0)</f>
        <v/>
      </c>
      <c r="BK31" s="19">
        <f>IF(BK30&gt;0,BK30*BK28/(BK28+BK29),0)</f>
        <v/>
      </c>
      <c r="BL31" s="19">
        <f>IF(BL30&gt;0,BL30*BL28/(BL28+BL29),0)</f>
        <v/>
      </c>
      <c r="BM31" s="19">
        <f>IF(BM30&gt;0,BM30*BM28/(BM28+BM29),0)</f>
        <v/>
      </c>
      <c r="BN31" s="19">
        <f>IF(BN30&gt;0,BN30*BN28/(BN28+BN29),0)</f>
        <v/>
      </c>
      <c r="BO31" s="19">
        <f>IF(BO30&gt;0,BO30*BO28/(BO28+BO29),0)</f>
        <v/>
      </c>
      <c r="BP31" s="19">
        <f>IF(BP30&gt;0,BP30*BP28/(BP28+BP29),0)</f>
        <v/>
      </c>
      <c r="BQ31" s="19">
        <f>IF(BQ30&gt;0,BQ30*BQ28/(BQ28+BQ29),0)</f>
        <v/>
      </c>
      <c r="BR31" s="19">
        <f>IF(BR30&gt;0,BR30*BR28/(BR28+BR29),0)</f>
        <v/>
      </c>
      <c r="BS31" s="19">
        <f>IF(BS30&gt;0,BS30*BS28/(BS28+BS29),0)</f>
        <v/>
      </c>
      <c r="BT31" s="19">
        <f>IF(BT30&gt;0,BT30*BT28/(BT28+BT29),0)</f>
        <v/>
      </c>
      <c r="BU31" s="19">
        <f>IF(BU30&gt;0,BU30*BU28/(BU28+BU29),0)</f>
        <v/>
      </c>
      <c r="BV31" s="19">
        <f>IF(BV30&gt;0,BV30*BV28/(BV28+BV29),0)</f>
        <v/>
      </c>
      <c r="BW31" s="19">
        <f>IF(BW30&gt;0,BW30*BW28/(BW28+BW29),0)</f>
        <v/>
      </c>
      <c r="BX31" s="19">
        <f>IF(BX30&gt;0,BX30*BX28/(BX28+BX29),0)</f>
        <v/>
      </c>
      <c r="BY31" s="19">
        <f>IF(BY30&gt;0,BY30*BY28/(BY28+BY29),0)</f>
        <v/>
      </c>
      <c r="BZ31" s="19">
        <f>IF(BZ30&gt;0,BZ30*BZ28/(BZ28+BZ29),0)</f>
        <v/>
      </c>
      <c r="CA31" s="19">
        <f>IF(CA30&gt;0,CA30*CA28/(CA28+CA29),0)</f>
        <v/>
      </c>
      <c r="CB31" s="19">
        <f>IF(CB30&gt;0,CB30*CB28/(CB28+CB29),0)</f>
        <v/>
      </c>
      <c r="CC31" s="19">
        <f>IF(CC30&gt;0,CC30*CC28/(CC28+CC29),0)</f>
        <v/>
      </c>
      <c r="CD31" s="19">
        <f>IF(CD30&gt;0,CD30*CD28/(CD28+CD29),0)</f>
        <v/>
      </c>
      <c r="CE31" s="19">
        <f>IF(CE30&gt;0,CE30*CE28/(CE28+CE29),0)</f>
        <v/>
      </c>
      <c r="CF31" s="19">
        <f>IF(CF30&gt;0,CF30*CF28/(CF28+CF29),0)</f>
        <v/>
      </c>
      <c r="CG31" s="19">
        <f>IF(CG30&gt;0,CG30*CG28/(CG28+CG29),0)</f>
        <v/>
      </c>
      <c r="CH31" s="19">
        <f>IF(CH30&gt;0,CH30*CH28/(CH28+CH29),0)</f>
        <v/>
      </c>
      <c r="CI31" s="19">
        <f>IF(CI30&gt;0,CI30*CI28/(CI28+CI29),0)</f>
        <v/>
      </c>
      <c r="CJ31" s="19">
        <f>IF(CJ30&gt;0,CJ30*CJ28/(CJ28+CJ29),0)</f>
        <v/>
      </c>
      <c r="CK31" s="19">
        <f>IF(CK30&gt;0,CK30*CK28/(CK28+CK29),0)</f>
        <v/>
      </c>
      <c r="CL31" s="19">
        <f>IF(CL30&gt;0,CL30*CL28/(CL28+CL29),0)</f>
        <v/>
      </c>
      <c r="CM31" s="19">
        <f>IF(CM30&gt;0,CM30*CM28/(CM28+CM29),0)</f>
        <v/>
      </c>
      <c r="CN31" s="19">
        <f>IF(CN30&gt;0,CN30*CN28/(CN28+CN29),0)</f>
        <v/>
      </c>
      <c r="CO31" s="19">
        <f>IF(CO30&gt;0,CO30*CO28/(CO28+CO29),0)</f>
        <v/>
      </c>
      <c r="CP31" s="19">
        <f>IF(CP30&gt;0,CP30*CP28/(CP28+CP29),0)</f>
        <v/>
      </c>
      <c r="CQ31" s="19">
        <f>IF(CQ30&gt;0,CQ30*CQ28/(CQ28+CQ29),0)</f>
        <v/>
      </c>
      <c r="CR31" s="19">
        <f>IF(CR30&gt;0,CR30*CR28/(CR28+CR29),0)</f>
        <v/>
      </c>
      <c r="CS31" s="19">
        <f>IF(CS30&gt;0,CS30*CS28/(CS28+CS29),0)</f>
        <v/>
      </c>
      <c r="CT31" s="19">
        <f>IF(CT30&gt;0,CT30*CT28/(CT28+CT29),0)</f>
        <v/>
      </c>
      <c r="CU31" s="19">
        <f>IF(CU30&gt;0,CU30*CU28/(CU28+CU29),0)</f>
        <v/>
      </c>
      <c r="CV31" s="19">
        <f>IF(CV30&gt;0,CV30*CV28/(CV28+CV29),0)</f>
        <v/>
      </c>
      <c r="CW31" s="19">
        <f>IF(CW30&gt;0,CW30*CW28/(CW28+CW29),0)</f>
        <v/>
      </c>
      <c r="CX31" s="19">
        <f>IF(CX30&gt;0,CX30*CX28/(CX28+CX29),0)</f>
        <v/>
      </c>
      <c r="CY31" s="19">
        <f>IF(CY30&gt;0,CY30*CY28/(CY28+CY29),0)</f>
        <v/>
      </c>
      <c r="CZ31" s="19">
        <f>IF(CZ30&gt;0,CZ30*CZ28/(CZ28+CZ29),0)</f>
        <v/>
      </c>
      <c r="DA31" s="19">
        <f>IF(DA30&gt;0,DA30*DA28/(DA28+DA29),0)</f>
        <v/>
      </c>
      <c r="DB31" s="19">
        <f>IF(DB30&gt;0,DB30*DB28/(DB28+DB29),0)</f>
        <v/>
      </c>
    </row>
    <row r="32">
      <c r="D32" t="inlineStr">
        <is>
          <t>Standstill sweep to bonds</t>
        </is>
      </c>
      <c r="E32" t="inlineStr">
        <is>
          <t>ARD m</t>
        </is>
      </c>
      <c r="G32" s="19">
        <f>SUM(J32:DB32)</f>
        <v/>
      </c>
      <c r="J32" s="19">
        <f>J30-J31</f>
        <v/>
      </c>
      <c r="K32" s="19">
        <f>K30-K31</f>
        <v/>
      </c>
      <c r="L32" s="19">
        <f>L30-L31</f>
        <v/>
      </c>
      <c r="M32" s="19">
        <f>M30-M31</f>
        <v/>
      </c>
      <c r="N32" s="19">
        <f>N30-N31</f>
        <v/>
      </c>
      <c r="O32" s="19">
        <f>O30-O31</f>
        <v/>
      </c>
      <c r="P32" s="19">
        <f>P30-P31</f>
        <v/>
      </c>
      <c r="Q32" s="19">
        <f>Q30-Q31</f>
        <v/>
      </c>
      <c r="R32" s="19">
        <f>R30-R31</f>
        <v/>
      </c>
      <c r="S32" s="19">
        <f>S30-S31</f>
        <v/>
      </c>
      <c r="T32" s="19">
        <f>T30-T31</f>
        <v/>
      </c>
      <c r="U32" s="19">
        <f>U30-U31</f>
        <v/>
      </c>
      <c r="V32" s="19">
        <f>V30-V31</f>
        <v/>
      </c>
      <c r="W32" s="19">
        <f>W30-W31</f>
        <v/>
      </c>
      <c r="X32" s="19">
        <f>X30-X31</f>
        <v/>
      </c>
      <c r="Y32" s="19">
        <f>Y30-Y31</f>
        <v/>
      </c>
      <c r="Z32" s="19">
        <f>Z30-Z31</f>
        <v/>
      </c>
      <c r="AA32" s="19">
        <f>AA30-AA31</f>
        <v/>
      </c>
      <c r="AB32" s="19">
        <f>AB30-AB31</f>
        <v/>
      </c>
      <c r="AC32" s="19">
        <f>AC30-AC31</f>
        <v/>
      </c>
      <c r="AD32" s="19">
        <f>AD30-AD31</f>
        <v/>
      </c>
      <c r="AE32" s="19">
        <f>AE30-AE31</f>
        <v/>
      </c>
      <c r="AF32" s="19">
        <f>AF30-AF31</f>
        <v/>
      </c>
      <c r="AG32" s="19">
        <f>AG30-AG31</f>
        <v/>
      </c>
      <c r="AH32" s="19">
        <f>AH30-AH31</f>
        <v/>
      </c>
      <c r="AI32" s="19">
        <f>AI30-AI31</f>
        <v/>
      </c>
      <c r="AJ32" s="19">
        <f>AJ30-AJ31</f>
        <v/>
      </c>
      <c r="AK32" s="19">
        <f>AK30-AK31</f>
        <v/>
      </c>
      <c r="AL32" s="19">
        <f>AL30-AL31</f>
        <v/>
      </c>
      <c r="AM32" s="19">
        <f>AM30-AM31</f>
        <v/>
      </c>
      <c r="AN32" s="19">
        <f>AN30-AN31</f>
        <v/>
      </c>
      <c r="AO32" s="19">
        <f>AO30-AO31</f>
        <v/>
      </c>
      <c r="AP32" s="19">
        <f>AP30-AP31</f>
        <v/>
      </c>
      <c r="AQ32" s="19">
        <f>AQ30-AQ31</f>
        <v/>
      </c>
      <c r="AR32" s="19">
        <f>AR30-AR31</f>
        <v/>
      </c>
      <c r="AS32" s="19">
        <f>AS30-AS31</f>
        <v/>
      </c>
      <c r="AT32" s="19">
        <f>AT30-AT31</f>
        <v/>
      </c>
      <c r="AU32" s="19">
        <f>AU30-AU31</f>
        <v/>
      </c>
      <c r="AV32" s="19">
        <f>AV30-AV31</f>
        <v/>
      </c>
      <c r="AW32" s="19">
        <f>AW30-AW31</f>
        <v/>
      </c>
      <c r="AX32" s="19">
        <f>AX30-AX31</f>
        <v/>
      </c>
      <c r="AY32" s="19">
        <f>AY30-AY31</f>
        <v/>
      </c>
      <c r="AZ32" s="19">
        <f>AZ30-AZ31</f>
        <v/>
      </c>
      <c r="BA32" s="19">
        <f>BA30-BA31</f>
        <v/>
      </c>
      <c r="BB32" s="19">
        <f>BB30-BB31</f>
        <v/>
      </c>
      <c r="BC32" s="19">
        <f>BC30-BC31</f>
        <v/>
      </c>
      <c r="BD32" s="19">
        <f>BD30-BD31</f>
        <v/>
      </c>
      <c r="BE32" s="19">
        <f>BE30-BE31</f>
        <v/>
      </c>
      <c r="BF32" s="19">
        <f>BF30-BF31</f>
        <v/>
      </c>
      <c r="BG32" s="19">
        <f>BG30-BG31</f>
        <v/>
      </c>
      <c r="BH32" s="19">
        <f>BH30-BH31</f>
        <v/>
      </c>
      <c r="BI32" s="19">
        <f>BI30-BI31</f>
        <v/>
      </c>
      <c r="BJ32" s="19">
        <f>BJ30-BJ31</f>
        <v/>
      </c>
      <c r="BK32" s="19">
        <f>BK30-BK31</f>
        <v/>
      </c>
      <c r="BL32" s="19">
        <f>BL30-BL31</f>
        <v/>
      </c>
      <c r="BM32" s="19">
        <f>BM30-BM31</f>
        <v/>
      </c>
      <c r="BN32" s="19">
        <f>BN30-BN31</f>
        <v/>
      </c>
      <c r="BO32" s="19">
        <f>BO30-BO31</f>
        <v/>
      </c>
      <c r="BP32" s="19">
        <f>BP30-BP31</f>
        <v/>
      </c>
      <c r="BQ32" s="19">
        <f>BQ30-BQ31</f>
        <v/>
      </c>
      <c r="BR32" s="19">
        <f>BR30-BR31</f>
        <v/>
      </c>
      <c r="BS32" s="19">
        <f>BS30-BS31</f>
        <v/>
      </c>
      <c r="BT32" s="19">
        <f>BT30-BT31</f>
        <v/>
      </c>
      <c r="BU32" s="19">
        <f>BU30-BU31</f>
        <v/>
      </c>
      <c r="BV32" s="19">
        <f>BV30-BV31</f>
        <v/>
      </c>
      <c r="BW32" s="19">
        <f>BW30-BW31</f>
        <v/>
      </c>
      <c r="BX32" s="19">
        <f>BX30-BX31</f>
        <v/>
      </c>
      <c r="BY32" s="19">
        <f>BY30-BY31</f>
        <v/>
      </c>
      <c r="BZ32" s="19">
        <f>BZ30-BZ31</f>
        <v/>
      </c>
      <c r="CA32" s="19">
        <f>CA30-CA31</f>
        <v/>
      </c>
      <c r="CB32" s="19">
        <f>CB30-CB31</f>
        <v/>
      </c>
      <c r="CC32" s="19">
        <f>CC30-CC31</f>
        <v/>
      </c>
      <c r="CD32" s="19">
        <f>CD30-CD31</f>
        <v/>
      </c>
      <c r="CE32" s="19">
        <f>CE30-CE31</f>
        <v/>
      </c>
      <c r="CF32" s="19">
        <f>CF30-CF31</f>
        <v/>
      </c>
      <c r="CG32" s="19">
        <f>CG30-CG31</f>
        <v/>
      </c>
      <c r="CH32" s="19">
        <f>CH30-CH31</f>
        <v/>
      </c>
      <c r="CI32" s="19">
        <f>CI30-CI31</f>
        <v/>
      </c>
      <c r="CJ32" s="19">
        <f>CJ30-CJ31</f>
        <v/>
      </c>
      <c r="CK32" s="19">
        <f>CK30-CK31</f>
        <v/>
      </c>
      <c r="CL32" s="19">
        <f>CL30-CL31</f>
        <v/>
      </c>
      <c r="CM32" s="19">
        <f>CM30-CM31</f>
        <v/>
      </c>
      <c r="CN32" s="19">
        <f>CN30-CN31</f>
        <v/>
      </c>
      <c r="CO32" s="19">
        <f>CO30-CO31</f>
        <v/>
      </c>
      <c r="CP32" s="19">
        <f>CP30-CP31</f>
        <v/>
      </c>
      <c r="CQ32" s="19">
        <f>CQ30-CQ31</f>
        <v/>
      </c>
      <c r="CR32" s="19">
        <f>CR30-CR31</f>
        <v/>
      </c>
      <c r="CS32" s="19">
        <f>CS30-CS31</f>
        <v/>
      </c>
      <c r="CT32" s="19">
        <f>CT30-CT31</f>
        <v/>
      </c>
      <c r="CU32" s="19">
        <f>CU30-CU31</f>
        <v/>
      </c>
      <c r="CV32" s="19">
        <f>CV30-CV31</f>
        <v/>
      </c>
      <c r="CW32" s="19">
        <f>CW30-CW31</f>
        <v/>
      </c>
      <c r="CX32" s="19">
        <f>CX30-CX31</f>
        <v/>
      </c>
      <c r="CY32" s="19">
        <f>CY30-CY31</f>
        <v/>
      </c>
      <c r="CZ32" s="19">
        <f>CZ30-CZ31</f>
        <v/>
      </c>
      <c r="DA32" s="19">
        <f>DA30-DA31</f>
        <v/>
      </c>
      <c r="DB32" s="19">
        <f>DB30-DB31</f>
        <v/>
      </c>
    </row>
    <row r="33">
      <c r="D33" t="inlineStr">
        <is>
          <t>Cash after standstill sweep</t>
        </is>
      </c>
      <c r="E33" t="inlineStr">
        <is>
          <t>ARD m</t>
        </is>
      </c>
      <c r="J33" s="19">
        <f>J26-J30</f>
        <v/>
      </c>
      <c r="K33" s="19">
        <f>K26-K30</f>
        <v/>
      </c>
      <c r="L33" s="19">
        <f>L26-L30</f>
        <v/>
      </c>
      <c r="M33" s="19">
        <f>M26-M30</f>
        <v/>
      </c>
      <c r="N33" s="19">
        <f>N26-N30</f>
        <v/>
      </c>
      <c r="O33" s="19">
        <f>O26-O30</f>
        <v/>
      </c>
      <c r="P33" s="19">
        <f>P26-P30</f>
        <v/>
      </c>
      <c r="Q33" s="19">
        <f>Q26-Q30</f>
        <v/>
      </c>
      <c r="R33" s="19">
        <f>R26-R30</f>
        <v/>
      </c>
      <c r="S33" s="19">
        <f>S26-S30</f>
        <v/>
      </c>
      <c r="T33" s="19">
        <f>T26-T30</f>
        <v/>
      </c>
      <c r="U33" s="19">
        <f>U26-U30</f>
        <v/>
      </c>
      <c r="V33" s="19">
        <f>V26-V30</f>
        <v/>
      </c>
      <c r="W33" s="19">
        <f>W26-W30</f>
        <v/>
      </c>
      <c r="X33" s="19">
        <f>X26-X30</f>
        <v/>
      </c>
      <c r="Y33" s="19">
        <f>Y26-Y30</f>
        <v/>
      </c>
      <c r="Z33" s="19">
        <f>Z26-Z30</f>
        <v/>
      </c>
      <c r="AA33" s="19">
        <f>AA26-AA30</f>
        <v/>
      </c>
      <c r="AB33" s="19">
        <f>AB26-AB30</f>
        <v/>
      </c>
      <c r="AC33" s="19">
        <f>AC26-AC30</f>
        <v/>
      </c>
      <c r="AD33" s="19">
        <f>AD26-AD30</f>
        <v/>
      </c>
      <c r="AE33" s="19">
        <f>AE26-AE30</f>
        <v/>
      </c>
      <c r="AF33" s="19">
        <f>AF26-AF30</f>
        <v/>
      </c>
      <c r="AG33" s="19">
        <f>AG26-AG30</f>
        <v/>
      </c>
      <c r="AH33" s="19">
        <f>AH26-AH30</f>
        <v/>
      </c>
      <c r="AI33" s="19">
        <f>AI26-AI30</f>
        <v/>
      </c>
      <c r="AJ33" s="19">
        <f>AJ26-AJ30</f>
        <v/>
      </c>
      <c r="AK33" s="19">
        <f>AK26-AK30</f>
        <v/>
      </c>
      <c r="AL33" s="19">
        <f>AL26-AL30</f>
        <v/>
      </c>
      <c r="AM33" s="19">
        <f>AM26-AM30</f>
        <v/>
      </c>
      <c r="AN33" s="19">
        <f>AN26-AN30</f>
        <v/>
      </c>
      <c r="AO33" s="19">
        <f>AO26-AO30</f>
        <v/>
      </c>
      <c r="AP33" s="19">
        <f>AP26-AP30</f>
        <v/>
      </c>
      <c r="AQ33" s="19">
        <f>AQ26-AQ30</f>
        <v/>
      </c>
      <c r="AR33" s="19">
        <f>AR26-AR30</f>
        <v/>
      </c>
      <c r="AS33" s="19">
        <f>AS26-AS30</f>
        <v/>
      </c>
      <c r="AT33" s="19">
        <f>AT26-AT30</f>
        <v/>
      </c>
      <c r="AU33" s="19">
        <f>AU26-AU30</f>
        <v/>
      </c>
      <c r="AV33" s="19">
        <f>AV26-AV30</f>
        <v/>
      </c>
      <c r="AW33" s="19">
        <f>AW26-AW30</f>
        <v/>
      </c>
      <c r="AX33" s="19">
        <f>AX26-AX30</f>
        <v/>
      </c>
      <c r="AY33" s="19">
        <f>AY26-AY30</f>
        <v/>
      </c>
      <c r="AZ33" s="19">
        <f>AZ26-AZ30</f>
        <v/>
      </c>
      <c r="BA33" s="19">
        <f>BA26-BA30</f>
        <v/>
      </c>
      <c r="BB33" s="19">
        <f>BB26-BB30</f>
        <v/>
      </c>
      <c r="BC33" s="19">
        <f>BC26-BC30</f>
        <v/>
      </c>
      <c r="BD33" s="19">
        <f>BD26-BD30</f>
        <v/>
      </c>
      <c r="BE33" s="19">
        <f>BE26-BE30</f>
        <v/>
      </c>
      <c r="BF33" s="19">
        <f>BF26-BF30</f>
        <v/>
      </c>
      <c r="BG33" s="19">
        <f>BG26-BG30</f>
        <v/>
      </c>
      <c r="BH33" s="19">
        <f>BH26-BH30</f>
        <v/>
      </c>
      <c r="BI33" s="19">
        <f>BI26-BI30</f>
        <v/>
      </c>
      <c r="BJ33" s="19">
        <f>BJ26-BJ30</f>
        <v/>
      </c>
      <c r="BK33" s="19">
        <f>BK26-BK30</f>
        <v/>
      </c>
      <c r="BL33" s="19">
        <f>BL26-BL30</f>
        <v/>
      </c>
      <c r="BM33" s="19">
        <f>BM26-BM30</f>
        <v/>
      </c>
      <c r="BN33" s="19">
        <f>BN26-BN30</f>
        <v/>
      </c>
      <c r="BO33" s="19">
        <f>BO26-BO30</f>
        <v/>
      </c>
      <c r="BP33" s="19">
        <f>BP26-BP30</f>
        <v/>
      </c>
      <c r="BQ33" s="19">
        <f>BQ26-BQ30</f>
        <v/>
      </c>
      <c r="BR33" s="19">
        <f>BR26-BR30</f>
        <v/>
      </c>
      <c r="BS33" s="19">
        <f>BS26-BS30</f>
        <v/>
      </c>
      <c r="BT33" s="19">
        <f>BT26-BT30</f>
        <v/>
      </c>
      <c r="BU33" s="19">
        <f>BU26-BU30</f>
        <v/>
      </c>
      <c r="BV33" s="19">
        <f>BV26-BV30</f>
        <v/>
      </c>
      <c r="BW33" s="19">
        <f>BW26-BW30</f>
        <v/>
      </c>
      <c r="BX33" s="19">
        <f>BX26-BX30</f>
        <v/>
      </c>
      <c r="BY33" s="19">
        <f>BY26-BY30</f>
        <v/>
      </c>
      <c r="BZ33" s="19">
        <f>BZ26-BZ30</f>
        <v/>
      </c>
      <c r="CA33" s="19">
        <f>CA26-CA30</f>
        <v/>
      </c>
      <c r="CB33" s="19">
        <f>CB26-CB30</f>
        <v/>
      </c>
      <c r="CC33" s="19">
        <f>CC26-CC30</f>
        <v/>
      </c>
      <c r="CD33" s="19">
        <f>CD26-CD30</f>
        <v/>
      </c>
      <c r="CE33" s="19">
        <f>CE26-CE30</f>
        <v/>
      </c>
      <c r="CF33" s="19">
        <f>CF26-CF30</f>
        <v/>
      </c>
      <c r="CG33" s="19">
        <f>CG26-CG30</f>
        <v/>
      </c>
      <c r="CH33" s="19">
        <f>CH26-CH30</f>
        <v/>
      </c>
      <c r="CI33" s="19">
        <f>CI26-CI30</f>
        <v/>
      </c>
      <c r="CJ33" s="19">
        <f>CJ26-CJ30</f>
        <v/>
      </c>
      <c r="CK33" s="19">
        <f>CK26-CK30</f>
        <v/>
      </c>
      <c r="CL33" s="19">
        <f>CL26-CL30</f>
        <v/>
      </c>
      <c r="CM33" s="19">
        <f>CM26-CM30</f>
        <v/>
      </c>
      <c r="CN33" s="19">
        <f>CN26-CN30</f>
        <v/>
      </c>
      <c r="CO33" s="19">
        <f>CO26-CO30</f>
        <v/>
      </c>
      <c r="CP33" s="19">
        <f>CP26-CP30</f>
        <v/>
      </c>
      <c r="CQ33" s="19">
        <f>CQ26-CQ30</f>
        <v/>
      </c>
      <c r="CR33" s="19">
        <f>CR26-CR30</f>
        <v/>
      </c>
      <c r="CS33" s="19">
        <f>CS26-CS30</f>
        <v/>
      </c>
      <c r="CT33" s="19">
        <f>CT26-CT30</f>
        <v/>
      </c>
      <c r="CU33" s="19">
        <f>CU26-CU30</f>
        <v/>
      </c>
      <c r="CV33" s="19">
        <f>CV26-CV30</f>
        <v/>
      </c>
      <c r="CW33" s="19">
        <f>CW26-CW30</f>
        <v/>
      </c>
      <c r="CX33" s="19">
        <f>CX26-CX30</f>
        <v/>
      </c>
      <c r="CY33" s="19">
        <f>CY26-CY30</f>
        <v/>
      </c>
      <c r="CZ33" s="19">
        <f>CZ26-CZ30</f>
        <v/>
      </c>
      <c r="DA33" s="19">
        <f>DA26-DA30</f>
        <v/>
      </c>
      <c r="DB33" s="19">
        <f>DB26-DB30</f>
        <v/>
      </c>
    </row>
    <row r="34">
      <c r="D34" s="3" t="inlineStr">
        <is>
          <t>4. NILO debt service</t>
        </is>
      </c>
    </row>
    <row r="35">
      <c r="D35" t="inlineStr">
        <is>
          <t>NILO paid</t>
        </is>
      </c>
      <c r="E35" t="inlineStr">
        <is>
          <t>ARD m</t>
        </is>
      </c>
      <c r="G35" s="19">
        <f>SUM(J35:DB35)</f>
        <v/>
      </c>
      <c r="J35" s="19">
        <f>MIN(Debt!J100,MAX(0,J33))*(1-Time!J20)</f>
        <v/>
      </c>
      <c r="K35" s="19">
        <f>MIN(Debt!K100,MAX(0,K33))*(1-Time!K20)</f>
        <v/>
      </c>
      <c r="L35" s="19">
        <f>MIN(Debt!L100,MAX(0,L33))*(1-Time!L20)</f>
        <v/>
      </c>
      <c r="M35" s="19">
        <f>MIN(Debt!M100,MAX(0,M33))*(1-Time!M20)</f>
        <v/>
      </c>
      <c r="N35" s="19">
        <f>MIN(Debt!N100,MAX(0,N33))*(1-Time!N20)</f>
        <v/>
      </c>
      <c r="O35" s="19">
        <f>MIN(Debt!O100,MAX(0,O33))*(1-Time!O20)</f>
        <v/>
      </c>
      <c r="P35" s="19">
        <f>MIN(Debt!P100,MAX(0,P33))*(1-Time!P20)</f>
        <v/>
      </c>
      <c r="Q35" s="19">
        <f>MIN(Debt!Q100,MAX(0,Q33))*(1-Time!Q20)</f>
        <v/>
      </c>
      <c r="R35" s="19">
        <f>MIN(Debt!R100,MAX(0,R33))*(1-Time!R20)</f>
        <v/>
      </c>
      <c r="S35" s="19">
        <f>MIN(Debt!S100,MAX(0,S33))*(1-Time!S20)</f>
        <v/>
      </c>
      <c r="T35" s="19">
        <f>MIN(Debt!T100,MAX(0,T33))*(1-Time!T20)</f>
        <v/>
      </c>
      <c r="U35" s="19">
        <f>MIN(Debt!U100,MAX(0,U33))*(1-Time!U20)</f>
        <v/>
      </c>
      <c r="V35" s="19">
        <f>MIN(Debt!V100,MAX(0,V33))*(1-Time!V20)</f>
        <v/>
      </c>
      <c r="W35" s="19">
        <f>MIN(Debt!W100,MAX(0,W33))*(1-Time!W20)</f>
        <v/>
      </c>
      <c r="X35" s="19">
        <f>MIN(Debt!X100,MAX(0,X33))*(1-Time!X20)</f>
        <v/>
      </c>
      <c r="Y35" s="19">
        <f>MIN(Debt!Y100,MAX(0,Y33))*(1-Time!Y20)</f>
        <v/>
      </c>
      <c r="Z35" s="19">
        <f>MIN(Debt!Z100,MAX(0,Z33))*(1-Time!Z20)</f>
        <v/>
      </c>
      <c r="AA35" s="19">
        <f>MIN(Debt!AA100,MAX(0,AA33))*(1-Time!AA20)</f>
        <v/>
      </c>
      <c r="AB35" s="19">
        <f>MIN(Debt!AB100,MAX(0,AB33))*(1-Time!AB20)</f>
        <v/>
      </c>
      <c r="AC35" s="19">
        <f>MIN(Debt!AC100,MAX(0,AC33))*(1-Time!AC20)</f>
        <v/>
      </c>
      <c r="AD35" s="19">
        <f>MIN(Debt!AD100,MAX(0,AD33))*(1-Time!AD20)</f>
        <v/>
      </c>
      <c r="AE35" s="19">
        <f>MIN(Debt!AE100,MAX(0,AE33))*(1-Time!AE20)</f>
        <v/>
      </c>
      <c r="AF35" s="19">
        <f>MIN(Debt!AF100,MAX(0,AF33))*(1-Time!AF20)</f>
        <v/>
      </c>
      <c r="AG35" s="19">
        <f>MIN(Debt!AG100,MAX(0,AG33))*(1-Time!AG20)</f>
        <v/>
      </c>
      <c r="AH35" s="19">
        <f>MIN(Debt!AH100,MAX(0,AH33))*(1-Time!AH20)</f>
        <v/>
      </c>
      <c r="AI35" s="19">
        <f>MIN(Debt!AI100,MAX(0,AI33))*(1-Time!AI20)</f>
        <v/>
      </c>
      <c r="AJ35" s="19">
        <f>MIN(Debt!AJ100,MAX(0,AJ33))*(1-Time!AJ20)</f>
        <v/>
      </c>
      <c r="AK35" s="19">
        <f>MIN(Debt!AK100,MAX(0,AK33))*(1-Time!AK20)</f>
        <v/>
      </c>
      <c r="AL35" s="19">
        <f>MIN(Debt!AL100,MAX(0,AL33))*(1-Time!AL20)</f>
        <v/>
      </c>
      <c r="AM35" s="19">
        <f>MIN(Debt!AM100,MAX(0,AM33))*(1-Time!AM20)</f>
        <v/>
      </c>
      <c r="AN35" s="19">
        <f>MIN(Debt!AN100,MAX(0,AN33))*(1-Time!AN20)</f>
        <v/>
      </c>
      <c r="AO35" s="19">
        <f>MIN(Debt!AO100,MAX(0,AO33))*(1-Time!AO20)</f>
        <v/>
      </c>
      <c r="AP35" s="19">
        <f>MIN(Debt!AP100,MAX(0,AP33))*(1-Time!AP20)</f>
        <v/>
      </c>
      <c r="AQ35" s="19">
        <f>MIN(Debt!AQ100,MAX(0,AQ33))*(1-Time!AQ20)</f>
        <v/>
      </c>
      <c r="AR35" s="19">
        <f>MIN(Debt!AR100,MAX(0,AR33))*(1-Time!AR20)</f>
        <v/>
      </c>
      <c r="AS35" s="19">
        <f>MIN(Debt!AS100,MAX(0,AS33))*(1-Time!AS20)</f>
        <v/>
      </c>
      <c r="AT35" s="19">
        <f>MIN(Debt!AT100,MAX(0,AT33))*(1-Time!AT20)</f>
        <v/>
      </c>
      <c r="AU35" s="19">
        <f>MIN(Debt!AU100,MAX(0,AU33))*(1-Time!AU20)</f>
        <v/>
      </c>
      <c r="AV35" s="19">
        <f>MIN(Debt!AV100,MAX(0,AV33))*(1-Time!AV20)</f>
        <v/>
      </c>
      <c r="AW35" s="19">
        <f>MIN(Debt!AW100,MAX(0,AW33))*(1-Time!AW20)</f>
        <v/>
      </c>
      <c r="AX35" s="19">
        <f>MIN(Debt!AX100,MAX(0,AX33))*(1-Time!AX20)</f>
        <v/>
      </c>
      <c r="AY35" s="19">
        <f>MIN(Debt!AY100,MAX(0,AY33))*(1-Time!AY20)</f>
        <v/>
      </c>
      <c r="AZ35" s="19">
        <f>MIN(Debt!AZ100,MAX(0,AZ33))*(1-Time!AZ20)</f>
        <v/>
      </c>
      <c r="BA35" s="19">
        <f>MIN(Debt!BA100,MAX(0,BA33))*(1-Time!BA20)</f>
        <v/>
      </c>
      <c r="BB35" s="19">
        <f>MIN(Debt!BB100,MAX(0,BB33))*(1-Time!BB20)</f>
        <v/>
      </c>
      <c r="BC35" s="19">
        <f>MIN(Debt!BC100,MAX(0,BC33))*(1-Time!BC20)</f>
        <v/>
      </c>
      <c r="BD35" s="19">
        <f>MIN(Debt!BD100,MAX(0,BD33))*(1-Time!BD20)</f>
        <v/>
      </c>
      <c r="BE35" s="19">
        <f>MIN(Debt!BE100,MAX(0,BE33))*(1-Time!BE20)</f>
        <v/>
      </c>
      <c r="BF35" s="19">
        <f>MIN(Debt!BF100,MAX(0,BF33))*(1-Time!BF20)</f>
        <v/>
      </c>
      <c r="BG35" s="19">
        <f>MIN(Debt!BG100,MAX(0,BG33))*(1-Time!BG20)</f>
        <v/>
      </c>
      <c r="BH35" s="19">
        <f>MIN(Debt!BH100,MAX(0,BH33))*(1-Time!BH20)</f>
        <v/>
      </c>
      <c r="BI35" s="19">
        <f>MIN(Debt!BI100,MAX(0,BI33))*(1-Time!BI20)</f>
        <v/>
      </c>
      <c r="BJ35" s="19">
        <f>MIN(Debt!BJ100,MAX(0,BJ33))*(1-Time!BJ20)</f>
        <v/>
      </c>
      <c r="BK35" s="19">
        <f>MIN(Debt!BK100,MAX(0,BK33))*(1-Time!BK20)</f>
        <v/>
      </c>
      <c r="BL35" s="19">
        <f>MIN(Debt!BL100,MAX(0,BL33))*(1-Time!BL20)</f>
        <v/>
      </c>
      <c r="BM35" s="19">
        <f>MIN(Debt!BM100,MAX(0,BM33))*(1-Time!BM20)</f>
        <v/>
      </c>
      <c r="BN35" s="19">
        <f>MIN(Debt!BN100,MAX(0,BN33))*(1-Time!BN20)</f>
        <v/>
      </c>
      <c r="BO35" s="19">
        <f>MIN(Debt!BO100,MAX(0,BO33))*(1-Time!BO20)</f>
        <v/>
      </c>
      <c r="BP35" s="19">
        <f>MIN(Debt!BP100,MAX(0,BP33))*(1-Time!BP20)</f>
        <v/>
      </c>
      <c r="BQ35" s="19">
        <f>MIN(Debt!BQ100,MAX(0,BQ33))*(1-Time!BQ20)</f>
        <v/>
      </c>
      <c r="BR35" s="19">
        <f>MIN(Debt!BR100,MAX(0,BR33))*(1-Time!BR20)</f>
        <v/>
      </c>
      <c r="BS35" s="19">
        <f>MIN(Debt!BS100,MAX(0,BS33))*(1-Time!BS20)</f>
        <v/>
      </c>
      <c r="BT35" s="19">
        <f>MIN(Debt!BT100,MAX(0,BT33))*(1-Time!BT20)</f>
        <v/>
      </c>
      <c r="BU35" s="19">
        <f>MIN(Debt!BU100,MAX(0,BU33))*(1-Time!BU20)</f>
        <v/>
      </c>
      <c r="BV35" s="19">
        <f>MIN(Debt!BV100,MAX(0,BV33))*(1-Time!BV20)</f>
        <v/>
      </c>
      <c r="BW35" s="19">
        <f>MIN(Debt!BW100,MAX(0,BW33))*(1-Time!BW20)</f>
        <v/>
      </c>
      <c r="BX35" s="19">
        <f>MIN(Debt!BX100,MAX(0,BX33))*(1-Time!BX20)</f>
        <v/>
      </c>
      <c r="BY35" s="19">
        <f>MIN(Debt!BY100,MAX(0,BY33))*(1-Time!BY20)</f>
        <v/>
      </c>
      <c r="BZ35" s="19">
        <f>MIN(Debt!BZ100,MAX(0,BZ33))*(1-Time!BZ20)</f>
        <v/>
      </c>
      <c r="CA35" s="19">
        <f>MIN(Debt!CA100,MAX(0,CA33))*(1-Time!CA20)</f>
        <v/>
      </c>
      <c r="CB35" s="19">
        <f>MIN(Debt!CB100,MAX(0,CB33))*(1-Time!CB20)</f>
        <v/>
      </c>
      <c r="CC35" s="19">
        <f>MIN(Debt!CC100,MAX(0,CC33))*(1-Time!CC20)</f>
        <v/>
      </c>
      <c r="CD35" s="19">
        <f>MIN(Debt!CD100,MAX(0,CD33))*(1-Time!CD20)</f>
        <v/>
      </c>
      <c r="CE35" s="19">
        <f>MIN(Debt!CE100,MAX(0,CE33))*(1-Time!CE20)</f>
        <v/>
      </c>
      <c r="CF35" s="19">
        <f>MIN(Debt!CF100,MAX(0,CF33))*(1-Time!CF20)</f>
        <v/>
      </c>
      <c r="CG35" s="19">
        <f>MIN(Debt!CG100,MAX(0,CG33))*(1-Time!CG20)</f>
        <v/>
      </c>
      <c r="CH35" s="19">
        <f>MIN(Debt!CH100,MAX(0,CH33))*(1-Time!CH20)</f>
        <v/>
      </c>
      <c r="CI35" s="19">
        <f>MIN(Debt!CI100,MAX(0,CI33))*(1-Time!CI20)</f>
        <v/>
      </c>
      <c r="CJ35" s="19">
        <f>MIN(Debt!CJ100,MAX(0,CJ33))*(1-Time!CJ20)</f>
        <v/>
      </c>
      <c r="CK35" s="19">
        <f>MIN(Debt!CK100,MAX(0,CK33))*(1-Time!CK20)</f>
        <v/>
      </c>
      <c r="CL35" s="19">
        <f>MIN(Debt!CL100,MAX(0,CL33))*(1-Time!CL20)</f>
        <v/>
      </c>
      <c r="CM35" s="19">
        <f>MIN(Debt!CM100,MAX(0,CM33))*(1-Time!CM20)</f>
        <v/>
      </c>
      <c r="CN35" s="19">
        <f>MIN(Debt!CN100,MAX(0,CN33))*(1-Time!CN20)</f>
        <v/>
      </c>
      <c r="CO35" s="19">
        <f>MIN(Debt!CO100,MAX(0,CO33))*(1-Time!CO20)</f>
        <v/>
      </c>
      <c r="CP35" s="19">
        <f>MIN(Debt!CP100,MAX(0,CP33))*(1-Time!CP20)</f>
        <v/>
      </c>
      <c r="CQ35" s="19">
        <f>MIN(Debt!CQ100,MAX(0,CQ33))*(1-Time!CQ20)</f>
        <v/>
      </c>
      <c r="CR35" s="19">
        <f>MIN(Debt!CR100,MAX(0,CR33))*(1-Time!CR20)</f>
        <v/>
      </c>
      <c r="CS35" s="19">
        <f>MIN(Debt!CS100,MAX(0,CS33))*(1-Time!CS20)</f>
        <v/>
      </c>
      <c r="CT35" s="19">
        <f>MIN(Debt!CT100,MAX(0,CT33))*(1-Time!CT20)</f>
        <v/>
      </c>
      <c r="CU35" s="19">
        <f>MIN(Debt!CU100,MAX(0,CU33))*(1-Time!CU20)</f>
        <v/>
      </c>
      <c r="CV35" s="19">
        <f>MIN(Debt!CV100,MAX(0,CV33))*(1-Time!CV20)</f>
        <v/>
      </c>
      <c r="CW35" s="19">
        <f>MIN(Debt!CW100,MAX(0,CW33))*(1-Time!CW20)</f>
        <v/>
      </c>
      <c r="CX35" s="19">
        <f>MIN(Debt!CX100,MAX(0,CX33))*(1-Time!CX20)</f>
        <v/>
      </c>
      <c r="CY35" s="19">
        <f>MIN(Debt!CY100,MAX(0,CY33))*(1-Time!CY20)</f>
        <v/>
      </c>
      <c r="CZ35" s="19">
        <f>MIN(Debt!CZ100,MAX(0,CZ33))*(1-Time!CZ20)</f>
        <v/>
      </c>
      <c r="DA35" s="19">
        <f>MIN(Debt!DA100,MAX(0,DA33))*(1-Time!DA20)</f>
        <v/>
      </c>
      <c r="DB35" s="19">
        <f>MIN(Debt!DB100,MAX(0,DB33))*(1-Time!DB20)</f>
        <v/>
      </c>
    </row>
    <row r="36">
      <c r="D36" t="inlineStr">
        <is>
          <t>Cash after NILO</t>
        </is>
      </c>
      <c r="E36" t="inlineStr">
        <is>
          <t>ARD m</t>
        </is>
      </c>
      <c r="J36" s="19">
        <f>J33-J35</f>
        <v/>
      </c>
      <c r="K36" s="19">
        <f>K33-K35</f>
        <v/>
      </c>
      <c r="L36" s="19">
        <f>L33-L35</f>
        <v/>
      </c>
      <c r="M36" s="19">
        <f>M33-M35</f>
        <v/>
      </c>
      <c r="N36" s="19">
        <f>N33-N35</f>
        <v/>
      </c>
      <c r="O36" s="19">
        <f>O33-O35</f>
        <v/>
      </c>
      <c r="P36" s="19">
        <f>P33-P35</f>
        <v/>
      </c>
      <c r="Q36" s="19">
        <f>Q33-Q35</f>
        <v/>
      </c>
      <c r="R36" s="19">
        <f>R33-R35</f>
        <v/>
      </c>
      <c r="S36" s="19">
        <f>S33-S35</f>
        <v/>
      </c>
      <c r="T36" s="19">
        <f>T33-T35</f>
        <v/>
      </c>
      <c r="U36" s="19">
        <f>U33-U35</f>
        <v/>
      </c>
      <c r="V36" s="19">
        <f>V33-V35</f>
        <v/>
      </c>
      <c r="W36" s="19">
        <f>W33-W35</f>
        <v/>
      </c>
      <c r="X36" s="19">
        <f>X33-X35</f>
        <v/>
      </c>
      <c r="Y36" s="19">
        <f>Y33-Y35</f>
        <v/>
      </c>
      <c r="Z36" s="19">
        <f>Z33-Z35</f>
        <v/>
      </c>
      <c r="AA36" s="19">
        <f>AA33-AA35</f>
        <v/>
      </c>
      <c r="AB36" s="19">
        <f>AB33-AB35</f>
        <v/>
      </c>
      <c r="AC36" s="19">
        <f>AC33-AC35</f>
        <v/>
      </c>
      <c r="AD36" s="19">
        <f>AD33-AD35</f>
        <v/>
      </c>
      <c r="AE36" s="19">
        <f>AE33-AE35</f>
        <v/>
      </c>
      <c r="AF36" s="19">
        <f>AF33-AF35</f>
        <v/>
      </c>
      <c r="AG36" s="19">
        <f>AG33-AG35</f>
        <v/>
      </c>
      <c r="AH36" s="19">
        <f>AH33-AH35</f>
        <v/>
      </c>
      <c r="AI36" s="19">
        <f>AI33-AI35</f>
        <v/>
      </c>
      <c r="AJ36" s="19">
        <f>AJ33-AJ35</f>
        <v/>
      </c>
      <c r="AK36" s="19">
        <f>AK33-AK35</f>
        <v/>
      </c>
      <c r="AL36" s="19">
        <f>AL33-AL35</f>
        <v/>
      </c>
      <c r="AM36" s="19">
        <f>AM33-AM35</f>
        <v/>
      </c>
      <c r="AN36" s="19">
        <f>AN33-AN35</f>
        <v/>
      </c>
      <c r="AO36" s="19">
        <f>AO33-AO35</f>
        <v/>
      </c>
      <c r="AP36" s="19">
        <f>AP33-AP35</f>
        <v/>
      </c>
      <c r="AQ36" s="19">
        <f>AQ33-AQ35</f>
        <v/>
      </c>
      <c r="AR36" s="19">
        <f>AR33-AR35</f>
        <v/>
      </c>
      <c r="AS36" s="19">
        <f>AS33-AS35</f>
        <v/>
      </c>
      <c r="AT36" s="19">
        <f>AT33-AT35</f>
        <v/>
      </c>
      <c r="AU36" s="19">
        <f>AU33-AU35</f>
        <v/>
      </c>
      <c r="AV36" s="19">
        <f>AV33-AV35</f>
        <v/>
      </c>
      <c r="AW36" s="19">
        <f>AW33-AW35</f>
        <v/>
      </c>
      <c r="AX36" s="19">
        <f>AX33-AX35</f>
        <v/>
      </c>
      <c r="AY36" s="19">
        <f>AY33-AY35</f>
        <v/>
      </c>
      <c r="AZ36" s="19">
        <f>AZ33-AZ35</f>
        <v/>
      </c>
      <c r="BA36" s="19">
        <f>BA33-BA35</f>
        <v/>
      </c>
      <c r="BB36" s="19">
        <f>BB33-BB35</f>
        <v/>
      </c>
      <c r="BC36" s="19">
        <f>BC33-BC35</f>
        <v/>
      </c>
      <c r="BD36" s="19">
        <f>BD33-BD35</f>
        <v/>
      </c>
      <c r="BE36" s="19">
        <f>BE33-BE35</f>
        <v/>
      </c>
      <c r="BF36" s="19">
        <f>BF33-BF35</f>
        <v/>
      </c>
      <c r="BG36" s="19">
        <f>BG33-BG35</f>
        <v/>
      </c>
      <c r="BH36" s="19">
        <f>BH33-BH35</f>
        <v/>
      </c>
      <c r="BI36" s="19">
        <f>BI33-BI35</f>
        <v/>
      </c>
      <c r="BJ36" s="19">
        <f>BJ33-BJ35</f>
        <v/>
      </c>
      <c r="BK36" s="19">
        <f>BK33-BK35</f>
        <v/>
      </c>
      <c r="BL36" s="19">
        <f>BL33-BL35</f>
        <v/>
      </c>
      <c r="BM36" s="19">
        <f>BM33-BM35</f>
        <v/>
      </c>
      <c r="BN36" s="19">
        <f>BN33-BN35</f>
        <v/>
      </c>
      <c r="BO36" s="19">
        <f>BO33-BO35</f>
        <v/>
      </c>
      <c r="BP36" s="19">
        <f>BP33-BP35</f>
        <v/>
      </c>
      <c r="BQ36" s="19">
        <f>BQ33-BQ35</f>
        <v/>
      </c>
      <c r="BR36" s="19">
        <f>BR33-BR35</f>
        <v/>
      </c>
      <c r="BS36" s="19">
        <f>BS33-BS35</f>
        <v/>
      </c>
      <c r="BT36" s="19">
        <f>BT33-BT35</f>
        <v/>
      </c>
      <c r="BU36" s="19">
        <f>BU33-BU35</f>
        <v/>
      </c>
      <c r="BV36" s="19">
        <f>BV33-BV35</f>
        <v/>
      </c>
      <c r="BW36" s="19">
        <f>BW33-BW35</f>
        <v/>
      </c>
      <c r="BX36" s="19">
        <f>BX33-BX35</f>
        <v/>
      </c>
      <c r="BY36" s="19">
        <f>BY33-BY35</f>
        <v/>
      </c>
      <c r="BZ36" s="19">
        <f>BZ33-BZ35</f>
        <v/>
      </c>
      <c r="CA36" s="19">
        <f>CA33-CA35</f>
        <v/>
      </c>
      <c r="CB36" s="19">
        <f>CB33-CB35</f>
        <v/>
      </c>
      <c r="CC36" s="19">
        <f>CC33-CC35</f>
        <v/>
      </c>
      <c r="CD36" s="19">
        <f>CD33-CD35</f>
        <v/>
      </c>
      <c r="CE36" s="19">
        <f>CE33-CE35</f>
        <v/>
      </c>
      <c r="CF36" s="19">
        <f>CF33-CF35</f>
        <v/>
      </c>
      <c r="CG36" s="19">
        <f>CG33-CG35</f>
        <v/>
      </c>
      <c r="CH36" s="19">
        <f>CH33-CH35</f>
        <v/>
      </c>
      <c r="CI36" s="19">
        <f>CI33-CI35</f>
        <v/>
      </c>
      <c r="CJ36" s="19">
        <f>CJ33-CJ35</f>
        <v/>
      </c>
      <c r="CK36" s="19">
        <f>CK33-CK35</f>
        <v/>
      </c>
      <c r="CL36" s="19">
        <f>CL33-CL35</f>
        <v/>
      </c>
      <c r="CM36" s="19">
        <f>CM33-CM35</f>
        <v/>
      </c>
      <c r="CN36" s="19">
        <f>CN33-CN35</f>
        <v/>
      </c>
      <c r="CO36" s="19">
        <f>CO33-CO35</f>
        <v/>
      </c>
      <c r="CP36" s="19">
        <f>CP33-CP35</f>
        <v/>
      </c>
      <c r="CQ36" s="19">
        <f>CQ33-CQ35</f>
        <v/>
      </c>
      <c r="CR36" s="19">
        <f>CR33-CR35</f>
        <v/>
      </c>
      <c r="CS36" s="19">
        <f>CS33-CS35</f>
        <v/>
      </c>
      <c r="CT36" s="19">
        <f>CT33-CT35</f>
        <v/>
      </c>
      <c r="CU36" s="19">
        <f>CU33-CU35</f>
        <v/>
      </c>
      <c r="CV36" s="19">
        <f>CV33-CV35</f>
        <v/>
      </c>
      <c r="CW36" s="19">
        <f>CW33-CW35</f>
        <v/>
      </c>
      <c r="CX36" s="19">
        <f>CX33-CX35</f>
        <v/>
      </c>
      <c r="CY36" s="19">
        <f>CY33-CY35</f>
        <v/>
      </c>
      <c r="CZ36" s="19">
        <f>CZ33-CZ35</f>
        <v/>
      </c>
      <c r="DA36" s="19">
        <f>DA33-DA35</f>
        <v/>
      </c>
      <c r="DB36" s="19">
        <f>DB33-DB35</f>
        <v/>
      </c>
    </row>
    <row r="37">
      <c r="D37" s="3" t="inlineStr">
        <is>
          <t>5. Notes cash sweep (50% to 2030)</t>
        </is>
      </c>
    </row>
    <row r="38">
      <c r="D38" t="inlineStr">
        <is>
          <t>Notes cash sweep</t>
        </is>
      </c>
      <c r="E38" t="inlineStr">
        <is>
          <t>ARD m</t>
        </is>
      </c>
      <c r="G38" s="19">
        <f>SUM(J38:DB38)</f>
        <v/>
      </c>
      <c r="J38" s="19">
        <f>Time!J38*MIN(Inputs!$F$169*MAX(0,J36),Debt!J93-J22)</f>
        <v/>
      </c>
      <c r="K38" s="19">
        <f>Time!K38*MIN(Inputs!$F$169*MAX(0,K36),Debt!K93-K22)</f>
        <v/>
      </c>
      <c r="L38" s="19">
        <f>Time!L38*MIN(Inputs!$F$169*MAX(0,L36),Debt!L93-L22)</f>
        <v/>
      </c>
      <c r="M38" s="19">
        <f>Time!M38*MIN(Inputs!$F$169*MAX(0,M36),Debt!M93-M22)</f>
        <v/>
      </c>
      <c r="N38" s="19">
        <f>Time!N38*MIN(Inputs!$F$169*MAX(0,N36),Debt!N93-N22)</f>
        <v/>
      </c>
      <c r="O38" s="19">
        <f>Time!O38*MIN(Inputs!$F$169*MAX(0,O36),Debt!O93-O22)</f>
        <v/>
      </c>
      <c r="P38" s="19">
        <f>Time!P38*MIN(Inputs!$F$169*MAX(0,P36),Debt!P93-P22)</f>
        <v/>
      </c>
      <c r="Q38" s="19">
        <f>Time!Q38*MIN(Inputs!$F$169*MAX(0,Q36),Debt!Q93-Q22)</f>
        <v/>
      </c>
      <c r="R38" s="19">
        <f>Time!R38*MIN(Inputs!$F$169*MAX(0,R36),Debt!R93-R22)</f>
        <v/>
      </c>
      <c r="S38" s="19">
        <f>Time!S38*MIN(Inputs!$F$169*MAX(0,S36),Debt!S93-S22)</f>
        <v/>
      </c>
      <c r="T38" s="19">
        <f>Time!T38*MIN(Inputs!$F$169*MAX(0,T36),Debt!T93-T22)</f>
        <v/>
      </c>
      <c r="U38" s="19">
        <f>Time!U38*MIN(Inputs!$F$169*MAX(0,U36),Debt!U93-U22)</f>
        <v/>
      </c>
      <c r="V38" s="19">
        <f>Time!V38*MIN(Inputs!$F$169*MAX(0,V36),Debt!V93-V22)</f>
        <v/>
      </c>
      <c r="W38" s="19">
        <f>Time!W38*MIN(Inputs!$F$169*MAX(0,W36),Debt!W93-W22)</f>
        <v/>
      </c>
      <c r="X38" s="19">
        <f>Time!X38*MIN(Inputs!$F$169*MAX(0,X36),Debt!X93-X22)</f>
        <v/>
      </c>
      <c r="Y38" s="19">
        <f>Time!Y38*MIN(Inputs!$F$169*MAX(0,Y36),Debt!Y93-Y22)</f>
        <v/>
      </c>
      <c r="Z38" s="19">
        <f>Time!Z38*MIN(Inputs!$F$169*MAX(0,Z36),Debt!Z93-Z22)</f>
        <v/>
      </c>
      <c r="AA38" s="19">
        <f>Time!AA38*MIN(Inputs!$F$169*MAX(0,AA36),Debt!AA93-AA22)</f>
        <v/>
      </c>
      <c r="AB38" s="19">
        <f>Time!AB38*MIN(Inputs!$F$169*MAX(0,AB36),Debt!AB93-AB22)</f>
        <v/>
      </c>
      <c r="AC38" s="19">
        <f>Time!AC38*MIN(Inputs!$F$169*MAX(0,AC36),Debt!AC93-AC22)</f>
        <v/>
      </c>
      <c r="AD38" s="19">
        <f>Time!AD38*MIN(Inputs!$F$169*MAX(0,AD36),Debt!AD93-AD22)</f>
        <v/>
      </c>
      <c r="AE38" s="19">
        <f>Time!AE38*MIN(Inputs!$F$169*MAX(0,AE36),Debt!AE93-AE22)</f>
        <v/>
      </c>
      <c r="AF38" s="19">
        <f>Time!AF38*MIN(Inputs!$F$169*MAX(0,AF36),Debt!AF93-AF22)</f>
        <v/>
      </c>
      <c r="AG38" s="19">
        <f>Time!AG38*MIN(Inputs!$F$169*MAX(0,AG36),Debt!AG93-AG22)</f>
        <v/>
      </c>
      <c r="AH38" s="19">
        <f>Time!AH38*MIN(Inputs!$F$169*MAX(0,AH36),Debt!AH93-AH22)</f>
        <v/>
      </c>
      <c r="AI38" s="19">
        <f>Time!AI38*MIN(Inputs!$F$169*MAX(0,AI36),Debt!AI93-AI22)</f>
        <v/>
      </c>
      <c r="AJ38" s="19">
        <f>Time!AJ38*MIN(Inputs!$F$169*MAX(0,AJ36),Debt!AJ93-AJ22)</f>
        <v/>
      </c>
      <c r="AK38" s="19">
        <f>Time!AK38*MIN(Inputs!$F$169*MAX(0,AK36),Debt!AK93-AK22)</f>
        <v/>
      </c>
      <c r="AL38" s="19">
        <f>Time!AL38*MIN(Inputs!$F$169*MAX(0,AL36),Debt!AL93-AL22)</f>
        <v/>
      </c>
      <c r="AM38" s="19">
        <f>Time!AM38*MIN(Inputs!$F$169*MAX(0,AM36),Debt!AM93-AM22)</f>
        <v/>
      </c>
      <c r="AN38" s="19">
        <f>Time!AN38*MIN(Inputs!$F$169*MAX(0,AN36),Debt!AN93-AN22)</f>
        <v/>
      </c>
      <c r="AO38" s="19">
        <f>Time!AO38*MIN(Inputs!$F$169*MAX(0,AO36),Debt!AO93-AO22)</f>
        <v/>
      </c>
      <c r="AP38" s="19">
        <f>Time!AP38*MIN(Inputs!$F$169*MAX(0,AP36),Debt!AP93-AP22)</f>
        <v/>
      </c>
      <c r="AQ38" s="19">
        <f>Time!AQ38*MIN(Inputs!$F$169*MAX(0,AQ36),Debt!AQ93-AQ22)</f>
        <v/>
      </c>
      <c r="AR38" s="19">
        <f>Time!AR38*MIN(Inputs!$F$169*MAX(0,AR36),Debt!AR93-AR22)</f>
        <v/>
      </c>
      <c r="AS38" s="19">
        <f>Time!AS38*MIN(Inputs!$F$169*MAX(0,AS36),Debt!AS93-AS22)</f>
        <v/>
      </c>
      <c r="AT38" s="19">
        <f>Time!AT38*MIN(Inputs!$F$169*MAX(0,AT36),Debt!AT93-AT22)</f>
        <v/>
      </c>
      <c r="AU38" s="19">
        <f>Time!AU38*MIN(Inputs!$F$169*MAX(0,AU36),Debt!AU93-AU22)</f>
        <v/>
      </c>
      <c r="AV38" s="19">
        <f>Time!AV38*MIN(Inputs!$F$169*MAX(0,AV36),Debt!AV93-AV22)</f>
        <v/>
      </c>
      <c r="AW38" s="19">
        <f>Time!AW38*MIN(Inputs!$F$169*MAX(0,AW36),Debt!AW93-AW22)</f>
        <v/>
      </c>
      <c r="AX38" s="19">
        <f>Time!AX38*MIN(Inputs!$F$169*MAX(0,AX36),Debt!AX93-AX22)</f>
        <v/>
      </c>
      <c r="AY38" s="19">
        <f>Time!AY38*MIN(Inputs!$F$169*MAX(0,AY36),Debt!AY93-AY22)</f>
        <v/>
      </c>
      <c r="AZ38" s="19">
        <f>Time!AZ38*MIN(Inputs!$F$169*MAX(0,AZ36),Debt!AZ93-AZ22)</f>
        <v/>
      </c>
      <c r="BA38" s="19">
        <f>Time!BA38*MIN(Inputs!$F$169*MAX(0,BA36),Debt!BA93-BA22)</f>
        <v/>
      </c>
      <c r="BB38" s="19">
        <f>Time!BB38*MIN(Inputs!$F$169*MAX(0,BB36),Debt!BB93-BB22)</f>
        <v/>
      </c>
      <c r="BC38" s="19">
        <f>Time!BC38*MIN(Inputs!$F$169*MAX(0,BC36),Debt!BC93-BC22)</f>
        <v/>
      </c>
      <c r="BD38" s="19">
        <f>Time!BD38*MIN(Inputs!$F$169*MAX(0,BD36),Debt!BD93-BD22)</f>
        <v/>
      </c>
      <c r="BE38" s="19">
        <f>Time!BE38*MIN(Inputs!$F$169*MAX(0,BE36),Debt!BE93-BE22)</f>
        <v/>
      </c>
      <c r="BF38" s="19">
        <f>Time!BF38*MIN(Inputs!$F$169*MAX(0,BF36),Debt!BF93-BF22)</f>
        <v/>
      </c>
      <c r="BG38" s="19">
        <f>Time!BG38*MIN(Inputs!$F$169*MAX(0,BG36),Debt!BG93-BG22)</f>
        <v/>
      </c>
      <c r="BH38" s="19">
        <f>Time!BH38*MIN(Inputs!$F$169*MAX(0,BH36),Debt!BH93-BH22)</f>
        <v/>
      </c>
      <c r="BI38" s="19">
        <f>Time!BI38*MIN(Inputs!$F$169*MAX(0,BI36),Debt!BI93-BI22)</f>
        <v/>
      </c>
      <c r="BJ38" s="19">
        <f>Time!BJ38*MIN(Inputs!$F$169*MAX(0,BJ36),Debt!BJ93-BJ22)</f>
        <v/>
      </c>
      <c r="BK38" s="19">
        <f>Time!BK38*MIN(Inputs!$F$169*MAX(0,BK36),Debt!BK93-BK22)</f>
        <v/>
      </c>
      <c r="BL38" s="19">
        <f>Time!BL38*MIN(Inputs!$F$169*MAX(0,BL36),Debt!BL93-BL22)</f>
        <v/>
      </c>
      <c r="BM38" s="19">
        <f>Time!BM38*MIN(Inputs!$F$169*MAX(0,BM36),Debt!BM93-BM22)</f>
        <v/>
      </c>
      <c r="BN38" s="19">
        <f>Time!BN38*MIN(Inputs!$F$169*MAX(0,BN36),Debt!BN93-BN22)</f>
        <v/>
      </c>
      <c r="BO38" s="19">
        <f>Time!BO38*MIN(Inputs!$F$169*MAX(0,BO36),Debt!BO93-BO22)</f>
        <v/>
      </c>
      <c r="BP38" s="19">
        <f>Time!BP38*MIN(Inputs!$F$169*MAX(0,BP36),Debt!BP93-BP22)</f>
        <v/>
      </c>
      <c r="BQ38" s="19">
        <f>Time!BQ38*MIN(Inputs!$F$169*MAX(0,BQ36),Debt!BQ93-BQ22)</f>
        <v/>
      </c>
      <c r="BR38" s="19">
        <f>Time!BR38*MIN(Inputs!$F$169*MAX(0,BR36),Debt!BR93-BR22)</f>
        <v/>
      </c>
      <c r="BS38" s="19">
        <f>Time!BS38*MIN(Inputs!$F$169*MAX(0,BS36),Debt!BS93-BS22)</f>
        <v/>
      </c>
      <c r="BT38" s="19">
        <f>Time!BT38*MIN(Inputs!$F$169*MAX(0,BT36),Debt!BT93-BT22)</f>
        <v/>
      </c>
      <c r="BU38" s="19">
        <f>Time!BU38*MIN(Inputs!$F$169*MAX(0,BU36),Debt!BU93-BU22)</f>
        <v/>
      </c>
      <c r="BV38" s="19">
        <f>Time!BV38*MIN(Inputs!$F$169*MAX(0,BV36),Debt!BV93-BV22)</f>
        <v/>
      </c>
      <c r="BW38" s="19">
        <f>Time!BW38*MIN(Inputs!$F$169*MAX(0,BW36),Debt!BW93-BW22)</f>
        <v/>
      </c>
      <c r="BX38" s="19">
        <f>Time!BX38*MIN(Inputs!$F$169*MAX(0,BX36),Debt!BX93-BX22)</f>
        <v/>
      </c>
      <c r="BY38" s="19">
        <f>Time!BY38*MIN(Inputs!$F$169*MAX(0,BY36),Debt!BY93-BY22)</f>
        <v/>
      </c>
      <c r="BZ38" s="19">
        <f>Time!BZ38*MIN(Inputs!$F$169*MAX(0,BZ36),Debt!BZ93-BZ22)</f>
        <v/>
      </c>
      <c r="CA38" s="19">
        <f>Time!CA38*MIN(Inputs!$F$169*MAX(0,CA36),Debt!CA93-CA22)</f>
        <v/>
      </c>
      <c r="CB38" s="19">
        <f>Time!CB38*MIN(Inputs!$F$169*MAX(0,CB36),Debt!CB93-CB22)</f>
        <v/>
      </c>
      <c r="CC38" s="19">
        <f>Time!CC38*MIN(Inputs!$F$169*MAX(0,CC36),Debt!CC93-CC22)</f>
        <v/>
      </c>
      <c r="CD38" s="19">
        <f>Time!CD38*MIN(Inputs!$F$169*MAX(0,CD36),Debt!CD93-CD22)</f>
        <v/>
      </c>
      <c r="CE38" s="19">
        <f>Time!CE38*MIN(Inputs!$F$169*MAX(0,CE36),Debt!CE93-CE22)</f>
        <v/>
      </c>
      <c r="CF38" s="19">
        <f>Time!CF38*MIN(Inputs!$F$169*MAX(0,CF36),Debt!CF93-CF22)</f>
        <v/>
      </c>
      <c r="CG38" s="19">
        <f>Time!CG38*MIN(Inputs!$F$169*MAX(0,CG36),Debt!CG93-CG22)</f>
        <v/>
      </c>
      <c r="CH38" s="19">
        <f>Time!CH38*MIN(Inputs!$F$169*MAX(0,CH36),Debt!CH93-CH22)</f>
        <v/>
      </c>
      <c r="CI38" s="19">
        <f>Time!CI38*MIN(Inputs!$F$169*MAX(0,CI36),Debt!CI93-CI22)</f>
        <v/>
      </c>
      <c r="CJ38" s="19">
        <f>Time!CJ38*MIN(Inputs!$F$169*MAX(0,CJ36),Debt!CJ93-CJ22)</f>
        <v/>
      </c>
      <c r="CK38" s="19">
        <f>Time!CK38*MIN(Inputs!$F$169*MAX(0,CK36),Debt!CK93-CK22)</f>
        <v/>
      </c>
      <c r="CL38" s="19">
        <f>Time!CL38*MIN(Inputs!$F$169*MAX(0,CL36),Debt!CL93-CL22)</f>
        <v/>
      </c>
      <c r="CM38" s="19">
        <f>Time!CM38*MIN(Inputs!$F$169*MAX(0,CM36),Debt!CM93-CM22)</f>
        <v/>
      </c>
      <c r="CN38" s="19">
        <f>Time!CN38*MIN(Inputs!$F$169*MAX(0,CN36),Debt!CN93-CN22)</f>
        <v/>
      </c>
      <c r="CO38" s="19">
        <f>Time!CO38*MIN(Inputs!$F$169*MAX(0,CO36),Debt!CO93-CO22)</f>
        <v/>
      </c>
      <c r="CP38" s="19">
        <f>Time!CP38*MIN(Inputs!$F$169*MAX(0,CP36),Debt!CP93-CP22)</f>
        <v/>
      </c>
      <c r="CQ38" s="19">
        <f>Time!CQ38*MIN(Inputs!$F$169*MAX(0,CQ36),Debt!CQ93-CQ22)</f>
        <v/>
      </c>
      <c r="CR38" s="19">
        <f>Time!CR38*MIN(Inputs!$F$169*MAX(0,CR36),Debt!CR93-CR22)</f>
        <v/>
      </c>
      <c r="CS38" s="19">
        <f>Time!CS38*MIN(Inputs!$F$169*MAX(0,CS36),Debt!CS93-CS22)</f>
        <v/>
      </c>
      <c r="CT38" s="19">
        <f>Time!CT38*MIN(Inputs!$F$169*MAX(0,CT36),Debt!CT93-CT22)</f>
        <v/>
      </c>
      <c r="CU38" s="19">
        <f>Time!CU38*MIN(Inputs!$F$169*MAX(0,CU36),Debt!CU93-CU22)</f>
        <v/>
      </c>
      <c r="CV38" s="19">
        <f>Time!CV38*MIN(Inputs!$F$169*MAX(0,CV36),Debt!CV93-CV22)</f>
        <v/>
      </c>
      <c r="CW38" s="19">
        <f>Time!CW38*MIN(Inputs!$F$169*MAX(0,CW36),Debt!CW93-CW22)</f>
        <v/>
      </c>
      <c r="CX38" s="19">
        <f>Time!CX38*MIN(Inputs!$F$169*MAX(0,CX36),Debt!CX93-CX22)</f>
        <v/>
      </c>
      <c r="CY38" s="19">
        <f>Time!CY38*MIN(Inputs!$F$169*MAX(0,CY36),Debt!CY93-CY22)</f>
        <v/>
      </c>
      <c r="CZ38" s="19">
        <f>Time!CZ38*MIN(Inputs!$F$169*MAX(0,CZ36),Debt!CZ93-CZ22)</f>
        <v/>
      </c>
      <c r="DA38" s="19">
        <f>Time!DA38*MIN(Inputs!$F$169*MAX(0,DA36),Debt!DA93-DA22)</f>
        <v/>
      </c>
      <c r="DB38" s="19">
        <f>Time!DB38*MIN(Inputs!$F$169*MAX(0,DB36),Debt!DB93-DB22)</f>
        <v/>
      </c>
    </row>
    <row r="39">
      <c r="D39" t="inlineStr">
        <is>
          <t>Cash available for distribution</t>
        </is>
      </c>
      <c r="E39" t="inlineStr">
        <is>
          <t>ARD m</t>
        </is>
      </c>
      <c r="J39" s="19">
        <f>J36-J38</f>
        <v/>
      </c>
      <c r="K39" s="19">
        <f>K36-K38</f>
        <v/>
      </c>
      <c r="L39" s="19">
        <f>L36-L38</f>
        <v/>
      </c>
      <c r="M39" s="19">
        <f>M36-M38</f>
        <v/>
      </c>
      <c r="N39" s="19">
        <f>N36-N38</f>
        <v/>
      </c>
      <c r="O39" s="19">
        <f>O36-O38</f>
        <v/>
      </c>
      <c r="P39" s="19">
        <f>P36-P38</f>
        <v/>
      </c>
      <c r="Q39" s="19">
        <f>Q36-Q38</f>
        <v/>
      </c>
      <c r="R39" s="19">
        <f>R36-R38</f>
        <v/>
      </c>
      <c r="S39" s="19">
        <f>S36-S38</f>
        <v/>
      </c>
      <c r="T39" s="19">
        <f>T36-T38</f>
        <v/>
      </c>
      <c r="U39" s="19">
        <f>U36-U38</f>
        <v/>
      </c>
      <c r="V39" s="19">
        <f>V36-V38</f>
        <v/>
      </c>
      <c r="W39" s="19">
        <f>W36-W38</f>
        <v/>
      </c>
      <c r="X39" s="19">
        <f>X36-X38</f>
        <v/>
      </c>
      <c r="Y39" s="19">
        <f>Y36-Y38</f>
        <v/>
      </c>
      <c r="Z39" s="19">
        <f>Z36-Z38</f>
        <v/>
      </c>
      <c r="AA39" s="19">
        <f>AA36-AA38</f>
        <v/>
      </c>
      <c r="AB39" s="19">
        <f>AB36-AB38</f>
        <v/>
      </c>
      <c r="AC39" s="19">
        <f>AC36-AC38</f>
        <v/>
      </c>
      <c r="AD39" s="19">
        <f>AD36-AD38</f>
        <v/>
      </c>
      <c r="AE39" s="19">
        <f>AE36-AE38</f>
        <v/>
      </c>
      <c r="AF39" s="19">
        <f>AF36-AF38</f>
        <v/>
      </c>
      <c r="AG39" s="19">
        <f>AG36-AG38</f>
        <v/>
      </c>
      <c r="AH39" s="19">
        <f>AH36-AH38</f>
        <v/>
      </c>
      <c r="AI39" s="19">
        <f>AI36-AI38</f>
        <v/>
      </c>
      <c r="AJ39" s="19">
        <f>AJ36-AJ38</f>
        <v/>
      </c>
      <c r="AK39" s="19">
        <f>AK36-AK38</f>
        <v/>
      </c>
      <c r="AL39" s="19">
        <f>AL36-AL38</f>
        <v/>
      </c>
      <c r="AM39" s="19">
        <f>AM36-AM38</f>
        <v/>
      </c>
      <c r="AN39" s="19">
        <f>AN36-AN38</f>
        <v/>
      </c>
      <c r="AO39" s="19">
        <f>AO36-AO38</f>
        <v/>
      </c>
      <c r="AP39" s="19">
        <f>AP36-AP38</f>
        <v/>
      </c>
      <c r="AQ39" s="19">
        <f>AQ36-AQ38</f>
        <v/>
      </c>
      <c r="AR39" s="19">
        <f>AR36-AR38</f>
        <v/>
      </c>
      <c r="AS39" s="19">
        <f>AS36-AS38</f>
        <v/>
      </c>
      <c r="AT39" s="19">
        <f>AT36-AT38</f>
        <v/>
      </c>
      <c r="AU39" s="19">
        <f>AU36-AU38</f>
        <v/>
      </c>
      <c r="AV39" s="19">
        <f>AV36-AV38</f>
        <v/>
      </c>
      <c r="AW39" s="19">
        <f>AW36-AW38</f>
        <v/>
      </c>
      <c r="AX39" s="19">
        <f>AX36-AX38</f>
        <v/>
      </c>
      <c r="AY39" s="19">
        <f>AY36-AY38</f>
        <v/>
      </c>
      <c r="AZ39" s="19">
        <f>AZ36-AZ38</f>
        <v/>
      </c>
      <c r="BA39" s="19">
        <f>BA36-BA38</f>
        <v/>
      </c>
      <c r="BB39" s="19">
        <f>BB36-BB38</f>
        <v/>
      </c>
      <c r="BC39" s="19">
        <f>BC36-BC38</f>
        <v/>
      </c>
      <c r="BD39" s="19">
        <f>BD36-BD38</f>
        <v/>
      </c>
      <c r="BE39" s="19">
        <f>BE36-BE38</f>
        <v/>
      </c>
      <c r="BF39" s="19">
        <f>BF36-BF38</f>
        <v/>
      </c>
      <c r="BG39" s="19">
        <f>BG36-BG38</f>
        <v/>
      </c>
      <c r="BH39" s="19">
        <f>BH36-BH38</f>
        <v/>
      </c>
      <c r="BI39" s="19">
        <f>BI36-BI38</f>
        <v/>
      </c>
      <c r="BJ39" s="19">
        <f>BJ36-BJ38</f>
        <v/>
      </c>
      <c r="BK39" s="19">
        <f>BK36-BK38</f>
        <v/>
      </c>
      <c r="BL39" s="19">
        <f>BL36-BL38</f>
        <v/>
      </c>
      <c r="BM39" s="19">
        <f>BM36-BM38</f>
        <v/>
      </c>
      <c r="BN39" s="19">
        <f>BN36-BN38</f>
        <v/>
      </c>
      <c r="BO39" s="19">
        <f>BO36-BO38</f>
        <v/>
      </c>
      <c r="BP39" s="19">
        <f>BP36-BP38</f>
        <v/>
      </c>
      <c r="BQ39" s="19">
        <f>BQ36-BQ38</f>
        <v/>
      </c>
      <c r="BR39" s="19">
        <f>BR36-BR38</f>
        <v/>
      </c>
      <c r="BS39" s="19">
        <f>BS36-BS38</f>
        <v/>
      </c>
      <c r="BT39" s="19">
        <f>BT36-BT38</f>
        <v/>
      </c>
      <c r="BU39" s="19">
        <f>BU36-BU38</f>
        <v/>
      </c>
      <c r="BV39" s="19">
        <f>BV36-BV38</f>
        <v/>
      </c>
      <c r="BW39" s="19">
        <f>BW36-BW38</f>
        <v/>
      </c>
      <c r="BX39" s="19">
        <f>BX36-BX38</f>
        <v/>
      </c>
      <c r="BY39" s="19">
        <f>BY36-BY38</f>
        <v/>
      </c>
      <c r="BZ39" s="19">
        <f>BZ36-BZ38</f>
        <v/>
      </c>
      <c r="CA39" s="19">
        <f>CA36-CA38</f>
        <v/>
      </c>
      <c r="CB39" s="19">
        <f>CB36-CB38</f>
        <v/>
      </c>
      <c r="CC39" s="19">
        <f>CC36-CC38</f>
        <v/>
      </c>
      <c r="CD39" s="19">
        <f>CD36-CD38</f>
        <v/>
      </c>
      <c r="CE39" s="19">
        <f>CE36-CE38</f>
        <v/>
      </c>
      <c r="CF39" s="19">
        <f>CF36-CF38</f>
        <v/>
      </c>
      <c r="CG39" s="19">
        <f>CG36-CG38</f>
        <v/>
      </c>
      <c r="CH39" s="19">
        <f>CH36-CH38</f>
        <v/>
      </c>
      <c r="CI39" s="19">
        <f>CI36-CI38</f>
        <v/>
      </c>
      <c r="CJ39" s="19">
        <f>CJ36-CJ38</f>
        <v/>
      </c>
      <c r="CK39" s="19">
        <f>CK36-CK38</f>
        <v/>
      </c>
      <c r="CL39" s="19">
        <f>CL36-CL38</f>
        <v/>
      </c>
      <c r="CM39" s="19">
        <f>CM36-CM38</f>
        <v/>
      </c>
      <c r="CN39" s="19">
        <f>CN36-CN38</f>
        <v/>
      </c>
      <c r="CO39" s="19">
        <f>CO36-CO38</f>
        <v/>
      </c>
      <c r="CP39" s="19">
        <f>CP36-CP38</f>
        <v/>
      </c>
      <c r="CQ39" s="19">
        <f>CQ36-CQ38</f>
        <v/>
      </c>
      <c r="CR39" s="19">
        <f>CR36-CR38</f>
        <v/>
      </c>
      <c r="CS39" s="19">
        <f>CS36-CS38</f>
        <v/>
      </c>
      <c r="CT39" s="19">
        <f>CT36-CT38</f>
        <v/>
      </c>
      <c r="CU39" s="19">
        <f>CU36-CU38</f>
        <v/>
      </c>
      <c r="CV39" s="19">
        <f>CV36-CV38</f>
        <v/>
      </c>
      <c r="CW39" s="19">
        <f>CW36-CW38</f>
        <v/>
      </c>
      <c r="CX39" s="19">
        <f>CX36-CX38</f>
        <v/>
      </c>
      <c r="CY39" s="19">
        <f>CY36-CY38</f>
        <v/>
      </c>
      <c r="CZ39" s="19">
        <f>CZ36-CZ38</f>
        <v/>
      </c>
      <c r="DA39" s="19">
        <f>DA36-DA38</f>
        <v/>
      </c>
      <c r="DB39" s="19">
        <f>DB36-DB38</f>
        <v/>
      </c>
    </row>
    <row r="40">
      <c r="D40" s="3" t="inlineStr">
        <is>
          <t>6. Distribution tests</t>
        </is>
      </c>
    </row>
    <row r="41">
      <c r="D41" t="inlineStr">
        <is>
          <t>Senior DSCR, period</t>
        </is>
      </c>
      <c r="E41" t="inlineStr">
        <is>
          <t>x</t>
        </is>
      </c>
      <c r="J41" s="31">
        <f>IF(Debt!J68&gt;Inputs!$F$9,J7/Debt!J68,0)</f>
        <v/>
      </c>
      <c r="K41" s="31">
        <f>IF(Debt!K68&gt;Inputs!$F$9,K7/Debt!K68,0)</f>
        <v/>
      </c>
      <c r="L41" s="31">
        <f>IF(Debt!L68&gt;Inputs!$F$9,L7/Debt!L68,0)</f>
        <v/>
      </c>
      <c r="M41" s="31">
        <f>IF(Debt!M68&gt;Inputs!$F$9,M7/Debt!M68,0)</f>
        <v/>
      </c>
      <c r="N41" s="31">
        <f>IF(Debt!N68&gt;Inputs!$F$9,N7/Debt!N68,0)</f>
        <v/>
      </c>
      <c r="O41" s="31">
        <f>IF(Debt!O68&gt;Inputs!$F$9,O7/Debt!O68,0)</f>
        <v/>
      </c>
      <c r="P41" s="31">
        <f>IF(Debt!P68&gt;Inputs!$F$9,P7/Debt!P68,0)</f>
        <v/>
      </c>
      <c r="Q41" s="31">
        <f>IF(Debt!Q68&gt;Inputs!$F$9,Q7/Debt!Q68,0)</f>
        <v/>
      </c>
      <c r="R41" s="31">
        <f>IF(Debt!R68&gt;Inputs!$F$9,R7/Debt!R68,0)</f>
        <v/>
      </c>
      <c r="S41" s="31">
        <f>IF(Debt!S68&gt;Inputs!$F$9,S7/Debt!S68,0)</f>
        <v/>
      </c>
      <c r="T41" s="31">
        <f>IF(Debt!T68&gt;Inputs!$F$9,T7/Debt!T68,0)</f>
        <v/>
      </c>
      <c r="U41" s="31">
        <f>IF(Debt!U68&gt;Inputs!$F$9,U7/Debt!U68,0)</f>
        <v/>
      </c>
      <c r="V41" s="31">
        <f>IF(Debt!V68&gt;Inputs!$F$9,V7/Debt!V68,0)</f>
        <v/>
      </c>
      <c r="W41" s="31">
        <f>IF(Debt!W68&gt;Inputs!$F$9,W7/Debt!W68,0)</f>
        <v/>
      </c>
      <c r="X41" s="31">
        <f>IF(Debt!X68&gt;Inputs!$F$9,X7/Debt!X68,0)</f>
        <v/>
      </c>
      <c r="Y41" s="31">
        <f>IF(Debt!Y68&gt;Inputs!$F$9,Y7/Debt!Y68,0)</f>
        <v/>
      </c>
      <c r="Z41" s="31">
        <f>IF(Debt!Z68&gt;Inputs!$F$9,Z7/Debt!Z68,0)</f>
        <v/>
      </c>
      <c r="AA41" s="31">
        <f>IF(Debt!AA68&gt;Inputs!$F$9,AA7/Debt!AA68,0)</f>
        <v/>
      </c>
      <c r="AB41" s="31">
        <f>IF(Debt!AB68&gt;Inputs!$F$9,AB7/Debt!AB68,0)</f>
        <v/>
      </c>
      <c r="AC41" s="31">
        <f>IF(Debt!AC68&gt;Inputs!$F$9,AC7/Debt!AC68,0)</f>
        <v/>
      </c>
      <c r="AD41" s="31">
        <f>IF(Debt!AD68&gt;Inputs!$F$9,AD7/Debt!AD68,0)</f>
        <v/>
      </c>
      <c r="AE41" s="31">
        <f>IF(Debt!AE68&gt;Inputs!$F$9,AE7/Debt!AE68,0)</f>
        <v/>
      </c>
      <c r="AF41" s="31">
        <f>IF(Debt!AF68&gt;Inputs!$F$9,AF7/Debt!AF68,0)</f>
        <v/>
      </c>
      <c r="AG41" s="31">
        <f>IF(Debt!AG68&gt;Inputs!$F$9,AG7/Debt!AG68,0)</f>
        <v/>
      </c>
      <c r="AH41" s="31">
        <f>IF(Debt!AH68&gt;Inputs!$F$9,AH7/Debt!AH68,0)</f>
        <v/>
      </c>
      <c r="AI41" s="31">
        <f>IF(Debt!AI68&gt;Inputs!$F$9,AI7/Debt!AI68,0)</f>
        <v/>
      </c>
      <c r="AJ41" s="31">
        <f>IF(Debt!AJ68&gt;Inputs!$F$9,AJ7/Debt!AJ68,0)</f>
        <v/>
      </c>
      <c r="AK41" s="31">
        <f>IF(Debt!AK68&gt;Inputs!$F$9,AK7/Debt!AK68,0)</f>
        <v/>
      </c>
      <c r="AL41" s="31">
        <f>IF(Debt!AL68&gt;Inputs!$F$9,AL7/Debt!AL68,0)</f>
        <v/>
      </c>
      <c r="AM41" s="31">
        <f>IF(Debt!AM68&gt;Inputs!$F$9,AM7/Debt!AM68,0)</f>
        <v/>
      </c>
      <c r="AN41" s="31">
        <f>IF(Debt!AN68&gt;Inputs!$F$9,AN7/Debt!AN68,0)</f>
        <v/>
      </c>
      <c r="AO41" s="31">
        <f>IF(Debt!AO68&gt;Inputs!$F$9,AO7/Debt!AO68,0)</f>
        <v/>
      </c>
      <c r="AP41" s="31">
        <f>IF(Debt!AP68&gt;Inputs!$F$9,AP7/Debt!AP68,0)</f>
        <v/>
      </c>
      <c r="AQ41" s="31">
        <f>IF(Debt!AQ68&gt;Inputs!$F$9,AQ7/Debt!AQ68,0)</f>
        <v/>
      </c>
      <c r="AR41" s="31">
        <f>IF(Debt!AR68&gt;Inputs!$F$9,AR7/Debt!AR68,0)</f>
        <v/>
      </c>
      <c r="AS41" s="31">
        <f>IF(Debt!AS68&gt;Inputs!$F$9,AS7/Debt!AS68,0)</f>
        <v/>
      </c>
      <c r="AT41" s="31">
        <f>IF(Debt!AT68&gt;Inputs!$F$9,AT7/Debt!AT68,0)</f>
        <v/>
      </c>
      <c r="AU41" s="31">
        <f>IF(Debt!AU68&gt;Inputs!$F$9,AU7/Debt!AU68,0)</f>
        <v/>
      </c>
      <c r="AV41" s="31">
        <f>IF(Debt!AV68&gt;Inputs!$F$9,AV7/Debt!AV68,0)</f>
        <v/>
      </c>
      <c r="AW41" s="31">
        <f>IF(Debt!AW68&gt;Inputs!$F$9,AW7/Debt!AW68,0)</f>
        <v/>
      </c>
      <c r="AX41" s="31">
        <f>IF(Debt!AX68&gt;Inputs!$F$9,AX7/Debt!AX68,0)</f>
        <v/>
      </c>
      <c r="AY41" s="31">
        <f>IF(Debt!AY68&gt;Inputs!$F$9,AY7/Debt!AY68,0)</f>
        <v/>
      </c>
      <c r="AZ41" s="31">
        <f>IF(Debt!AZ68&gt;Inputs!$F$9,AZ7/Debt!AZ68,0)</f>
        <v/>
      </c>
      <c r="BA41" s="31">
        <f>IF(Debt!BA68&gt;Inputs!$F$9,BA7/Debt!BA68,0)</f>
        <v/>
      </c>
      <c r="BB41" s="31">
        <f>IF(Debt!BB68&gt;Inputs!$F$9,BB7/Debt!BB68,0)</f>
        <v/>
      </c>
      <c r="BC41" s="31">
        <f>IF(Debt!BC68&gt;Inputs!$F$9,BC7/Debt!BC68,0)</f>
        <v/>
      </c>
      <c r="BD41" s="31">
        <f>IF(Debt!BD68&gt;Inputs!$F$9,BD7/Debt!BD68,0)</f>
        <v/>
      </c>
      <c r="BE41" s="31">
        <f>IF(Debt!BE68&gt;Inputs!$F$9,BE7/Debt!BE68,0)</f>
        <v/>
      </c>
      <c r="BF41" s="31">
        <f>IF(Debt!BF68&gt;Inputs!$F$9,BF7/Debt!BF68,0)</f>
        <v/>
      </c>
      <c r="BG41" s="31">
        <f>IF(Debt!BG68&gt;Inputs!$F$9,BG7/Debt!BG68,0)</f>
        <v/>
      </c>
      <c r="BH41" s="31">
        <f>IF(Debt!BH68&gt;Inputs!$F$9,BH7/Debt!BH68,0)</f>
        <v/>
      </c>
      <c r="BI41" s="31">
        <f>IF(Debt!BI68&gt;Inputs!$F$9,BI7/Debt!BI68,0)</f>
        <v/>
      </c>
      <c r="BJ41" s="31">
        <f>IF(Debt!BJ68&gt;Inputs!$F$9,BJ7/Debt!BJ68,0)</f>
        <v/>
      </c>
      <c r="BK41" s="31">
        <f>IF(Debt!BK68&gt;Inputs!$F$9,BK7/Debt!BK68,0)</f>
        <v/>
      </c>
      <c r="BL41" s="31">
        <f>IF(Debt!BL68&gt;Inputs!$F$9,BL7/Debt!BL68,0)</f>
        <v/>
      </c>
      <c r="BM41" s="31">
        <f>IF(Debt!BM68&gt;Inputs!$F$9,BM7/Debt!BM68,0)</f>
        <v/>
      </c>
      <c r="BN41" s="31">
        <f>IF(Debt!BN68&gt;Inputs!$F$9,BN7/Debt!BN68,0)</f>
        <v/>
      </c>
      <c r="BO41" s="31">
        <f>IF(Debt!BO68&gt;Inputs!$F$9,BO7/Debt!BO68,0)</f>
        <v/>
      </c>
      <c r="BP41" s="31">
        <f>IF(Debt!BP68&gt;Inputs!$F$9,BP7/Debt!BP68,0)</f>
        <v/>
      </c>
      <c r="BQ41" s="31">
        <f>IF(Debt!BQ68&gt;Inputs!$F$9,BQ7/Debt!BQ68,0)</f>
        <v/>
      </c>
      <c r="BR41" s="31">
        <f>IF(Debt!BR68&gt;Inputs!$F$9,BR7/Debt!BR68,0)</f>
        <v/>
      </c>
      <c r="BS41" s="31">
        <f>IF(Debt!BS68&gt;Inputs!$F$9,BS7/Debt!BS68,0)</f>
        <v/>
      </c>
      <c r="BT41" s="31">
        <f>IF(Debt!BT68&gt;Inputs!$F$9,BT7/Debt!BT68,0)</f>
        <v/>
      </c>
      <c r="BU41" s="31">
        <f>IF(Debt!BU68&gt;Inputs!$F$9,BU7/Debt!BU68,0)</f>
        <v/>
      </c>
      <c r="BV41" s="31">
        <f>IF(Debt!BV68&gt;Inputs!$F$9,BV7/Debt!BV68,0)</f>
        <v/>
      </c>
      <c r="BW41" s="31">
        <f>IF(Debt!BW68&gt;Inputs!$F$9,BW7/Debt!BW68,0)</f>
        <v/>
      </c>
      <c r="BX41" s="31">
        <f>IF(Debt!BX68&gt;Inputs!$F$9,BX7/Debt!BX68,0)</f>
        <v/>
      </c>
      <c r="BY41" s="31">
        <f>IF(Debt!BY68&gt;Inputs!$F$9,BY7/Debt!BY68,0)</f>
        <v/>
      </c>
      <c r="BZ41" s="31">
        <f>IF(Debt!BZ68&gt;Inputs!$F$9,BZ7/Debt!BZ68,0)</f>
        <v/>
      </c>
      <c r="CA41" s="31">
        <f>IF(Debt!CA68&gt;Inputs!$F$9,CA7/Debt!CA68,0)</f>
        <v/>
      </c>
      <c r="CB41" s="31">
        <f>IF(Debt!CB68&gt;Inputs!$F$9,CB7/Debt!CB68,0)</f>
        <v/>
      </c>
      <c r="CC41" s="31">
        <f>IF(Debt!CC68&gt;Inputs!$F$9,CC7/Debt!CC68,0)</f>
        <v/>
      </c>
      <c r="CD41" s="31">
        <f>IF(Debt!CD68&gt;Inputs!$F$9,CD7/Debt!CD68,0)</f>
        <v/>
      </c>
      <c r="CE41" s="31">
        <f>IF(Debt!CE68&gt;Inputs!$F$9,CE7/Debt!CE68,0)</f>
        <v/>
      </c>
      <c r="CF41" s="31">
        <f>IF(Debt!CF68&gt;Inputs!$F$9,CF7/Debt!CF68,0)</f>
        <v/>
      </c>
      <c r="CG41" s="31">
        <f>IF(Debt!CG68&gt;Inputs!$F$9,CG7/Debt!CG68,0)</f>
        <v/>
      </c>
      <c r="CH41" s="31">
        <f>IF(Debt!CH68&gt;Inputs!$F$9,CH7/Debt!CH68,0)</f>
        <v/>
      </c>
      <c r="CI41" s="31">
        <f>IF(Debt!CI68&gt;Inputs!$F$9,CI7/Debt!CI68,0)</f>
        <v/>
      </c>
      <c r="CJ41" s="31">
        <f>IF(Debt!CJ68&gt;Inputs!$F$9,CJ7/Debt!CJ68,0)</f>
        <v/>
      </c>
      <c r="CK41" s="31">
        <f>IF(Debt!CK68&gt;Inputs!$F$9,CK7/Debt!CK68,0)</f>
        <v/>
      </c>
      <c r="CL41" s="31">
        <f>IF(Debt!CL68&gt;Inputs!$F$9,CL7/Debt!CL68,0)</f>
        <v/>
      </c>
      <c r="CM41" s="31">
        <f>IF(Debt!CM68&gt;Inputs!$F$9,CM7/Debt!CM68,0)</f>
        <v/>
      </c>
      <c r="CN41" s="31">
        <f>IF(Debt!CN68&gt;Inputs!$F$9,CN7/Debt!CN68,0)</f>
        <v/>
      </c>
      <c r="CO41" s="31">
        <f>IF(Debt!CO68&gt;Inputs!$F$9,CO7/Debt!CO68,0)</f>
        <v/>
      </c>
      <c r="CP41" s="31">
        <f>IF(Debt!CP68&gt;Inputs!$F$9,CP7/Debt!CP68,0)</f>
        <v/>
      </c>
      <c r="CQ41" s="31">
        <f>IF(Debt!CQ68&gt;Inputs!$F$9,CQ7/Debt!CQ68,0)</f>
        <v/>
      </c>
      <c r="CR41" s="31">
        <f>IF(Debt!CR68&gt;Inputs!$F$9,CR7/Debt!CR68,0)</f>
        <v/>
      </c>
      <c r="CS41" s="31">
        <f>IF(Debt!CS68&gt;Inputs!$F$9,CS7/Debt!CS68,0)</f>
        <v/>
      </c>
      <c r="CT41" s="31">
        <f>IF(Debt!CT68&gt;Inputs!$F$9,CT7/Debt!CT68,0)</f>
        <v/>
      </c>
      <c r="CU41" s="31">
        <f>IF(Debt!CU68&gt;Inputs!$F$9,CU7/Debt!CU68,0)</f>
        <v/>
      </c>
      <c r="CV41" s="31">
        <f>IF(Debt!CV68&gt;Inputs!$F$9,CV7/Debt!CV68,0)</f>
        <v/>
      </c>
      <c r="CW41" s="31">
        <f>IF(Debt!CW68&gt;Inputs!$F$9,CW7/Debt!CW68,0)</f>
        <v/>
      </c>
      <c r="CX41" s="31">
        <f>IF(Debt!CX68&gt;Inputs!$F$9,CX7/Debt!CX68,0)</f>
        <v/>
      </c>
      <c r="CY41" s="31">
        <f>IF(Debt!CY68&gt;Inputs!$F$9,CY7/Debt!CY68,0)</f>
        <v/>
      </c>
      <c r="CZ41" s="31">
        <f>IF(Debt!CZ68&gt;Inputs!$F$9,CZ7/Debt!CZ68,0)</f>
        <v/>
      </c>
      <c r="DA41" s="31">
        <f>IF(Debt!DA68&gt;Inputs!$F$9,DA7/Debt!DA68,0)</f>
        <v/>
      </c>
      <c r="DB41" s="31">
        <f>IF(Debt!DB68&gt;Inputs!$F$9,DB7/Debt!DB68,0)</f>
        <v/>
      </c>
    </row>
    <row r="42">
      <c r="D42" t="inlineStr">
        <is>
          <t>Historic CFADS (12 months; 6 months at the first test)</t>
        </is>
      </c>
      <c r="E42" t="inlineStr">
        <is>
          <t>ARD m</t>
        </is>
      </c>
      <c r="J42" s="19">
        <f>IF(OR(Time!J36=1,Time!I44=0),J7,J7+I7)</f>
        <v/>
      </c>
      <c r="K42" s="19">
        <f>IF(OR(Time!K36=1,Time!J44=0),K7,K7+J7)</f>
        <v/>
      </c>
      <c r="L42" s="19">
        <f>IF(OR(Time!L36=1,Time!K44=0),L7,L7+K7)</f>
        <v/>
      </c>
      <c r="M42" s="19">
        <f>IF(OR(Time!M36=1,Time!L44=0),M7,M7+L7)</f>
        <v/>
      </c>
      <c r="N42" s="19">
        <f>IF(OR(Time!N36=1,Time!M44=0),N7,N7+M7)</f>
        <v/>
      </c>
      <c r="O42" s="19">
        <f>IF(OR(Time!O36=1,Time!N44=0),O7,O7+N7)</f>
        <v/>
      </c>
      <c r="P42" s="19">
        <f>IF(OR(Time!P36=1,Time!O44=0),P7,P7+O7)</f>
        <v/>
      </c>
      <c r="Q42" s="19">
        <f>IF(OR(Time!Q36=1,Time!P44=0),Q7,Q7+P7)</f>
        <v/>
      </c>
      <c r="R42" s="19">
        <f>IF(OR(Time!R36=1,Time!Q44=0),R7,R7+Q7)</f>
        <v/>
      </c>
      <c r="S42" s="19">
        <f>IF(OR(Time!S36=1,Time!R44=0),S7,S7+R7)</f>
        <v/>
      </c>
      <c r="T42" s="19">
        <f>IF(OR(Time!T36=1,Time!S44=0),T7,T7+S7)</f>
        <v/>
      </c>
      <c r="U42" s="19">
        <f>IF(OR(Time!U36=1,Time!T44=0),U7,U7+T7)</f>
        <v/>
      </c>
      <c r="V42" s="19">
        <f>IF(OR(Time!V36=1,Time!U44=0),V7,V7+U7)</f>
        <v/>
      </c>
      <c r="W42" s="19">
        <f>IF(OR(Time!W36=1,Time!V44=0),W7,W7+V7)</f>
        <v/>
      </c>
      <c r="X42" s="19">
        <f>IF(OR(Time!X36=1,Time!W44=0),X7,X7+W7)</f>
        <v/>
      </c>
      <c r="Y42" s="19">
        <f>IF(OR(Time!Y36=1,Time!X44=0),Y7,Y7+X7)</f>
        <v/>
      </c>
      <c r="Z42" s="19">
        <f>IF(OR(Time!Z36=1,Time!Y44=0),Z7,Z7+Y7)</f>
        <v/>
      </c>
      <c r="AA42" s="19">
        <f>IF(OR(Time!AA36=1,Time!Z44=0),AA7,AA7+Z7)</f>
        <v/>
      </c>
      <c r="AB42" s="19">
        <f>IF(OR(Time!AB36=1,Time!AA44=0),AB7,AB7+AA7)</f>
        <v/>
      </c>
      <c r="AC42" s="19">
        <f>IF(OR(Time!AC36=1,Time!AB44=0),AC7,AC7+AB7)</f>
        <v/>
      </c>
      <c r="AD42" s="19">
        <f>IF(OR(Time!AD36=1,Time!AC44=0),AD7,AD7+AC7)</f>
        <v/>
      </c>
      <c r="AE42" s="19">
        <f>IF(OR(Time!AE36=1,Time!AD44=0),AE7,AE7+AD7)</f>
        <v/>
      </c>
      <c r="AF42" s="19">
        <f>IF(OR(Time!AF36=1,Time!AE44=0),AF7,AF7+AE7)</f>
        <v/>
      </c>
      <c r="AG42" s="19">
        <f>IF(OR(Time!AG36=1,Time!AF44=0),AG7,AG7+AF7)</f>
        <v/>
      </c>
      <c r="AH42" s="19">
        <f>IF(OR(Time!AH36=1,Time!AG44=0),AH7,AH7+AG7)</f>
        <v/>
      </c>
      <c r="AI42" s="19">
        <f>IF(OR(Time!AI36=1,Time!AH44=0),AI7,AI7+AH7)</f>
        <v/>
      </c>
      <c r="AJ42" s="19">
        <f>IF(OR(Time!AJ36=1,Time!AI44=0),AJ7,AJ7+AI7)</f>
        <v/>
      </c>
      <c r="AK42" s="19">
        <f>IF(OR(Time!AK36=1,Time!AJ44=0),AK7,AK7+AJ7)</f>
        <v/>
      </c>
      <c r="AL42" s="19">
        <f>IF(OR(Time!AL36=1,Time!AK44=0),AL7,AL7+AK7)</f>
        <v/>
      </c>
      <c r="AM42" s="19">
        <f>IF(OR(Time!AM36=1,Time!AL44=0),AM7,AM7+AL7)</f>
        <v/>
      </c>
      <c r="AN42" s="19">
        <f>IF(OR(Time!AN36=1,Time!AM44=0),AN7,AN7+AM7)</f>
        <v/>
      </c>
      <c r="AO42" s="19">
        <f>IF(OR(Time!AO36=1,Time!AN44=0),AO7,AO7+AN7)</f>
        <v/>
      </c>
      <c r="AP42" s="19">
        <f>IF(OR(Time!AP36=1,Time!AO44=0),AP7,AP7+AO7)</f>
        <v/>
      </c>
      <c r="AQ42" s="19">
        <f>IF(OR(Time!AQ36=1,Time!AP44=0),AQ7,AQ7+AP7)</f>
        <v/>
      </c>
      <c r="AR42" s="19">
        <f>IF(OR(Time!AR36=1,Time!AQ44=0),AR7,AR7+AQ7)</f>
        <v/>
      </c>
      <c r="AS42" s="19">
        <f>IF(OR(Time!AS36=1,Time!AR44=0),AS7,AS7+AR7)</f>
        <v/>
      </c>
      <c r="AT42" s="19">
        <f>IF(OR(Time!AT36=1,Time!AS44=0),AT7,AT7+AS7)</f>
        <v/>
      </c>
      <c r="AU42" s="19">
        <f>IF(OR(Time!AU36=1,Time!AT44=0),AU7,AU7+AT7)</f>
        <v/>
      </c>
      <c r="AV42" s="19">
        <f>IF(OR(Time!AV36=1,Time!AU44=0),AV7,AV7+AU7)</f>
        <v/>
      </c>
      <c r="AW42" s="19">
        <f>IF(OR(Time!AW36=1,Time!AV44=0),AW7,AW7+AV7)</f>
        <v/>
      </c>
      <c r="AX42" s="19">
        <f>IF(OR(Time!AX36=1,Time!AW44=0),AX7,AX7+AW7)</f>
        <v/>
      </c>
      <c r="AY42" s="19">
        <f>IF(OR(Time!AY36=1,Time!AX44=0),AY7,AY7+AX7)</f>
        <v/>
      </c>
      <c r="AZ42" s="19">
        <f>IF(OR(Time!AZ36=1,Time!AY44=0),AZ7,AZ7+AY7)</f>
        <v/>
      </c>
      <c r="BA42" s="19">
        <f>IF(OR(Time!BA36=1,Time!AZ44=0),BA7,BA7+AZ7)</f>
        <v/>
      </c>
      <c r="BB42" s="19">
        <f>IF(OR(Time!BB36=1,Time!BA44=0),BB7,BB7+BA7)</f>
        <v/>
      </c>
      <c r="BC42" s="19">
        <f>IF(OR(Time!BC36=1,Time!BB44=0),BC7,BC7+BB7)</f>
        <v/>
      </c>
      <c r="BD42" s="19">
        <f>IF(OR(Time!BD36=1,Time!BC44=0),BD7,BD7+BC7)</f>
        <v/>
      </c>
      <c r="BE42" s="19">
        <f>IF(OR(Time!BE36=1,Time!BD44=0),BE7,BE7+BD7)</f>
        <v/>
      </c>
      <c r="BF42" s="19">
        <f>IF(OR(Time!BF36=1,Time!BE44=0),BF7,BF7+BE7)</f>
        <v/>
      </c>
      <c r="BG42" s="19">
        <f>IF(OR(Time!BG36=1,Time!BF44=0),BG7,BG7+BF7)</f>
        <v/>
      </c>
      <c r="BH42" s="19">
        <f>IF(OR(Time!BH36=1,Time!BG44=0),BH7,BH7+BG7)</f>
        <v/>
      </c>
      <c r="BI42" s="19">
        <f>IF(OR(Time!BI36=1,Time!BH44=0),BI7,BI7+BH7)</f>
        <v/>
      </c>
      <c r="BJ42" s="19">
        <f>IF(OR(Time!BJ36=1,Time!BI44=0),BJ7,BJ7+BI7)</f>
        <v/>
      </c>
      <c r="BK42" s="19">
        <f>IF(OR(Time!BK36=1,Time!BJ44=0),BK7,BK7+BJ7)</f>
        <v/>
      </c>
      <c r="BL42" s="19">
        <f>IF(OR(Time!BL36=1,Time!BK44=0),BL7,BL7+BK7)</f>
        <v/>
      </c>
      <c r="BM42" s="19">
        <f>IF(OR(Time!BM36=1,Time!BL44=0),BM7,BM7+BL7)</f>
        <v/>
      </c>
      <c r="BN42" s="19">
        <f>IF(OR(Time!BN36=1,Time!BM44=0),BN7,BN7+BM7)</f>
        <v/>
      </c>
      <c r="BO42" s="19">
        <f>IF(OR(Time!BO36=1,Time!BN44=0),BO7,BO7+BN7)</f>
        <v/>
      </c>
      <c r="BP42" s="19">
        <f>IF(OR(Time!BP36=1,Time!BO44=0),BP7,BP7+BO7)</f>
        <v/>
      </c>
      <c r="BQ42" s="19">
        <f>IF(OR(Time!BQ36=1,Time!BP44=0),BQ7,BQ7+BP7)</f>
        <v/>
      </c>
      <c r="BR42" s="19">
        <f>IF(OR(Time!BR36=1,Time!BQ44=0),BR7,BR7+BQ7)</f>
        <v/>
      </c>
      <c r="BS42" s="19">
        <f>IF(OR(Time!BS36=1,Time!BR44=0),BS7,BS7+BR7)</f>
        <v/>
      </c>
      <c r="BT42" s="19">
        <f>IF(OR(Time!BT36=1,Time!BS44=0),BT7,BT7+BS7)</f>
        <v/>
      </c>
      <c r="BU42" s="19">
        <f>IF(OR(Time!BU36=1,Time!BT44=0),BU7,BU7+BT7)</f>
        <v/>
      </c>
      <c r="BV42" s="19">
        <f>IF(OR(Time!BV36=1,Time!BU44=0),BV7,BV7+BU7)</f>
        <v/>
      </c>
      <c r="BW42" s="19">
        <f>IF(OR(Time!BW36=1,Time!BV44=0),BW7,BW7+BV7)</f>
        <v/>
      </c>
      <c r="BX42" s="19">
        <f>IF(OR(Time!BX36=1,Time!BW44=0),BX7,BX7+BW7)</f>
        <v/>
      </c>
      <c r="BY42" s="19">
        <f>IF(OR(Time!BY36=1,Time!BX44=0),BY7,BY7+BX7)</f>
        <v/>
      </c>
      <c r="BZ42" s="19">
        <f>IF(OR(Time!BZ36=1,Time!BY44=0),BZ7,BZ7+BY7)</f>
        <v/>
      </c>
      <c r="CA42" s="19">
        <f>IF(OR(Time!CA36=1,Time!BZ44=0),CA7,CA7+BZ7)</f>
        <v/>
      </c>
      <c r="CB42" s="19">
        <f>IF(OR(Time!CB36=1,Time!CA44=0),CB7,CB7+CA7)</f>
        <v/>
      </c>
      <c r="CC42" s="19">
        <f>IF(OR(Time!CC36=1,Time!CB44=0),CC7,CC7+CB7)</f>
        <v/>
      </c>
      <c r="CD42" s="19">
        <f>IF(OR(Time!CD36=1,Time!CC44=0),CD7,CD7+CC7)</f>
        <v/>
      </c>
      <c r="CE42" s="19">
        <f>IF(OR(Time!CE36=1,Time!CD44=0),CE7,CE7+CD7)</f>
        <v/>
      </c>
      <c r="CF42" s="19">
        <f>IF(OR(Time!CF36=1,Time!CE44=0),CF7,CF7+CE7)</f>
        <v/>
      </c>
      <c r="CG42" s="19">
        <f>IF(OR(Time!CG36=1,Time!CF44=0),CG7,CG7+CF7)</f>
        <v/>
      </c>
      <c r="CH42" s="19">
        <f>IF(OR(Time!CH36=1,Time!CG44=0),CH7,CH7+CG7)</f>
        <v/>
      </c>
      <c r="CI42" s="19">
        <f>IF(OR(Time!CI36=1,Time!CH44=0),CI7,CI7+CH7)</f>
        <v/>
      </c>
      <c r="CJ42" s="19">
        <f>IF(OR(Time!CJ36=1,Time!CI44=0),CJ7,CJ7+CI7)</f>
        <v/>
      </c>
      <c r="CK42" s="19">
        <f>IF(OR(Time!CK36=1,Time!CJ44=0),CK7,CK7+CJ7)</f>
        <v/>
      </c>
      <c r="CL42" s="19">
        <f>IF(OR(Time!CL36=1,Time!CK44=0),CL7,CL7+CK7)</f>
        <v/>
      </c>
      <c r="CM42" s="19">
        <f>IF(OR(Time!CM36=1,Time!CL44=0),CM7,CM7+CL7)</f>
        <v/>
      </c>
      <c r="CN42" s="19">
        <f>IF(OR(Time!CN36=1,Time!CM44=0),CN7,CN7+CM7)</f>
        <v/>
      </c>
      <c r="CO42" s="19">
        <f>IF(OR(Time!CO36=1,Time!CN44=0),CO7,CO7+CN7)</f>
        <v/>
      </c>
      <c r="CP42" s="19">
        <f>IF(OR(Time!CP36=1,Time!CO44=0),CP7,CP7+CO7)</f>
        <v/>
      </c>
      <c r="CQ42" s="19">
        <f>IF(OR(Time!CQ36=1,Time!CP44=0),CQ7,CQ7+CP7)</f>
        <v/>
      </c>
      <c r="CR42" s="19">
        <f>IF(OR(Time!CR36=1,Time!CQ44=0),CR7,CR7+CQ7)</f>
        <v/>
      </c>
      <c r="CS42" s="19">
        <f>IF(OR(Time!CS36=1,Time!CR44=0),CS7,CS7+CR7)</f>
        <v/>
      </c>
      <c r="CT42" s="19">
        <f>IF(OR(Time!CT36=1,Time!CS44=0),CT7,CT7+CS7)</f>
        <v/>
      </c>
      <c r="CU42" s="19">
        <f>IF(OR(Time!CU36=1,Time!CT44=0),CU7,CU7+CT7)</f>
        <v/>
      </c>
      <c r="CV42" s="19">
        <f>IF(OR(Time!CV36=1,Time!CU44=0),CV7,CV7+CU7)</f>
        <v/>
      </c>
      <c r="CW42" s="19">
        <f>IF(OR(Time!CW36=1,Time!CV44=0),CW7,CW7+CV7)</f>
        <v/>
      </c>
      <c r="CX42" s="19">
        <f>IF(OR(Time!CX36=1,Time!CW44=0),CX7,CX7+CW7)</f>
        <v/>
      </c>
      <c r="CY42" s="19">
        <f>IF(OR(Time!CY36=1,Time!CX44=0),CY7,CY7+CX7)</f>
        <v/>
      </c>
      <c r="CZ42" s="19">
        <f>IF(OR(Time!CZ36=1,Time!CY44=0),CZ7,CZ7+CY7)</f>
        <v/>
      </c>
      <c r="DA42" s="19">
        <f>IF(OR(Time!DA36=1,Time!CZ44=0),DA7,DA7+CZ7)</f>
        <v/>
      </c>
      <c r="DB42" s="19">
        <f>IF(OR(Time!DB36=1,Time!DA44=0),DB7,DB7+DA7)</f>
        <v/>
      </c>
    </row>
    <row r="43">
      <c r="D43" t="inlineStr">
        <is>
          <t>Historic scheduled debt service</t>
        </is>
      </c>
      <c r="E43" t="inlineStr">
        <is>
          <t>ARD m</t>
        </is>
      </c>
      <c r="J43" s="19">
        <f>IF(OR(Time!J36=1,Time!I44=0),Debt!J68,Debt!J68+Debt!I68)</f>
        <v/>
      </c>
      <c r="K43" s="19">
        <f>IF(OR(Time!K36=1,Time!J44=0),Debt!K68,Debt!K68+Debt!J68)</f>
        <v/>
      </c>
      <c r="L43" s="19">
        <f>IF(OR(Time!L36=1,Time!K44=0),Debt!L68,Debt!L68+Debt!K68)</f>
        <v/>
      </c>
      <c r="M43" s="19">
        <f>IF(OR(Time!M36=1,Time!L44=0),Debt!M68,Debt!M68+Debt!L68)</f>
        <v/>
      </c>
      <c r="N43" s="19">
        <f>IF(OR(Time!N36=1,Time!M44=0),Debt!N68,Debt!N68+Debt!M68)</f>
        <v/>
      </c>
      <c r="O43" s="19">
        <f>IF(OR(Time!O36=1,Time!N44=0),Debt!O68,Debt!O68+Debt!N68)</f>
        <v/>
      </c>
      <c r="P43" s="19">
        <f>IF(OR(Time!P36=1,Time!O44=0),Debt!P68,Debt!P68+Debt!O68)</f>
        <v/>
      </c>
      <c r="Q43" s="19">
        <f>IF(OR(Time!Q36=1,Time!P44=0),Debt!Q68,Debt!Q68+Debt!P68)</f>
        <v/>
      </c>
      <c r="R43" s="19">
        <f>IF(OR(Time!R36=1,Time!Q44=0),Debt!R68,Debt!R68+Debt!Q68)</f>
        <v/>
      </c>
      <c r="S43" s="19">
        <f>IF(OR(Time!S36=1,Time!R44=0),Debt!S68,Debt!S68+Debt!R68)</f>
        <v/>
      </c>
      <c r="T43" s="19">
        <f>IF(OR(Time!T36=1,Time!S44=0),Debt!T68,Debt!T68+Debt!S68)</f>
        <v/>
      </c>
      <c r="U43" s="19">
        <f>IF(OR(Time!U36=1,Time!T44=0),Debt!U68,Debt!U68+Debt!T68)</f>
        <v/>
      </c>
      <c r="V43" s="19">
        <f>IF(OR(Time!V36=1,Time!U44=0),Debt!V68,Debt!V68+Debt!U68)</f>
        <v/>
      </c>
      <c r="W43" s="19">
        <f>IF(OR(Time!W36=1,Time!V44=0),Debt!W68,Debt!W68+Debt!V68)</f>
        <v/>
      </c>
      <c r="X43" s="19">
        <f>IF(OR(Time!X36=1,Time!W44=0),Debt!X68,Debt!X68+Debt!W68)</f>
        <v/>
      </c>
      <c r="Y43" s="19">
        <f>IF(OR(Time!Y36=1,Time!X44=0),Debt!Y68,Debt!Y68+Debt!X68)</f>
        <v/>
      </c>
      <c r="Z43" s="19">
        <f>IF(OR(Time!Z36=1,Time!Y44=0),Debt!Z68,Debt!Z68+Debt!Y68)</f>
        <v/>
      </c>
      <c r="AA43" s="19">
        <f>IF(OR(Time!AA36=1,Time!Z44=0),Debt!AA68,Debt!AA68+Debt!Z68)</f>
        <v/>
      </c>
      <c r="AB43" s="19">
        <f>IF(OR(Time!AB36=1,Time!AA44=0),Debt!AB68,Debt!AB68+Debt!AA68)</f>
        <v/>
      </c>
      <c r="AC43" s="19">
        <f>IF(OR(Time!AC36=1,Time!AB44=0),Debt!AC68,Debt!AC68+Debt!AB68)</f>
        <v/>
      </c>
      <c r="AD43" s="19">
        <f>IF(OR(Time!AD36=1,Time!AC44=0),Debt!AD68,Debt!AD68+Debt!AC68)</f>
        <v/>
      </c>
      <c r="AE43" s="19">
        <f>IF(OR(Time!AE36=1,Time!AD44=0),Debt!AE68,Debt!AE68+Debt!AD68)</f>
        <v/>
      </c>
      <c r="AF43" s="19">
        <f>IF(OR(Time!AF36=1,Time!AE44=0),Debt!AF68,Debt!AF68+Debt!AE68)</f>
        <v/>
      </c>
      <c r="AG43" s="19">
        <f>IF(OR(Time!AG36=1,Time!AF44=0),Debt!AG68,Debt!AG68+Debt!AF68)</f>
        <v/>
      </c>
      <c r="AH43" s="19">
        <f>IF(OR(Time!AH36=1,Time!AG44=0),Debt!AH68,Debt!AH68+Debt!AG68)</f>
        <v/>
      </c>
      <c r="AI43" s="19">
        <f>IF(OR(Time!AI36=1,Time!AH44=0),Debt!AI68,Debt!AI68+Debt!AH68)</f>
        <v/>
      </c>
      <c r="AJ43" s="19">
        <f>IF(OR(Time!AJ36=1,Time!AI44=0),Debt!AJ68,Debt!AJ68+Debt!AI68)</f>
        <v/>
      </c>
      <c r="AK43" s="19">
        <f>IF(OR(Time!AK36=1,Time!AJ44=0),Debt!AK68,Debt!AK68+Debt!AJ68)</f>
        <v/>
      </c>
      <c r="AL43" s="19">
        <f>IF(OR(Time!AL36=1,Time!AK44=0),Debt!AL68,Debt!AL68+Debt!AK68)</f>
        <v/>
      </c>
      <c r="AM43" s="19">
        <f>IF(OR(Time!AM36=1,Time!AL44=0),Debt!AM68,Debt!AM68+Debt!AL68)</f>
        <v/>
      </c>
      <c r="AN43" s="19">
        <f>IF(OR(Time!AN36=1,Time!AM44=0),Debt!AN68,Debt!AN68+Debt!AM68)</f>
        <v/>
      </c>
      <c r="AO43" s="19">
        <f>IF(OR(Time!AO36=1,Time!AN44=0),Debt!AO68,Debt!AO68+Debt!AN68)</f>
        <v/>
      </c>
      <c r="AP43" s="19">
        <f>IF(OR(Time!AP36=1,Time!AO44=0),Debt!AP68,Debt!AP68+Debt!AO68)</f>
        <v/>
      </c>
      <c r="AQ43" s="19">
        <f>IF(OR(Time!AQ36=1,Time!AP44=0),Debt!AQ68,Debt!AQ68+Debt!AP68)</f>
        <v/>
      </c>
      <c r="AR43" s="19">
        <f>IF(OR(Time!AR36=1,Time!AQ44=0),Debt!AR68,Debt!AR68+Debt!AQ68)</f>
        <v/>
      </c>
      <c r="AS43" s="19">
        <f>IF(OR(Time!AS36=1,Time!AR44=0),Debt!AS68,Debt!AS68+Debt!AR68)</f>
        <v/>
      </c>
      <c r="AT43" s="19">
        <f>IF(OR(Time!AT36=1,Time!AS44=0),Debt!AT68,Debt!AT68+Debt!AS68)</f>
        <v/>
      </c>
      <c r="AU43" s="19">
        <f>IF(OR(Time!AU36=1,Time!AT44=0),Debt!AU68,Debt!AU68+Debt!AT68)</f>
        <v/>
      </c>
      <c r="AV43" s="19">
        <f>IF(OR(Time!AV36=1,Time!AU44=0),Debt!AV68,Debt!AV68+Debt!AU68)</f>
        <v/>
      </c>
      <c r="AW43" s="19">
        <f>IF(OR(Time!AW36=1,Time!AV44=0),Debt!AW68,Debt!AW68+Debt!AV68)</f>
        <v/>
      </c>
      <c r="AX43" s="19">
        <f>IF(OR(Time!AX36=1,Time!AW44=0),Debt!AX68,Debt!AX68+Debt!AW68)</f>
        <v/>
      </c>
      <c r="AY43" s="19">
        <f>IF(OR(Time!AY36=1,Time!AX44=0),Debt!AY68,Debt!AY68+Debt!AX68)</f>
        <v/>
      </c>
      <c r="AZ43" s="19">
        <f>IF(OR(Time!AZ36=1,Time!AY44=0),Debt!AZ68,Debt!AZ68+Debt!AY68)</f>
        <v/>
      </c>
      <c r="BA43" s="19">
        <f>IF(OR(Time!BA36=1,Time!AZ44=0),Debt!BA68,Debt!BA68+Debt!AZ68)</f>
        <v/>
      </c>
      <c r="BB43" s="19">
        <f>IF(OR(Time!BB36=1,Time!BA44=0),Debt!BB68,Debt!BB68+Debt!BA68)</f>
        <v/>
      </c>
      <c r="BC43" s="19">
        <f>IF(OR(Time!BC36=1,Time!BB44=0),Debt!BC68,Debt!BC68+Debt!BB68)</f>
        <v/>
      </c>
      <c r="BD43" s="19">
        <f>IF(OR(Time!BD36=1,Time!BC44=0),Debt!BD68,Debt!BD68+Debt!BC68)</f>
        <v/>
      </c>
      <c r="BE43" s="19">
        <f>IF(OR(Time!BE36=1,Time!BD44=0),Debt!BE68,Debt!BE68+Debt!BD68)</f>
        <v/>
      </c>
      <c r="BF43" s="19">
        <f>IF(OR(Time!BF36=1,Time!BE44=0),Debt!BF68,Debt!BF68+Debt!BE68)</f>
        <v/>
      </c>
      <c r="BG43" s="19">
        <f>IF(OR(Time!BG36=1,Time!BF44=0),Debt!BG68,Debt!BG68+Debt!BF68)</f>
        <v/>
      </c>
      <c r="BH43" s="19">
        <f>IF(OR(Time!BH36=1,Time!BG44=0),Debt!BH68,Debt!BH68+Debt!BG68)</f>
        <v/>
      </c>
      <c r="BI43" s="19">
        <f>IF(OR(Time!BI36=1,Time!BH44=0),Debt!BI68,Debt!BI68+Debt!BH68)</f>
        <v/>
      </c>
      <c r="BJ43" s="19">
        <f>IF(OR(Time!BJ36=1,Time!BI44=0),Debt!BJ68,Debt!BJ68+Debt!BI68)</f>
        <v/>
      </c>
      <c r="BK43" s="19">
        <f>IF(OR(Time!BK36=1,Time!BJ44=0),Debt!BK68,Debt!BK68+Debt!BJ68)</f>
        <v/>
      </c>
      <c r="BL43" s="19">
        <f>IF(OR(Time!BL36=1,Time!BK44=0),Debt!BL68,Debt!BL68+Debt!BK68)</f>
        <v/>
      </c>
      <c r="BM43" s="19">
        <f>IF(OR(Time!BM36=1,Time!BL44=0),Debt!BM68,Debt!BM68+Debt!BL68)</f>
        <v/>
      </c>
      <c r="BN43" s="19">
        <f>IF(OR(Time!BN36=1,Time!BM44=0),Debt!BN68,Debt!BN68+Debt!BM68)</f>
        <v/>
      </c>
      <c r="BO43" s="19">
        <f>IF(OR(Time!BO36=1,Time!BN44=0),Debt!BO68,Debt!BO68+Debt!BN68)</f>
        <v/>
      </c>
      <c r="BP43" s="19">
        <f>IF(OR(Time!BP36=1,Time!BO44=0),Debt!BP68,Debt!BP68+Debt!BO68)</f>
        <v/>
      </c>
      <c r="BQ43" s="19">
        <f>IF(OR(Time!BQ36=1,Time!BP44=0),Debt!BQ68,Debt!BQ68+Debt!BP68)</f>
        <v/>
      </c>
      <c r="BR43" s="19">
        <f>IF(OR(Time!BR36=1,Time!BQ44=0),Debt!BR68,Debt!BR68+Debt!BQ68)</f>
        <v/>
      </c>
      <c r="BS43" s="19">
        <f>IF(OR(Time!BS36=1,Time!BR44=0),Debt!BS68,Debt!BS68+Debt!BR68)</f>
        <v/>
      </c>
      <c r="BT43" s="19">
        <f>IF(OR(Time!BT36=1,Time!BS44=0),Debt!BT68,Debt!BT68+Debt!BS68)</f>
        <v/>
      </c>
      <c r="BU43" s="19">
        <f>IF(OR(Time!BU36=1,Time!BT44=0),Debt!BU68,Debt!BU68+Debt!BT68)</f>
        <v/>
      </c>
      <c r="BV43" s="19">
        <f>IF(OR(Time!BV36=1,Time!BU44=0),Debt!BV68,Debt!BV68+Debt!BU68)</f>
        <v/>
      </c>
      <c r="BW43" s="19">
        <f>IF(OR(Time!BW36=1,Time!BV44=0),Debt!BW68,Debt!BW68+Debt!BV68)</f>
        <v/>
      </c>
      <c r="BX43" s="19">
        <f>IF(OR(Time!BX36=1,Time!BW44=0),Debt!BX68,Debt!BX68+Debt!BW68)</f>
        <v/>
      </c>
      <c r="BY43" s="19">
        <f>IF(OR(Time!BY36=1,Time!BX44=0),Debt!BY68,Debt!BY68+Debt!BX68)</f>
        <v/>
      </c>
      <c r="BZ43" s="19">
        <f>IF(OR(Time!BZ36=1,Time!BY44=0),Debt!BZ68,Debt!BZ68+Debt!BY68)</f>
        <v/>
      </c>
      <c r="CA43" s="19">
        <f>IF(OR(Time!CA36=1,Time!BZ44=0),Debt!CA68,Debt!CA68+Debt!BZ68)</f>
        <v/>
      </c>
      <c r="CB43" s="19">
        <f>IF(OR(Time!CB36=1,Time!CA44=0),Debt!CB68,Debt!CB68+Debt!CA68)</f>
        <v/>
      </c>
      <c r="CC43" s="19">
        <f>IF(OR(Time!CC36=1,Time!CB44=0),Debt!CC68,Debt!CC68+Debt!CB68)</f>
        <v/>
      </c>
      <c r="CD43" s="19">
        <f>IF(OR(Time!CD36=1,Time!CC44=0),Debt!CD68,Debt!CD68+Debt!CC68)</f>
        <v/>
      </c>
      <c r="CE43" s="19">
        <f>IF(OR(Time!CE36=1,Time!CD44=0),Debt!CE68,Debt!CE68+Debt!CD68)</f>
        <v/>
      </c>
      <c r="CF43" s="19">
        <f>IF(OR(Time!CF36=1,Time!CE44=0),Debt!CF68,Debt!CF68+Debt!CE68)</f>
        <v/>
      </c>
      <c r="CG43" s="19">
        <f>IF(OR(Time!CG36=1,Time!CF44=0),Debt!CG68,Debt!CG68+Debt!CF68)</f>
        <v/>
      </c>
      <c r="CH43" s="19">
        <f>IF(OR(Time!CH36=1,Time!CG44=0),Debt!CH68,Debt!CH68+Debt!CG68)</f>
        <v/>
      </c>
      <c r="CI43" s="19">
        <f>IF(OR(Time!CI36=1,Time!CH44=0),Debt!CI68,Debt!CI68+Debt!CH68)</f>
        <v/>
      </c>
      <c r="CJ43" s="19">
        <f>IF(OR(Time!CJ36=1,Time!CI44=0),Debt!CJ68,Debt!CJ68+Debt!CI68)</f>
        <v/>
      </c>
      <c r="CK43" s="19">
        <f>IF(OR(Time!CK36=1,Time!CJ44=0),Debt!CK68,Debt!CK68+Debt!CJ68)</f>
        <v/>
      </c>
      <c r="CL43" s="19">
        <f>IF(OR(Time!CL36=1,Time!CK44=0),Debt!CL68,Debt!CL68+Debt!CK68)</f>
        <v/>
      </c>
      <c r="CM43" s="19">
        <f>IF(OR(Time!CM36=1,Time!CL44=0),Debt!CM68,Debt!CM68+Debt!CL68)</f>
        <v/>
      </c>
      <c r="CN43" s="19">
        <f>IF(OR(Time!CN36=1,Time!CM44=0),Debt!CN68,Debt!CN68+Debt!CM68)</f>
        <v/>
      </c>
      <c r="CO43" s="19">
        <f>IF(OR(Time!CO36=1,Time!CN44=0),Debt!CO68,Debt!CO68+Debt!CN68)</f>
        <v/>
      </c>
      <c r="CP43" s="19">
        <f>IF(OR(Time!CP36=1,Time!CO44=0),Debt!CP68,Debt!CP68+Debt!CO68)</f>
        <v/>
      </c>
      <c r="CQ43" s="19">
        <f>IF(OR(Time!CQ36=1,Time!CP44=0),Debt!CQ68,Debt!CQ68+Debt!CP68)</f>
        <v/>
      </c>
      <c r="CR43" s="19">
        <f>IF(OR(Time!CR36=1,Time!CQ44=0),Debt!CR68,Debt!CR68+Debt!CQ68)</f>
        <v/>
      </c>
      <c r="CS43" s="19">
        <f>IF(OR(Time!CS36=1,Time!CR44=0),Debt!CS68,Debt!CS68+Debt!CR68)</f>
        <v/>
      </c>
      <c r="CT43" s="19">
        <f>IF(OR(Time!CT36=1,Time!CS44=0),Debt!CT68,Debt!CT68+Debt!CS68)</f>
        <v/>
      </c>
      <c r="CU43" s="19">
        <f>IF(OR(Time!CU36=1,Time!CT44=0),Debt!CU68,Debt!CU68+Debt!CT68)</f>
        <v/>
      </c>
      <c r="CV43" s="19">
        <f>IF(OR(Time!CV36=1,Time!CU44=0),Debt!CV68,Debt!CV68+Debt!CU68)</f>
        <v/>
      </c>
      <c r="CW43" s="19">
        <f>IF(OR(Time!CW36=1,Time!CV44=0),Debt!CW68,Debt!CW68+Debt!CV68)</f>
        <v/>
      </c>
      <c r="CX43" s="19">
        <f>IF(OR(Time!CX36=1,Time!CW44=0),Debt!CX68,Debt!CX68+Debt!CW68)</f>
        <v/>
      </c>
      <c r="CY43" s="19">
        <f>IF(OR(Time!CY36=1,Time!CX44=0),Debt!CY68,Debt!CY68+Debt!CX68)</f>
        <v/>
      </c>
      <c r="CZ43" s="19">
        <f>IF(OR(Time!CZ36=1,Time!CY44=0),Debt!CZ68,Debt!CZ68+Debt!CY68)</f>
        <v/>
      </c>
      <c r="DA43" s="19">
        <f>IF(OR(Time!DA36=1,Time!CZ44=0),Debt!DA68,Debt!DA68+Debt!CZ68)</f>
        <v/>
      </c>
      <c r="DB43" s="19">
        <f>IF(OR(Time!DB36=1,Time!DA44=0),Debt!DB68,Debt!DB68+Debt!DA68)</f>
        <v/>
      </c>
    </row>
    <row r="44">
      <c r="D44" t="inlineStr">
        <is>
          <t>Senior DSCR, historic (covenant)</t>
        </is>
      </c>
      <c r="E44" t="inlineStr">
        <is>
          <t>x</t>
        </is>
      </c>
      <c r="J44" s="31">
        <f>IF(AND(Time!J44=1,J43&gt;Inputs!$F$9),J42/J43,0)</f>
        <v/>
      </c>
      <c r="K44" s="31">
        <f>IF(AND(Time!K44=1,K43&gt;Inputs!$F$9),K42/K43,0)</f>
        <v/>
      </c>
      <c r="L44" s="31">
        <f>IF(AND(Time!L44=1,L43&gt;Inputs!$F$9),L42/L43,0)</f>
        <v/>
      </c>
      <c r="M44" s="31">
        <f>IF(AND(Time!M44=1,M43&gt;Inputs!$F$9),M42/M43,0)</f>
        <v/>
      </c>
      <c r="N44" s="31">
        <f>IF(AND(Time!N44=1,N43&gt;Inputs!$F$9),N42/N43,0)</f>
        <v/>
      </c>
      <c r="O44" s="31">
        <f>IF(AND(Time!O44=1,O43&gt;Inputs!$F$9),O42/O43,0)</f>
        <v/>
      </c>
      <c r="P44" s="31">
        <f>IF(AND(Time!P44=1,P43&gt;Inputs!$F$9),P42/P43,0)</f>
        <v/>
      </c>
      <c r="Q44" s="31">
        <f>IF(AND(Time!Q44=1,Q43&gt;Inputs!$F$9),Q42/Q43,0)</f>
        <v/>
      </c>
      <c r="R44" s="31">
        <f>IF(AND(Time!R44=1,R43&gt;Inputs!$F$9),R42/R43,0)</f>
        <v/>
      </c>
      <c r="S44" s="31">
        <f>IF(AND(Time!S44=1,S43&gt;Inputs!$F$9),S42/S43,0)</f>
        <v/>
      </c>
      <c r="T44" s="31">
        <f>IF(AND(Time!T44=1,T43&gt;Inputs!$F$9),T42/T43,0)</f>
        <v/>
      </c>
      <c r="U44" s="31">
        <f>IF(AND(Time!U44=1,U43&gt;Inputs!$F$9),U42/U43,0)</f>
        <v/>
      </c>
      <c r="V44" s="31">
        <f>IF(AND(Time!V44=1,V43&gt;Inputs!$F$9),V42/V43,0)</f>
        <v/>
      </c>
      <c r="W44" s="31">
        <f>IF(AND(Time!W44=1,W43&gt;Inputs!$F$9),W42/W43,0)</f>
        <v/>
      </c>
      <c r="X44" s="31">
        <f>IF(AND(Time!X44=1,X43&gt;Inputs!$F$9),X42/X43,0)</f>
        <v/>
      </c>
      <c r="Y44" s="31">
        <f>IF(AND(Time!Y44=1,Y43&gt;Inputs!$F$9),Y42/Y43,0)</f>
        <v/>
      </c>
      <c r="Z44" s="31">
        <f>IF(AND(Time!Z44=1,Z43&gt;Inputs!$F$9),Z42/Z43,0)</f>
        <v/>
      </c>
      <c r="AA44" s="31">
        <f>IF(AND(Time!AA44=1,AA43&gt;Inputs!$F$9),AA42/AA43,0)</f>
        <v/>
      </c>
      <c r="AB44" s="31">
        <f>IF(AND(Time!AB44=1,AB43&gt;Inputs!$F$9),AB42/AB43,0)</f>
        <v/>
      </c>
      <c r="AC44" s="31">
        <f>IF(AND(Time!AC44=1,AC43&gt;Inputs!$F$9),AC42/AC43,0)</f>
        <v/>
      </c>
      <c r="AD44" s="31">
        <f>IF(AND(Time!AD44=1,AD43&gt;Inputs!$F$9),AD42/AD43,0)</f>
        <v/>
      </c>
      <c r="AE44" s="31">
        <f>IF(AND(Time!AE44=1,AE43&gt;Inputs!$F$9),AE42/AE43,0)</f>
        <v/>
      </c>
      <c r="AF44" s="31">
        <f>IF(AND(Time!AF44=1,AF43&gt;Inputs!$F$9),AF42/AF43,0)</f>
        <v/>
      </c>
      <c r="AG44" s="31">
        <f>IF(AND(Time!AG44=1,AG43&gt;Inputs!$F$9),AG42/AG43,0)</f>
        <v/>
      </c>
      <c r="AH44" s="31">
        <f>IF(AND(Time!AH44=1,AH43&gt;Inputs!$F$9),AH42/AH43,0)</f>
        <v/>
      </c>
      <c r="AI44" s="31">
        <f>IF(AND(Time!AI44=1,AI43&gt;Inputs!$F$9),AI42/AI43,0)</f>
        <v/>
      </c>
      <c r="AJ44" s="31">
        <f>IF(AND(Time!AJ44=1,AJ43&gt;Inputs!$F$9),AJ42/AJ43,0)</f>
        <v/>
      </c>
      <c r="AK44" s="31">
        <f>IF(AND(Time!AK44=1,AK43&gt;Inputs!$F$9),AK42/AK43,0)</f>
        <v/>
      </c>
      <c r="AL44" s="31">
        <f>IF(AND(Time!AL44=1,AL43&gt;Inputs!$F$9),AL42/AL43,0)</f>
        <v/>
      </c>
      <c r="AM44" s="31">
        <f>IF(AND(Time!AM44=1,AM43&gt;Inputs!$F$9),AM42/AM43,0)</f>
        <v/>
      </c>
      <c r="AN44" s="31">
        <f>IF(AND(Time!AN44=1,AN43&gt;Inputs!$F$9),AN42/AN43,0)</f>
        <v/>
      </c>
      <c r="AO44" s="31">
        <f>IF(AND(Time!AO44=1,AO43&gt;Inputs!$F$9),AO42/AO43,0)</f>
        <v/>
      </c>
      <c r="AP44" s="31">
        <f>IF(AND(Time!AP44=1,AP43&gt;Inputs!$F$9),AP42/AP43,0)</f>
        <v/>
      </c>
      <c r="AQ44" s="31">
        <f>IF(AND(Time!AQ44=1,AQ43&gt;Inputs!$F$9),AQ42/AQ43,0)</f>
        <v/>
      </c>
      <c r="AR44" s="31">
        <f>IF(AND(Time!AR44=1,AR43&gt;Inputs!$F$9),AR42/AR43,0)</f>
        <v/>
      </c>
      <c r="AS44" s="31">
        <f>IF(AND(Time!AS44=1,AS43&gt;Inputs!$F$9),AS42/AS43,0)</f>
        <v/>
      </c>
      <c r="AT44" s="31">
        <f>IF(AND(Time!AT44=1,AT43&gt;Inputs!$F$9),AT42/AT43,0)</f>
        <v/>
      </c>
      <c r="AU44" s="31">
        <f>IF(AND(Time!AU44=1,AU43&gt;Inputs!$F$9),AU42/AU43,0)</f>
        <v/>
      </c>
      <c r="AV44" s="31">
        <f>IF(AND(Time!AV44=1,AV43&gt;Inputs!$F$9),AV42/AV43,0)</f>
        <v/>
      </c>
      <c r="AW44" s="31">
        <f>IF(AND(Time!AW44=1,AW43&gt;Inputs!$F$9),AW42/AW43,0)</f>
        <v/>
      </c>
      <c r="AX44" s="31">
        <f>IF(AND(Time!AX44=1,AX43&gt;Inputs!$F$9),AX42/AX43,0)</f>
        <v/>
      </c>
      <c r="AY44" s="31">
        <f>IF(AND(Time!AY44=1,AY43&gt;Inputs!$F$9),AY42/AY43,0)</f>
        <v/>
      </c>
      <c r="AZ44" s="31">
        <f>IF(AND(Time!AZ44=1,AZ43&gt;Inputs!$F$9),AZ42/AZ43,0)</f>
        <v/>
      </c>
      <c r="BA44" s="31">
        <f>IF(AND(Time!BA44=1,BA43&gt;Inputs!$F$9),BA42/BA43,0)</f>
        <v/>
      </c>
      <c r="BB44" s="31">
        <f>IF(AND(Time!BB44=1,BB43&gt;Inputs!$F$9),BB42/BB43,0)</f>
        <v/>
      </c>
      <c r="BC44" s="31">
        <f>IF(AND(Time!BC44=1,BC43&gt;Inputs!$F$9),BC42/BC43,0)</f>
        <v/>
      </c>
      <c r="BD44" s="31">
        <f>IF(AND(Time!BD44=1,BD43&gt;Inputs!$F$9),BD42/BD43,0)</f>
        <v/>
      </c>
      <c r="BE44" s="31">
        <f>IF(AND(Time!BE44=1,BE43&gt;Inputs!$F$9),BE42/BE43,0)</f>
        <v/>
      </c>
      <c r="BF44" s="31">
        <f>IF(AND(Time!BF44=1,BF43&gt;Inputs!$F$9),BF42/BF43,0)</f>
        <v/>
      </c>
      <c r="BG44" s="31">
        <f>IF(AND(Time!BG44=1,BG43&gt;Inputs!$F$9),BG42/BG43,0)</f>
        <v/>
      </c>
      <c r="BH44" s="31">
        <f>IF(AND(Time!BH44=1,BH43&gt;Inputs!$F$9),BH42/BH43,0)</f>
        <v/>
      </c>
      <c r="BI44" s="31">
        <f>IF(AND(Time!BI44=1,BI43&gt;Inputs!$F$9),BI42/BI43,0)</f>
        <v/>
      </c>
      <c r="BJ44" s="31">
        <f>IF(AND(Time!BJ44=1,BJ43&gt;Inputs!$F$9),BJ42/BJ43,0)</f>
        <v/>
      </c>
      <c r="BK44" s="31">
        <f>IF(AND(Time!BK44=1,BK43&gt;Inputs!$F$9),BK42/BK43,0)</f>
        <v/>
      </c>
      <c r="BL44" s="31">
        <f>IF(AND(Time!BL44=1,BL43&gt;Inputs!$F$9),BL42/BL43,0)</f>
        <v/>
      </c>
      <c r="BM44" s="31">
        <f>IF(AND(Time!BM44=1,BM43&gt;Inputs!$F$9),BM42/BM43,0)</f>
        <v/>
      </c>
      <c r="BN44" s="31">
        <f>IF(AND(Time!BN44=1,BN43&gt;Inputs!$F$9),BN42/BN43,0)</f>
        <v/>
      </c>
      <c r="BO44" s="31">
        <f>IF(AND(Time!BO44=1,BO43&gt;Inputs!$F$9),BO42/BO43,0)</f>
        <v/>
      </c>
      <c r="BP44" s="31">
        <f>IF(AND(Time!BP44=1,BP43&gt;Inputs!$F$9),BP42/BP43,0)</f>
        <v/>
      </c>
      <c r="BQ44" s="31">
        <f>IF(AND(Time!BQ44=1,BQ43&gt;Inputs!$F$9),BQ42/BQ43,0)</f>
        <v/>
      </c>
      <c r="BR44" s="31">
        <f>IF(AND(Time!BR44=1,BR43&gt;Inputs!$F$9),BR42/BR43,0)</f>
        <v/>
      </c>
      <c r="BS44" s="31">
        <f>IF(AND(Time!BS44=1,BS43&gt;Inputs!$F$9),BS42/BS43,0)</f>
        <v/>
      </c>
      <c r="BT44" s="31">
        <f>IF(AND(Time!BT44=1,BT43&gt;Inputs!$F$9),BT42/BT43,0)</f>
        <v/>
      </c>
      <c r="BU44" s="31">
        <f>IF(AND(Time!BU44=1,BU43&gt;Inputs!$F$9),BU42/BU43,0)</f>
        <v/>
      </c>
      <c r="BV44" s="31">
        <f>IF(AND(Time!BV44=1,BV43&gt;Inputs!$F$9),BV42/BV43,0)</f>
        <v/>
      </c>
      <c r="BW44" s="31">
        <f>IF(AND(Time!BW44=1,BW43&gt;Inputs!$F$9),BW42/BW43,0)</f>
        <v/>
      </c>
      <c r="BX44" s="31">
        <f>IF(AND(Time!BX44=1,BX43&gt;Inputs!$F$9),BX42/BX43,0)</f>
        <v/>
      </c>
      <c r="BY44" s="31">
        <f>IF(AND(Time!BY44=1,BY43&gt;Inputs!$F$9),BY42/BY43,0)</f>
        <v/>
      </c>
      <c r="BZ44" s="31">
        <f>IF(AND(Time!BZ44=1,BZ43&gt;Inputs!$F$9),BZ42/BZ43,0)</f>
        <v/>
      </c>
      <c r="CA44" s="31">
        <f>IF(AND(Time!CA44=1,CA43&gt;Inputs!$F$9),CA42/CA43,0)</f>
        <v/>
      </c>
      <c r="CB44" s="31">
        <f>IF(AND(Time!CB44=1,CB43&gt;Inputs!$F$9),CB42/CB43,0)</f>
        <v/>
      </c>
      <c r="CC44" s="31">
        <f>IF(AND(Time!CC44=1,CC43&gt;Inputs!$F$9),CC42/CC43,0)</f>
        <v/>
      </c>
      <c r="CD44" s="31">
        <f>IF(AND(Time!CD44=1,CD43&gt;Inputs!$F$9),CD42/CD43,0)</f>
        <v/>
      </c>
      <c r="CE44" s="31">
        <f>IF(AND(Time!CE44=1,CE43&gt;Inputs!$F$9),CE42/CE43,0)</f>
        <v/>
      </c>
      <c r="CF44" s="31">
        <f>IF(AND(Time!CF44=1,CF43&gt;Inputs!$F$9),CF42/CF43,0)</f>
        <v/>
      </c>
      <c r="CG44" s="31">
        <f>IF(AND(Time!CG44=1,CG43&gt;Inputs!$F$9),CG42/CG43,0)</f>
        <v/>
      </c>
      <c r="CH44" s="31">
        <f>IF(AND(Time!CH44=1,CH43&gt;Inputs!$F$9),CH42/CH43,0)</f>
        <v/>
      </c>
      <c r="CI44" s="31">
        <f>IF(AND(Time!CI44=1,CI43&gt;Inputs!$F$9),CI42/CI43,0)</f>
        <v/>
      </c>
      <c r="CJ44" s="31">
        <f>IF(AND(Time!CJ44=1,CJ43&gt;Inputs!$F$9),CJ42/CJ43,0)</f>
        <v/>
      </c>
      <c r="CK44" s="31">
        <f>IF(AND(Time!CK44=1,CK43&gt;Inputs!$F$9),CK42/CK43,0)</f>
        <v/>
      </c>
      <c r="CL44" s="31">
        <f>IF(AND(Time!CL44=1,CL43&gt;Inputs!$F$9),CL42/CL43,0)</f>
        <v/>
      </c>
      <c r="CM44" s="31">
        <f>IF(AND(Time!CM44=1,CM43&gt;Inputs!$F$9),CM42/CM43,0)</f>
        <v/>
      </c>
      <c r="CN44" s="31">
        <f>IF(AND(Time!CN44=1,CN43&gt;Inputs!$F$9),CN42/CN43,0)</f>
        <v/>
      </c>
      <c r="CO44" s="31">
        <f>IF(AND(Time!CO44=1,CO43&gt;Inputs!$F$9),CO42/CO43,0)</f>
        <v/>
      </c>
      <c r="CP44" s="31">
        <f>IF(AND(Time!CP44=1,CP43&gt;Inputs!$F$9),CP42/CP43,0)</f>
        <v/>
      </c>
      <c r="CQ44" s="31">
        <f>IF(AND(Time!CQ44=1,CQ43&gt;Inputs!$F$9),CQ42/CQ43,0)</f>
        <v/>
      </c>
      <c r="CR44" s="31">
        <f>IF(AND(Time!CR44=1,CR43&gt;Inputs!$F$9),CR42/CR43,0)</f>
        <v/>
      </c>
      <c r="CS44" s="31">
        <f>IF(AND(Time!CS44=1,CS43&gt;Inputs!$F$9),CS42/CS43,0)</f>
        <v/>
      </c>
      <c r="CT44" s="31">
        <f>IF(AND(Time!CT44=1,CT43&gt;Inputs!$F$9),CT42/CT43,0)</f>
        <v/>
      </c>
      <c r="CU44" s="31">
        <f>IF(AND(Time!CU44=1,CU43&gt;Inputs!$F$9),CU42/CU43,0)</f>
        <v/>
      </c>
      <c r="CV44" s="31">
        <f>IF(AND(Time!CV44=1,CV43&gt;Inputs!$F$9),CV42/CV43,0)</f>
        <v/>
      </c>
      <c r="CW44" s="31">
        <f>IF(AND(Time!CW44=1,CW43&gt;Inputs!$F$9),CW42/CW43,0)</f>
        <v/>
      </c>
      <c r="CX44" s="31">
        <f>IF(AND(Time!CX44=1,CX43&gt;Inputs!$F$9),CX42/CX43,0)</f>
        <v/>
      </c>
      <c r="CY44" s="31">
        <f>IF(AND(Time!CY44=1,CY43&gt;Inputs!$F$9),CY42/CY43,0)</f>
        <v/>
      </c>
      <c r="CZ44" s="31">
        <f>IF(AND(Time!CZ44=1,CZ43&gt;Inputs!$F$9),CZ42/CZ43,0)</f>
        <v/>
      </c>
      <c r="DA44" s="31">
        <f>IF(AND(Time!DA44=1,DA43&gt;Inputs!$F$9),DA42/DA43,0)</f>
        <v/>
      </c>
      <c r="DB44" s="31">
        <f>IF(AND(Time!DB44=1,DB43&gt;Inputs!$F$9),DB42/DB43,0)</f>
        <v/>
      </c>
    </row>
    <row r="45">
      <c r="D45" t="inlineStr">
        <is>
          <t>Lock-up test failed</t>
        </is>
      </c>
      <c r="E45" t="inlineStr">
        <is>
          <t>flag</t>
        </is>
      </c>
      <c r="J45" s="14">
        <f>IF(AND(Time!J44=1,J43&gt;Inputs!$F$9,J44&lt;Inputs!$F$114),1,0)</f>
        <v/>
      </c>
      <c r="K45" s="14">
        <f>IF(AND(Time!K44=1,K43&gt;Inputs!$F$9,K44&lt;Inputs!$F$114),1,0)</f>
        <v/>
      </c>
      <c r="L45" s="14">
        <f>IF(AND(Time!L44=1,L43&gt;Inputs!$F$9,L44&lt;Inputs!$F$114),1,0)</f>
        <v/>
      </c>
      <c r="M45" s="14">
        <f>IF(AND(Time!M44=1,M43&gt;Inputs!$F$9,M44&lt;Inputs!$F$114),1,0)</f>
        <v/>
      </c>
      <c r="N45" s="14">
        <f>IF(AND(Time!N44=1,N43&gt;Inputs!$F$9,N44&lt;Inputs!$F$114),1,0)</f>
        <v/>
      </c>
      <c r="O45" s="14">
        <f>IF(AND(Time!O44=1,O43&gt;Inputs!$F$9,O44&lt;Inputs!$F$114),1,0)</f>
        <v/>
      </c>
      <c r="P45" s="14">
        <f>IF(AND(Time!P44=1,P43&gt;Inputs!$F$9,P44&lt;Inputs!$F$114),1,0)</f>
        <v/>
      </c>
      <c r="Q45" s="14">
        <f>IF(AND(Time!Q44=1,Q43&gt;Inputs!$F$9,Q44&lt;Inputs!$F$114),1,0)</f>
        <v/>
      </c>
      <c r="R45" s="14">
        <f>IF(AND(Time!R44=1,R43&gt;Inputs!$F$9,R44&lt;Inputs!$F$114),1,0)</f>
        <v/>
      </c>
      <c r="S45" s="14">
        <f>IF(AND(Time!S44=1,S43&gt;Inputs!$F$9,S44&lt;Inputs!$F$114),1,0)</f>
        <v/>
      </c>
      <c r="T45" s="14">
        <f>IF(AND(Time!T44=1,T43&gt;Inputs!$F$9,T44&lt;Inputs!$F$114),1,0)</f>
        <v/>
      </c>
      <c r="U45" s="14">
        <f>IF(AND(Time!U44=1,U43&gt;Inputs!$F$9,U44&lt;Inputs!$F$114),1,0)</f>
        <v/>
      </c>
      <c r="V45" s="14">
        <f>IF(AND(Time!V44=1,V43&gt;Inputs!$F$9,V44&lt;Inputs!$F$114),1,0)</f>
        <v/>
      </c>
      <c r="W45" s="14">
        <f>IF(AND(Time!W44=1,W43&gt;Inputs!$F$9,W44&lt;Inputs!$F$114),1,0)</f>
        <v/>
      </c>
      <c r="X45" s="14">
        <f>IF(AND(Time!X44=1,X43&gt;Inputs!$F$9,X44&lt;Inputs!$F$114),1,0)</f>
        <v/>
      </c>
      <c r="Y45" s="14">
        <f>IF(AND(Time!Y44=1,Y43&gt;Inputs!$F$9,Y44&lt;Inputs!$F$114),1,0)</f>
        <v/>
      </c>
      <c r="Z45" s="14">
        <f>IF(AND(Time!Z44=1,Z43&gt;Inputs!$F$9,Z44&lt;Inputs!$F$114),1,0)</f>
        <v/>
      </c>
      <c r="AA45" s="14">
        <f>IF(AND(Time!AA44=1,AA43&gt;Inputs!$F$9,AA44&lt;Inputs!$F$114),1,0)</f>
        <v/>
      </c>
      <c r="AB45" s="14">
        <f>IF(AND(Time!AB44=1,AB43&gt;Inputs!$F$9,AB44&lt;Inputs!$F$114),1,0)</f>
        <v/>
      </c>
      <c r="AC45" s="14">
        <f>IF(AND(Time!AC44=1,AC43&gt;Inputs!$F$9,AC44&lt;Inputs!$F$114),1,0)</f>
        <v/>
      </c>
      <c r="AD45" s="14">
        <f>IF(AND(Time!AD44=1,AD43&gt;Inputs!$F$9,AD44&lt;Inputs!$F$114),1,0)</f>
        <v/>
      </c>
      <c r="AE45" s="14">
        <f>IF(AND(Time!AE44=1,AE43&gt;Inputs!$F$9,AE44&lt;Inputs!$F$114),1,0)</f>
        <v/>
      </c>
      <c r="AF45" s="14">
        <f>IF(AND(Time!AF44=1,AF43&gt;Inputs!$F$9,AF44&lt;Inputs!$F$114),1,0)</f>
        <v/>
      </c>
      <c r="AG45" s="14">
        <f>IF(AND(Time!AG44=1,AG43&gt;Inputs!$F$9,AG44&lt;Inputs!$F$114),1,0)</f>
        <v/>
      </c>
      <c r="AH45" s="14">
        <f>IF(AND(Time!AH44=1,AH43&gt;Inputs!$F$9,AH44&lt;Inputs!$F$114),1,0)</f>
        <v/>
      </c>
      <c r="AI45" s="14">
        <f>IF(AND(Time!AI44=1,AI43&gt;Inputs!$F$9,AI44&lt;Inputs!$F$114),1,0)</f>
        <v/>
      </c>
      <c r="AJ45" s="14">
        <f>IF(AND(Time!AJ44=1,AJ43&gt;Inputs!$F$9,AJ44&lt;Inputs!$F$114),1,0)</f>
        <v/>
      </c>
      <c r="AK45" s="14">
        <f>IF(AND(Time!AK44=1,AK43&gt;Inputs!$F$9,AK44&lt;Inputs!$F$114),1,0)</f>
        <v/>
      </c>
      <c r="AL45" s="14">
        <f>IF(AND(Time!AL44=1,AL43&gt;Inputs!$F$9,AL44&lt;Inputs!$F$114),1,0)</f>
        <v/>
      </c>
      <c r="AM45" s="14">
        <f>IF(AND(Time!AM44=1,AM43&gt;Inputs!$F$9,AM44&lt;Inputs!$F$114),1,0)</f>
        <v/>
      </c>
      <c r="AN45" s="14">
        <f>IF(AND(Time!AN44=1,AN43&gt;Inputs!$F$9,AN44&lt;Inputs!$F$114),1,0)</f>
        <v/>
      </c>
      <c r="AO45" s="14">
        <f>IF(AND(Time!AO44=1,AO43&gt;Inputs!$F$9,AO44&lt;Inputs!$F$114),1,0)</f>
        <v/>
      </c>
      <c r="AP45" s="14">
        <f>IF(AND(Time!AP44=1,AP43&gt;Inputs!$F$9,AP44&lt;Inputs!$F$114),1,0)</f>
        <v/>
      </c>
      <c r="AQ45" s="14">
        <f>IF(AND(Time!AQ44=1,AQ43&gt;Inputs!$F$9,AQ44&lt;Inputs!$F$114),1,0)</f>
        <v/>
      </c>
      <c r="AR45" s="14">
        <f>IF(AND(Time!AR44=1,AR43&gt;Inputs!$F$9,AR44&lt;Inputs!$F$114),1,0)</f>
        <v/>
      </c>
      <c r="AS45" s="14">
        <f>IF(AND(Time!AS44=1,AS43&gt;Inputs!$F$9,AS44&lt;Inputs!$F$114),1,0)</f>
        <v/>
      </c>
      <c r="AT45" s="14">
        <f>IF(AND(Time!AT44=1,AT43&gt;Inputs!$F$9,AT44&lt;Inputs!$F$114),1,0)</f>
        <v/>
      </c>
      <c r="AU45" s="14">
        <f>IF(AND(Time!AU44=1,AU43&gt;Inputs!$F$9,AU44&lt;Inputs!$F$114),1,0)</f>
        <v/>
      </c>
      <c r="AV45" s="14">
        <f>IF(AND(Time!AV44=1,AV43&gt;Inputs!$F$9,AV44&lt;Inputs!$F$114),1,0)</f>
        <v/>
      </c>
      <c r="AW45" s="14">
        <f>IF(AND(Time!AW44=1,AW43&gt;Inputs!$F$9,AW44&lt;Inputs!$F$114),1,0)</f>
        <v/>
      </c>
      <c r="AX45" s="14">
        <f>IF(AND(Time!AX44=1,AX43&gt;Inputs!$F$9,AX44&lt;Inputs!$F$114),1,0)</f>
        <v/>
      </c>
      <c r="AY45" s="14">
        <f>IF(AND(Time!AY44=1,AY43&gt;Inputs!$F$9,AY44&lt;Inputs!$F$114),1,0)</f>
        <v/>
      </c>
      <c r="AZ45" s="14">
        <f>IF(AND(Time!AZ44=1,AZ43&gt;Inputs!$F$9,AZ44&lt;Inputs!$F$114),1,0)</f>
        <v/>
      </c>
      <c r="BA45" s="14">
        <f>IF(AND(Time!BA44=1,BA43&gt;Inputs!$F$9,BA44&lt;Inputs!$F$114),1,0)</f>
        <v/>
      </c>
      <c r="BB45" s="14">
        <f>IF(AND(Time!BB44=1,BB43&gt;Inputs!$F$9,BB44&lt;Inputs!$F$114),1,0)</f>
        <v/>
      </c>
      <c r="BC45" s="14">
        <f>IF(AND(Time!BC44=1,BC43&gt;Inputs!$F$9,BC44&lt;Inputs!$F$114),1,0)</f>
        <v/>
      </c>
      <c r="BD45" s="14">
        <f>IF(AND(Time!BD44=1,BD43&gt;Inputs!$F$9,BD44&lt;Inputs!$F$114),1,0)</f>
        <v/>
      </c>
      <c r="BE45" s="14">
        <f>IF(AND(Time!BE44=1,BE43&gt;Inputs!$F$9,BE44&lt;Inputs!$F$114),1,0)</f>
        <v/>
      </c>
      <c r="BF45" s="14">
        <f>IF(AND(Time!BF44=1,BF43&gt;Inputs!$F$9,BF44&lt;Inputs!$F$114),1,0)</f>
        <v/>
      </c>
      <c r="BG45" s="14">
        <f>IF(AND(Time!BG44=1,BG43&gt;Inputs!$F$9,BG44&lt;Inputs!$F$114),1,0)</f>
        <v/>
      </c>
      <c r="BH45" s="14">
        <f>IF(AND(Time!BH44=1,BH43&gt;Inputs!$F$9,BH44&lt;Inputs!$F$114),1,0)</f>
        <v/>
      </c>
      <c r="BI45" s="14">
        <f>IF(AND(Time!BI44=1,BI43&gt;Inputs!$F$9,BI44&lt;Inputs!$F$114),1,0)</f>
        <v/>
      </c>
      <c r="BJ45" s="14">
        <f>IF(AND(Time!BJ44=1,BJ43&gt;Inputs!$F$9,BJ44&lt;Inputs!$F$114),1,0)</f>
        <v/>
      </c>
      <c r="BK45" s="14">
        <f>IF(AND(Time!BK44=1,BK43&gt;Inputs!$F$9,BK44&lt;Inputs!$F$114),1,0)</f>
        <v/>
      </c>
      <c r="BL45" s="14">
        <f>IF(AND(Time!BL44=1,BL43&gt;Inputs!$F$9,BL44&lt;Inputs!$F$114),1,0)</f>
        <v/>
      </c>
      <c r="BM45" s="14">
        <f>IF(AND(Time!BM44=1,BM43&gt;Inputs!$F$9,BM44&lt;Inputs!$F$114),1,0)</f>
        <v/>
      </c>
      <c r="BN45" s="14">
        <f>IF(AND(Time!BN44=1,BN43&gt;Inputs!$F$9,BN44&lt;Inputs!$F$114),1,0)</f>
        <v/>
      </c>
      <c r="BO45" s="14">
        <f>IF(AND(Time!BO44=1,BO43&gt;Inputs!$F$9,BO44&lt;Inputs!$F$114),1,0)</f>
        <v/>
      </c>
      <c r="BP45" s="14">
        <f>IF(AND(Time!BP44=1,BP43&gt;Inputs!$F$9,BP44&lt;Inputs!$F$114),1,0)</f>
        <v/>
      </c>
      <c r="BQ45" s="14">
        <f>IF(AND(Time!BQ44=1,BQ43&gt;Inputs!$F$9,BQ44&lt;Inputs!$F$114),1,0)</f>
        <v/>
      </c>
      <c r="BR45" s="14">
        <f>IF(AND(Time!BR44=1,BR43&gt;Inputs!$F$9,BR44&lt;Inputs!$F$114),1,0)</f>
        <v/>
      </c>
      <c r="BS45" s="14">
        <f>IF(AND(Time!BS44=1,BS43&gt;Inputs!$F$9,BS44&lt;Inputs!$F$114),1,0)</f>
        <v/>
      </c>
      <c r="BT45" s="14">
        <f>IF(AND(Time!BT44=1,BT43&gt;Inputs!$F$9,BT44&lt;Inputs!$F$114),1,0)</f>
        <v/>
      </c>
      <c r="BU45" s="14">
        <f>IF(AND(Time!BU44=1,BU43&gt;Inputs!$F$9,BU44&lt;Inputs!$F$114),1,0)</f>
        <v/>
      </c>
      <c r="BV45" s="14">
        <f>IF(AND(Time!BV44=1,BV43&gt;Inputs!$F$9,BV44&lt;Inputs!$F$114),1,0)</f>
        <v/>
      </c>
      <c r="BW45" s="14">
        <f>IF(AND(Time!BW44=1,BW43&gt;Inputs!$F$9,BW44&lt;Inputs!$F$114),1,0)</f>
        <v/>
      </c>
      <c r="BX45" s="14">
        <f>IF(AND(Time!BX44=1,BX43&gt;Inputs!$F$9,BX44&lt;Inputs!$F$114),1,0)</f>
        <v/>
      </c>
      <c r="BY45" s="14">
        <f>IF(AND(Time!BY44=1,BY43&gt;Inputs!$F$9,BY44&lt;Inputs!$F$114),1,0)</f>
        <v/>
      </c>
      <c r="BZ45" s="14">
        <f>IF(AND(Time!BZ44=1,BZ43&gt;Inputs!$F$9,BZ44&lt;Inputs!$F$114),1,0)</f>
        <v/>
      </c>
      <c r="CA45" s="14">
        <f>IF(AND(Time!CA44=1,CA43&gt;Inputs!$F$9,CA44&lt;Inputs!$F$114),1,0)</f>
        <v/>
      </c>
      <c r="CB45" s="14">
        <f>IF(AND(Time!CB44=1,CB43&gt;Inputs!$F$9,CB44&lt;Inputs!$F$114),1,0)</f>
        <v/>
      </c>
      <c r="CC45" s="14">
        <f>IF(AND(Time!CC44=1,CC43&gt;Inputs!$F$9,CC44&lt;Inputs!$F$114),1,0)</f>
        <v/>
      </c>
      <c r="CD45" s="14">
        <f>IF(AND(Time!CD44=1,CD43&gt;Inputs!$F$9,CD44&lt;Inputs!$F$114),1,0)</f>
        <v/>
      </c>
      <c r="CE45" s="14">
        <f>IF(AND(Time!CE44=1,CE43&gt;Inputs!$F$9,CE44&lt;Inputs!$F$114),1,0)</f>
        <v/>
      </c>
      <c r="CF45" s="14">
        <f>IF(AND(Time!CF44=1,CF43&gt;Inputs!$F$9,CF44&lt;Inputs!$F$114),1,0)</f>
        <v/>
      </c>
      <c r="CG45" s="14">
        <f>IF(AND(Time!CG44=1,CG43&gt;Inputs!$F$9,CG44&lt;Inputs!$F$114),1,0)</f>
        <v/>
      </c>
      <c r="CH45" s="14">
        <f>IF(AND(Time!CH44=1,CH43&gt;Inputs!$F$9,CH44&lt;Inputs!$F$114),1,0)</f>
        <v/>
      </c>
      <c r="CI45" s="14">
        <f>IF(AND(Time!CI44=1,CI43&gt;Inputs!$F$9,CI44&lt;Inputs!$F$114),1,0)</f>
        <v/>
      </c>
      <c r="CJ45" s="14">
        <f>IF(AND(Time!CJ44=1,CJ43&gt;Inputs!$F$9,CJ44&lt;Inputs!$F$114),1,0)</f>
        <v/>
      </c>
      <c r="CK45" s="14">
        <f>IF(AND(Time!CK44=1,CK43&gt;Inputs!$F$9,CK44&lt;Inputs!$F$114),1,0)</f>
        <v/>
      </c>
      <c r="CL45" s="14">
        <f>IF(AND(Time!CL44=1,CL43&gt;Inputs!$F$9,CL44&lt;Inputs!$F$114),1,0)</f>
        <v/>
      </c>
      <c r="CM45" s="14">
        <f>IF(AND(Time!CM44=1,CM43&gt;Inputs!$F$9,CM44&lt;Inputs!$F$114),1,0)</f>
        <v/>
      </c>
      <c r="CN45" s="14">
        <f>IF(AND(Time!CN44=1,CN43&gt;Inputs!$F$9,CN44&lt;Inputs!$F$114),1,0)</f>
        <v/>
      </c>
      <c r="CO45" s="14">
        <f>IF(AND(Time!CO44=1,CO43&gt;Inputs!$F$9,CO44&lt;Inputs!$F$114),1,0)</f>
        <v/>
      </c>
      <c r="CP45" s="14">
        <f>IF(AND(Time!CP44=1,CP43&gt;Inputs!$F$9,CP44&lt;Inputs!$F$114),1,0)</f>
        <v/>
      </c>
      <c r="CQ45" s="14">
        <f>IF(AND(Time!CQ44=1,CQ43&gt;Inputs!$F$9,CQ44&lt;Inputs!$F$114),1,0)</f>
        <v/>
      </c>
      <c r="CR45" s="14">
        <f>IF(AND(Time!CR44=1,CR43&gt;Inputs!$F$9,CR44&lt;Inputs!$F$114),1,0)</f>
        <v/>
      </c>
      <c r="CS45" s="14">
        <f>IF(AND(Time!CS44=1,CS43&gt;Inputs!$F$9,CS44&lt;Inputs!$F$114),1,0)</f>
        <v/>
      </c>
      <c r="CT45" s="14">
        <f>IF(AND(Time!CT44=1,CT43&gt;Inputs!$F$9,CT44&lt;Inputs!$F$114),1,0)</f>
        <v/>
      </c>
      <c r="CU45" s="14">
        <f>IF(AND(Time!CU44=1,CU43&gt;Inputs!$F$9,CU44&lt;Inputs!$F$114),1,0)</f>
        <v/>
      </c>
      <c r="CV45" s="14">
        <f>IF(AND(Time!CV44=1,CV43&gt;Inputs!$F$9,CV44&lt;Inputs!$F$114),1,0)</f>
        <v/>
      </c>
      <c r="CW45" s="14">
        <f>IF(AND(Time!CW44=1,CW43&gt;Inputs!$F$9,CW44&lt;Inputs!$F$114),1,0)</f>
        <v/>
      </c>
      <c r="CX45" s="14">
        <f>IF(AND(Time!CX44=1,CX43&gt;Inputs!$F$9,CX44&lt;Inputs!$F$114),1,0)</f>
        <v/>
      </c>
      <c r="CY45" s="14">
        <f>IF(AND(Time!CY44=1,CY43&gt;Inputs!$F$9,CY44&lt;Inputs!$F$114),1,0)</f>
        <v/>
      </c>
      <c r="CZ45" s="14">
        <f>IF(AND(Time!CZ44=1,CZ43&gt;Inputs!$F$9,CZ44&lt;Inputs!$F$114),1,0)</f>
        <v/>
      </c>
      <c r="DA45" s="14">
        <f>IF(AND(Time!DA44=1,DA43&gt;Inputs!$F$9,DA44&lt;Inputs!$F$114),1,0)</f>
        <v/>
      </c>
      <c r="DB45" s="14">
        <f>IF(AND(Time!DB44=1,DB43&gt;Inputs!$F$9,DB44&lt;Inputs!$F$114),1,0)</f>
        <v/>
      </c>
    </row>
    <row r="46">
      <c r="D46" t="inlineStr">
        <is>
          <t>Default test failed</t>
        </is>
      </c>
      <c r="E46" t="inlineStr">
        <is>
          <t>flag</t>
        </is>
      </c>
      <c r="J46" s="14">
        <f>IF(AND(Time!J45=1,J43&gt;Inputs!$F$9,J44&lt;Inputs!$F$115),1,0)</f>
        <v/>
      </c>
      <c r="K46" s="14">
        <f>IF(AND(Time!K45=1,K43&gt;Inputs!$F$9,K44&lt;Inputs!$F$115),1,0)</f>
        <v/>
      </c>
      <c r="L46" s="14">
        <f>IF(AND(Time!L45=1,L43&gt;Inputs!$F$9,L44&lt;Inputs!$F$115),1,0)</f>
        <v/>
      </c>
      <c r="M46" s="14">
        <f>IF(AND(Time!M45=1,M43&gt;Inputs!$F$9,M44&lt;Inputs!$F$115),1,0)</f>
        <v/>
      </c>
      <c r="N46" s="14">
        <f>IF(AND(Time!N45=1,N43&gt;Inputs!$F$9,N44&lt;Inputs!$F$115),1,0)</f>
        <v/>
      </c>
      <c r="O46" s="14">
        <f>IF(AND(Time!O45=1,O43&gt;Inputs!$F$9,O44&lt;Inputs!$F$115),1,0)</f>
        <v/>
      </c>
      <c r="P46" s="14">
        <f>IF(AND(Time!P45=1,P43&gt;Inputs!$F$9,P44&lt;Inputs!$F$115),1,0)</f>
        <v/>
      </c>
      <c r="Q46" s="14">
        <f>IF(AND(Time!Q45=1,Q43&gt;Inputs!$F$9,Q44&lt;Inputs!$F$115),1,0)</f>
        <v/>
      </c>
      <c r="R46" s="14">
        <f>IF(AND(Time!R45=1,R43&gt;Inputs!$F$9,R44&lt;Inputs!$F$115),1,0)</f>
        <v/>
      </c>
      <c r="S46" s="14">
        <f>IF(AND(Time!S45=1,S43&gt;Inputs!$F$9,S44&lt;Inputs!$F$115),1,0)</f>
        <v/>
      </c>
      <c r="T46" s="14">
        <f>IF(AND(Time!T45=1,T43&gt;Inputs!$F$9,T44&lt;Inputs!$F$115),1,0)</f>
        <v/>
      </c>
      <c r="U46" s="14">
        <f>IF(AND(Time!U45=1,U43&gt;Inputs!$F$9,U44&lt;Inputs!$F$115),1,0)</f>
        <v/>
      </c>
      <c r="V46" s="14">
        <f>IF(AND(Time!V45=1,V43&gt;Inputs!$F$9,V44&lt;Inputs!$F$115),1,0)</f>
        <v/>
      </c>
      <c r="W46" s="14">
        <f>IF(AND(Time!W45=1,W43&gt;Inputs!$F$9,W44&lt;Inputs!$F$115),1,0)</f>
        <v/>
      </c>
      <c r="X46" s="14">
        <f>IF(AND(Time!X45=1,X43&gt;Inputs!$F$9,X44&lt;Inputs!$F$115),1,0)</f>
        <v/>
      </c>
      <c r="Y46" s="14">
        <f>IF(AND(Time!Y45=1,Y43&gt;Inputs!$F$9,Y44&lt;Inputs!$F$115),1,0)</f>
        <v/>
      </c>
      <c r="Z46" s="14">
        <f>IF(AND(Time!Z45=1,Z43&gt;Inputs!$F$9,Z44&lt;Inputs!$F$115),1,0)</f>
        <v/>
      </c>
      <c r="AA46" s="14">
        <f>IF(AND(Time!AA45=1,AA43&gt;Inputs!$F$9,AA44&lt;Inputs!$F$115),1,0)</f>
        <v/>
      </c>
      <c r="AB46" s="14">
        <f>IF(AND(Time!AB45=1,AB43&gt;Inputs!$F$9,AB44&lt;Inputs!$F$115),1,0)</f>
        <v/>
      </c>
      <c r="AC46" s="14">
        <f>IF(AND(Time!AC45=1,AC43&gt;Inputs!$F$9,AC44&lt;Inputs!$F$115),1,0)</f>
        <v/>
      </c>
      <c r="AD46" s="14">
        <f>IF(AND(Time!AD45=1,AD43&gt;Inputs!$F$9,AD44&lt;Inputs!$F$115),1,0)</f>
        <v/>
      </c>
      <c r="AE46" s="14">
        <f>IF(AND(Time!AE45=1,AE43&gt;Inputs!$F$9,AE44&lt;Inputs!$F$115),1,0)</f>
        <v/>
      </c>
      <c r="AF46" s="14">
        <f>IF(AND(Time!AF45=1,AF43&gt;Inputs!$F$9,AF44&lt;Inputs!$F$115),1,0)</f>
        <v/>
      </c>
      <c r="AG46" s="14">
        <f>IF(AND(Time!AG45=1,AG43&gt;Inputs!$F$9,AG44&lt;Inputs!$F$115),1,0)</f>
        <v/>
      </c>
      <c r="AH46" s="14">
        <f>IF(AND(Time!AH45=1,AH43&gt;Inputs!$F$9,AH44&lt;Inputs!$F$115),1,0)</f>
        <v/>
      </c>
      <c r="AI46" s="14">
        <f>IF(AND(Time!AI45=1,AI43&gt;Inputs!$F$9,AI44&lt;Inputs!$F$115),1,0)</f>
        <v/>
      </c>
      <c r="AJ46" s="14">
        <f>IF(AND(Time!AJ45=1,AJ43&gt;Inputs!$F$9,AJ44&lt;Inputs!$F$115),1,0)</f>
        <v/>
      </c>
      <c r="AK46" s="14">
        <f>IF(AND(Time!AK45=1,AK43&gt;Inputs!$F$9,AK44&lt;Inputs!$F$115),1,0)</f>
        <v/>
      </c>
      <c r="AL46" s="14">
        <f>IF(AND(Time!AL45=1,AL43&gt;Inputs!$F$9,AL44&lt;Inputs!$F$115),1,0)</f>
        <v/>
      </c>
      <c r="AM46" s="14">
        <f>IF(AND(Time!AM45=1,AM43&gt;Inputs!$F$9,AM44&lt;Inputs!$F$115),1,0)</f>
        <v/>
      </c>
      <c r="AN46" s="14">
        <f>IF(AND(Time!AN45=1,AN43&gt;Inputs!$F$9,AN44&lt;Inputs!$F$115),1,0)</f>
        <v/>
      </c>
      <c r="AO46" s="14">
        <f>IF(AND(Time!AO45=1,AO43&gt;Inputs!$F$9,AO44&lt;Inputs!$F$115),1,0)</f>
        <v/>
      </c>
      <c r="AP46" s="14">
        <f>IF(AND(Time!AP45=1,AP43&gt;Inputs!$F$9,AP44&lt;Inputs!$F$115),1,0)</f>
        <v/>
      </c>
      <c r="AQ46" s="14">
        <f>IF(AND(Time!AQ45=1,AQ43&gt;Inputs!$F$9,AQ44&lt;Inputs!$F$115),1,0)</f>
        <v/>
      </c>
      <c r="AR46" s="14">
        <f>IF(AND(Time!AR45=1,AR43&gt;Inputs!$F$9,AR44&lt;Inputs!$F$115),1,0)</f>
        <v/>
      </c>
      <c r="AS46" s="14">
        <f>IF(AND(Time!AS45=1,AS43&gt;Inputs!$F$9,AS44&lt;Inputs!$F$115),1,0)</f>
        <v/>
      </c>
      <c r="AT46" s="14">
        <f>IF(AND(Time!AT45=1,AT43&gt;Inputs!$F$9,AT44&lt;Inputs!$F$115),1,0)</f>
        <v/>
      </c>
      <c r="AU46" s="14">
        <f>IF(AND(Time!AU45=1,AU43&gt;Inputs!$F$9,AU44&lt;Inputs!$F$115),1,0)</f>
        <v/>
      </c>
      <c r="AV46" s="14">
        <f>IF(AND(Time!AV45=1,AV43&gt;Inputs!$F$9,AV44&lt;Inputs!$F$115),1,0)</f>
        <v/>
      </c>
      <c r="AW46" s="14">
        <f>IF(AND(Time!AW45=1,AW43&gt;Inputs!$F$9,AW44&lt;Inputs!$F$115),1,0)</f>
        <v/>
      </c>
      <c r="AX46" s="14">
        <f>IF(AND(Time!AX45=1,AX43&gt;Inputs!$F$9,AX44&lt;Inputs!$F$115),1,0)</f>
        <v/>
      </c>
      <c r="AY46" s="14">
        <f>IF(AND(Time!AY45=1,AY43&gt;Inputs!$F$9,AY44&lt;Inputs!$F$115),1,0)</f>
        <v/>
      </c>
      <c r="AZ46" s="14">
        <f>IF(AND(Time!AZ45=1,AZ43&gt;Inputs!$F$9,AZ44&lt;Inputs!$F$115),1,0)</f>
        <v/>
      </c>
      <c r="BA46" s="14">
        <f>IF(AND(Time!BA45=1,BA43&gt;Inputs!$F$9,BA44&lt;Inputs!$F$115),1,0)</f>
        <v/>
      </c>
      <c r="BB46" s="14">
        <f>IF(AND(Time!BB45=1,BB43&gt;Inputs!$F$9,BB44&lt;Inputs!$F$115),1,0)</f>
        <v/>
      </c>
      <c r="BC46" s="14">
        <f>IF(AND(Time!BC45=1,BC43&gt;Inputs!$F$9,BC44&lt;Inputs!$F$115),1,0)</f>
        <v/>
      </c>
      <c r="BD46" s="14">
        <f>IF(AND(Time!BD45=1,BD43&gt;Inputs!$F$9,BD44&lt;Inputs!$F$115),1,0)</f>
        <v/>
      </c>
      <c r="BE46" s="14">
        <f>IF(AND(Time!BE45=1,BE43&gt;Inputs!$F$9,BE44&lt;Inputs!$F$115),1,0)</f>
        <v/>
      </c>
      <c r="BF46" s="14">
        <f>IF(AND(Time!BF45=1,BF43&gt;Inputs!$F$9,BF44&lt;Inputs!$F$115),1,0)</f>
        <v/>
      </c>
      <c r="BG46" s="14">
        <f>IF(AND(Time!BG45=1,BG43&gt;Inputs!$F$9,BG44&lt;Inputs!$F$115),1,0)</f>
        <v/>
      </c>
      <c r="BH46" s="14">
        <f>IF(AND(Time!BH45=1,BH43&gt;Inputs!$F$9,BH44&lt;Inputs!$F$115),1,0)</f>
        <v/>
      </c>
      <c r="BI46" s="14">
        <f>IF(AND(Time!BI45=1,BI43&gt;Inputs!$F$9,BI44&lt;Inputs!$F$115),1,0)</f>
        <v/>
      </c>
      <c r="BJ46" s="14">
        <f>IF(AND(Time!BJ45=1,BJ43&gt;Inputs!$F$9,BJ44&lt;Inputs!$F$115),1,0)</f>
        <v/>
      </c>
      <c r="BK46" s="14">
        <f>IF(AND(Time!BK45=1,BK43&gt;Inputs!$F$9,BK44&lt;Inputs!$F$115),1,0)</f>
        <v/>
      </c>
      <c r="BL46" s="14">
        <f>IF(AND(Time!BL45=1,BL43&gt;Inputs!$F$9,BL44&lt;Inputs!$F$115),1,0)</f>
        <v/>
      </c>
      <c r="BM46" s="14">
        <f>IF(AND(Time!BM45=1,BM43&gt;Inputs!$F$9,BM44&lt;Inputs!$F$115),1,0)</f>
        <v/>
      </c>
      <c r="BN46" s="14">
        <f>IF(AND(Time!BN45=1,BN43&gt;Inputs!$F$9,BN44&lt;Inputs!$F$115),1,0)</f>
        <v/>
      </c>
      <c r="BO46" s="14">
        <f>IF(AND(Time!BO45=1,BO43&gt;Inputs!$F$9,BO44&lt;Inputs!$F$115),1,0)</f>
        <v/>
      </c>
      <c r="BP46" s="14">
        <f>IF(AND(Time!BP45=1,BP43&gt;Inputs!$F$9,BP44&lt;Inputs!$F$115),1,0)</f>
        <v/>
      </c>
      <c r="BQ46" s="14">
        <f>IF(AND(Time!BQ45=1,BQ43&gt;Inputs!$F$9,BQ44&lt;Inputs!$F$115),1,0)</f>
        <v/>
      </c>
      <c r="BR46" s="14">
        <f>IF(AND(Time!BR45=1,BR43&gt;Inputs!$F$9,BR44&lt;Inputs!$F$115),1,0)</f>
        <v/>
      </c>
      <c r="BS46" s="14">
        <f>IF(AND(Time!BS45=1,BS43&gt;Inputs!$F$9,BS44&lt;Inputs!$F$115),1,0)</f>
        <v/>
      </c>
      <c r="BT46" s="14">
        <f>IF(AND(Time!BT45=1,BT43&gt;Inputs!$F$9,BT44&lt;Inputs!$F$115),1,0)</f>
        <v/>
      </c>
      <c r="BU46" s="14">
        <f>IF(AND(Time!BU45=1,BU43&gt;Inputs!$F$9,BU44&lt;Inputs!$F$115),1,0)</f>
        <v/>
      </c>
      <c r="BV46" s="14">
        <f>IF(AND(Time!BV45=1,BV43&gt;Inputs!$F$9,BV44&lt;Inputs!$F$115),1,0)</f>
        <v/>
      </c>
      <c r="BW46" s="14">
        <f>IF(AND(Time!BW45=1,BW43&gt;Inputs!$F$9,BW44&lt;Inputs!$F$115),1,0)</f>
        <v/>
      </c>
      <c r="BX46" s="14">
        <f>IF(AND(Time!BX45=1,BX43&gt;Inputs!$F$9,BX44&lt;Inputs!$F$115),1,0)</f>
        <v/>
      </c>
      <c r="BY46" s="14">
        <f>IF(AND(Time!BY45=1,BY43&gt;Inputs!$F$9,BY44&lt;Inputs!$F$115),1,0)</f>
        <v/>
      </c>
      <c r="BZ46" s="14">
        <f>IF(AND(Time!BZ45=1,BZ43&gt;Inputs!$F$9,BZ44&lt;Inputs!$F$115),1,0)</f>
        <v/>
      </c>
      <c r="CA46" s="14">
        <f>IF(AND(Time!CA45=1,CA43&gt;Inputs!$F$9,CA44&lt;Inputs!$F$115),1,0)</f>
        <v/>
      </c>
      <c r="CB46" s="14">
        <f>IF(AND(Time!CB45=1,CB43&gt;Inputs!$F$9,CB44&lt;Inputs!$F$115),1,0)</f>
        <v/>
      </c>
      <c r="CC46" s="14">
        <f>IF(AND(Time!CC45=1,CC43&gt;Inputs!$F$9,CC44&lt;Inputs!$F$115),1,0)</f>
        <v/>
      </c>
      <c r="CD46" s="14">
        <f>IF(AND(Time!CD45=1,CD43&gt;Inputs!$F$9,CD44&lt;Inputs!$F$115),1,0)</f>
        <v/>
      </c>
      <c r="CE46" s="14">
        <f>IF(AND(Time!CE45=1,CE43&gt;Inputs!$F$9,CE44&lt;Inputs!$F$115),1,0)</f>
        <v/>
      </c>
      <c r="CF46" s="14">
        <f>IF(AND(Time!CF45=1,CF43&gt;Inputs!$F$9,CF44&lt;Inputs!$F$115),1,0)</f>
        <v/>
      </c>
      <c r="CG46" s="14">
        <f>IF(AND(Time!CG45=1,CG43&gt;Inputs!$F$9,CG44&lt;Inputs!$F$115),1,0)</f>
        <v/>
      </c>
      <c r="CH46" s="14">
        <f>IF(AND(Time!CH45=1,CH43&gt;Inputs!$F$9,CH44&lt;Inputs!$F$115),1,0)</f>
        <v/>
      </c>
      <c r="CI46" s="14">
        <f>IF(AND(Time!CI45=1,CI43&gt;Inputs!$F$9,CI44&lt;Inputs!$F$115),1,0)</f>
        <v/>
      </c>
      <c r="CJ46" s="14">
        <f>IF(AND(Time!CJ45=1,CJ43&gt;Inputs!$F$9,CJ44&lt;Inputs!$F$115),1,0)</f>
        <v/>
      </c>
      <c r="CK46" s="14">
        <f>IF(AND(Time!CK45=1,CK43&gt;Inputs!$F$9,CK44&lt;Inputs!$F$115),1,0)</f>
        <v/>
      </c>
      <c r="CL46" s="14">
        <f>IF(AND(Time!CL45=1,CL43&gt;Inputs!$F$9,CL44&lt;Inputs!$F$115),1,0)</f>
        <v/>
      </c>
      <c r="CM46" s="14">
        <f>IF(AND(Time!CM45=1,CM43&gt;Inputs!$F$9,CM44&lt;Inputs!$F$115),1,0)</f>
        <v/>
      </c>
      <c r="CN46" s="14">
        <f>IF(AND(Time!CN45=1,CN43&gt;Inputs!$F$9,CN44&lt;Inputs!$F$115),1,0)</f>
        <v/>
      </c>
      <c r="CO46" s="14">
        <f>IF(AND(Time!CO45=1,CO43&gt;Inputs!$F$9,CO44&lt;Inputs!$F$115),1,0)</f>
        <v/>
      </c>
      <c r="CP46" s="14">
        <f>IF(AND(Time!CP45=1,CP43&gt;Inputs!$F$9,CP44&lt;Inputs!$F$115),1,0)</f>
        <v/>
      </c>
      <c r="CQ46" s="14">
        <f>IF(AND(Time!CQ45=1,CQ43&gt;Inputs!$F$9,CQ44&lt;Inputs!$F$115),1,0)</f>
        <v/>
      </c>
      <c r="CR46" s="14">
        <f>IF(AND(Time!CR45=1,CR43&gt;Inputs!$F$9,CR44&lt;Inputs!$F$115),1,0)</f>
        <v/>
      </c>
      <c r="CS46" s="14">
        <f>IF(AND(Time!CS45=1,CS43&gt;Inputs!$F$9,CS44&lt;Inputs!$F$115),1,0)</f>
        <v/>
      </c>
      <c r="CT46" s="14">
        <f>IF(AND(Time!CT45=1,CT43&gt;Inputs!$F$9,CT44&lt;Inputs!$F$115),1,0)</f>
        <v/>
      </c>
      <c r="CU46" s="14">
        <f>IF(AND(Time!CU45=1,CU43&gt;Inputs!$F$9,CU44&lt;Inputs!$F$115),1,0)</f>
        <v/>
      </c>
      <c r="CV46" s="14">
        <f>IF(AND(Time!CV45=1,CV43&gt;Inputs!$F$9,CV44&lt;Inputs!$F$115),1,0)</f>
        <v/>
      </c>
      <c r="CW46" s="14">
        <f>IF(AND(Time!CW45=1,CW43&gt;Inputs!$F$9,CW44&lt;Inputs!$F$115),1,0)</f>
        <v/>
      </c>
      <c r="CX46" s="14">
        <f>IF(AND(Time!CX45=1,CX43&gt;Inputs!$F$9,CX44&lt;Inputs!$F$115),1,0)</f>
        <v/>
      </c>
      <c r="CY46" s="14">
        <f>IF(AND(Time!CY45=1,CY43&gt;Inputs!$F$9,CY44&lt;Inputs!$F$115),1,0)</f>
        <v/>
      </c>
      <c r="CZ46" s="14">
        <f>IF(AND(Time!CZ45=1,CZ43&gt;Inputs!$F$9,CZ44&lt;Inputs!$F$115),1,0)</f>
        <v/>
      </c>
      <c r="DA46" s="14">
        <f>IF(AND(Time!DA45=1,DA43&gt;Inputs!$F$9,DA44&lt;Inputs!$F$115),1,0)</f>
        <v/>
      </c>
      <c r="DB46" s="14">
        <f>IF(AND(Time!DB45=1,DB43&gt;Inputs!$F$9,DB44&lt;Inputs!$F$115),1,0)</f>
        <v/>
      </c>
    </row>
    <row r="47">
      <c r="D47" t="inlineStr">
        <is>
          <t>Event of default continuing</t>
        </is>
      </c>
      <c r="E47" t="inlineStr">
        <is>
          <t>flag</t>
        </is>
      </c>
      <c r="J47" s="14">
        <f>IF(AND(Time!J20=0,Time!J23=0,OR(I47=1,J46=1)),1,0)</f>
        <v/>
      </c>
      <c r="K47" s="14">
        <f>IF(AND(Time!K20=0,Time!K23=0,OR(J47=1,K46=1)),1,0)</f>
        <v/>
      </c>
      <c r="L47" s="14">
        <f>IF(AND(Time!L20=0,Time!L23=0,OR(K47=1,L46=1)),1,0)</f>
        <v/>
      </c>
      <c r="M47" s="14">
        <f>IF(AND(Time!M20=0,Time!M23=0,OR(L47=1,M46=1)),1,0)</f>
        <v/>
      </c>
      <c r="N47" s="14">
        <f>IF(AND(Time!N20=0,Time!N23=0,OR(M47=1,N46=1)),1,0)</f>
        <v/>
      </c>
      <c r="O47" s="14">
        <f>IF(AND(Time!O20=0,Time!O23=0,OR(N47=1,O46=1)),1,0)</f>
        <v/>
      </c>
      <c r="P47" s="14">
        <f>IF(AND(Time!P20=0,Time!P23=0,OR(O47=1,P46=1)),1,0)</f>
        <v/>
      </c>
      <c r="Q47" s="14">
        <f>IF(AND(Time!Q20=0,Time!Q23=0,OR(P47=1,Q46=1)),1,0)</f>
        <v/>
      </c>
      <c r="R47" s="14">
        <f>IF(AND(Time!R20=0,Time!R23=0,OR(Q47=1,R46=1)),1,0)</f>
        <v/>
      </c>
      <c r="S47" s="14">
        <f>IF(AND(Time!S20=0,Time!S23=0,OR(R47=1,S46=1)),1,0)</f>
        <v/>
      </c>
      <c r="T47" s="14">
        <f>IF(AND(Time!T20=0,Time!T23=0,OR(S47=1,T46=1)),1,0)</f>
        <v/>
      </c>
      <c r="U47" s="14">
        <f>IF(AND(Time!U20=0,Time!U23=0,OR(T47=1,U46=1)),1,0)</f>
        <v/>
      </c>
      <c r="V47" s="14">
        <f>IF(AND(Time!V20=0,Time!V23=0,OR(U47=1,V46=1)),1,0)</f>
        <v/>
      </c>
      <c r="W47" s="14">
        <f>IF(AND(Time!W20=0,Time!W23=0,OR(V47=1,W46=1)),1,0)</f>
        <v/>
      </c>
      <c r="X47" s="14">
        <f>IF(AND(Time!X20=0,Time!X23=0,OR(W47=1,X46=1)),1,0)</f>
        <v/>
      </c>
      <c r="Y47" s="14">
        <f>IF(AND(Time!Y20=0,Time!Y23=0,OR(X47=1,Y46=1)),1,0)</f>
        <v/>
      </c>
      <c r="Z47" s="14">
        <f>IF(AND(Time!Z20=0,Time!Z23=0,OR(Y47=1,Z46=1)),1,0)</f>
        <v/>
      </c>
      <c r="AA47" s="14">
        <f>IF(AND(Time!AA20=0,Time!AA23=0,OR(Z47=1,AA46=1)),1,0)</f>
        <v/>
      </c>
      <c r="AB47" s="14">
        <f>IF(AND(Time!AB20=0,Time!AB23=0,OR(AA47=1,AB46=1)),1,0)</f>
        <v/>
      </c>
      <c r="AC47" s="14">
        <f>IF(AND(Time!AC20=0,Time!AC23=0,OR(AB47=1,AC46=1)),1,0)</f>
        <v/>
      </c>
      <c r="AD47" s="14">
        <f>IF(AND(Time!AD20=0,Time!AD23=0,OR(AC47=1,AD46=1)),1,0)</f>
        <v/>
      </c>
      <c r="AE47" s="14">
        <f>IF(AND(Time!AE20=0,Time!AE23=0,OR(AD47=1,AE46=1)),1,0)</f>
        <v/>
      </c>
      <c r="AF47" s="14">
        <f>IF(AND(Time!AF20=0,Time!AF23=0,OR(AE47=1,AF46=1)),1,0)</f>
        <v/>
      </c>
      <c r="AG47" s="14">
        <f>IF(AND(Time!AG20=0,Time!AG23=0,OR(AF47=1,AG46=1)),1,0)</f>
        <v/>
      </c>
      <c r="AH47" s="14">
        <f>IF(AND(Time!AH20=0,Time!AH23=0,OR(AG47=1,AH46=1)),1,0)</f>
        <v/>
      </c>
      <c r="AI47" s="14">
        <f>IF(AND(Time!AI20=0,Time!AI23=0,OR(AH47=1,AI46=1)),1,0)</f>
        <v/>
      </c>
      <c r="AJ47" s="14">
        <f>IF(AND(Time!AJ20=0,Time!AJ23=0,OR(AI47=1,AJ46=1)),1,0)</f>
        <v/>
      </c>
      <c r="AK47" s="14">
        <f>IF(AND(Time!AK20=0,Time!AK23=0,OR(AJ47=1,AK46=1)),1,0)</f>
        <v/>
      </c>
      <c r="AL47" s="14">
        <f>IF(AND(Time!AL20=0,Time!AL23=0,OR(AK47=1,AL46=1)),1,0)</f>
        <v/>
      </c>
      <c r="AM47" s="14">
        <f>IF(AND(Time!AM20=0,Time!AM23=0,OR(AL47=1,AM46=1)),1,0)</f>
        <v/>
      </c>
      <c r="AN47" s="14">
        <f>IF(AND(Time!AN20=0,Time!AN23=0,OR(AM47=1,AN46=1)),1,0)</f>
        <v/>
      </c>
      <c r="AO47" s="14">
        <f>IF(AND(Time!AO20=0,Time!AO23=0,OR(AN47=1,AO46=1)),1,0)</f>
        <v/>
      </c>
      <c r="AP47" s="14">
        <f>IF(AND(Time!AP20=0,Time!AP23=0,OR(AO47=1,AP46=1)),1,0)</f>
        <v/>
      </c>
      <c r="AQ47" s="14">
        <f>IF(AND(Time!AQ20=0,Time!AQ23=0,OR(AP47=1,AQ46=1)),1,0)</f>
        <v/>
      </c>
      <c r="AR47" s="14">
        <f>IF(AND(Time!AR20=0,Time!AR23=0,OR(AQ47=1,AR46=1)),1,0)</f>
        <v/>
      </c>
      <c r="AS47" s="14">
        <f>IF(AND(Time!AS20=0,Time!AS23=0,OR(AR47=1,AS46=1)),1,0)</f>
        <v/>
      </c>
      <c r="AT47" s="14">
        <f>IF(AND(Time!AT20=0,Time!AT23=0,OR(AS47=1,AT46=1)),1,0)</f>
        <v/>
      </c>
      <c r="AU47" s="14">
        <f>IF(AND(Time!AU20=0,Time!AU23=0,OR(AT47=1,AU46=1)),1,0)</f>
        <v/>
      </c>
      <c r="AV47" s="14">
        <f>IF(AND(Time!AV20=0,Time!AV23=0,OR(AU47=1,AV46=1)),1,0)</f>
        <v/>
      </c>
      <c r="AW47" s="14">
        <f>IF(AND(Time!AW20=0,Time!AW23=0,OR(AV47=1,AW46=1)),1,0)</f>
        <v/>
      </c>
      <c r="AX47" s="14">
        <f>IF(AND(Time!AX20=0,Time!AX23=0,OR(AW47=1,AX46=1)),1,0)</f>
        <v/>
      </c>
      <c r="AY47" s="14">
        <f>IF(AND(Time!AY20=0,Time!AY23=0,OR(AX47=1,AY46=1)),1,0)</f>
        <v/>
      </c>
      <c r="AZ47" s="14">
        <f>IF(AND(Time!AZ20=0,Time!AZ23=0,OR(AY47=1,AZ46=1)),1,0)</f>
        <v/>
      </c>
      <c r="BA47" s="14">
        <f>IF(AND(Time!BA20=0,Time!BA23=0,OR(AZ47=1,BA46=1)),1,0)</f>
        <v/>
      </c>
      <c r="BB47" s="14">
        <f>IF(AND(Time!BB20=0,Time!BB23=0,OR(BA47=1,BB46=1)),1,0)</f>
        <v/>
      </c>
      <c r="BC47" s="14">
        <f>IF(AND(Time!BC20=0,Time!BC23=0,OR(BB47=1,BC46=1)),1,0)</f>
        <v/>
      </c>
      <c r="BD47" s="14">
        <f>IF(AND(Time!BD20=0,Time!BD23=0,OR(BC47=1,BD46=1)),1,0)</f>
        <v/>
      </c>
      <c r="BE47" s="14">
        <f>IF(AND(Time!BE20=0,Time!BE23=0,OR(BD47=1,BE46=1)),1,0)</f>
        <v/>
      </c>
      <c r="BF47" s="14">
        <f>IF(AND(Time!BF20=0,Time!BF23=0,OR(BE47=1,BF46=1)),1,0)</f>
        <v/>
      </c>
      <c r="BG47" s="14">
        <f>IF(AND(Time!BG20=0,Time!BG23=0,OR(BF47=1,BG46=1)),1,0)</f>
        <v/>
      </c>
      <c r="BH47" s="14">
        <f>IF(AND(Time!BH20=0,Time!BH23=0,OR(BG47=1,BH46=1)),1,0)</f>
        <v/>
      </c>
      <c r="BI47" s="14">
        <f>IF(AND(Time!BI20=0,Time!BI23=0,OR(BH47=1,BI46=1)),1,0)</f>
        <v/>
      </c>
      <c r="BJ47" s="14">
        <f>IF(AND(Time!BJ20=0,Time!BJ23=0,OR(BI47=1,BJ46=1)),1,0)</f>
        <v/>
      </c>
      <c r="BK47" s="14">
        <f>IF(AND(Time!BK20=0,Time!BK23=0,OR(BJ47=1,BK46=1)),1,0)</f>
        <v/>
      </c>
      <c r="BL47" s="14">
        <f>IF(AND(Time!BL20=0,Time!BL23=0,OR(BK47=1,BL46=1)),1,0)</f>
        <v/>
      </c>
      <c r="BM47" s="14">
        <f>IF(AND(Time!BM20=0,Time!BM23=0,OR(BL47=1,BM46=1)),1,0)</f>
        <v/>
      </c>
      <c r="BN47" s="14">
        <f>IF(AND(Time!BN20=0,Time!BN23=0,OR(BM47=1,BN46=1)),1,0)</f>
        <v/>
      </c>
      <c r="BO47" s="14">
        <f>IF(AND(Time!BO20=0,Time!BO23=0,OR(BN47=1,BO46=1)),1,0)</f>
        <v/>
      </c>
      <c r="BP47" s="14">
        <f>IF(AND(Time!BP20=0,Time!BP23=0,OR(BO47=1,BP46=1)),1,0)</f>
        <v/>
      </c>
      <c r="BQ47" s="14">
        <f>IF(AND(Time!BQ20=0,Time!BQ23=0,OR(BP47=1,BQ46=1)),1,0)</f>
        <v/>
      </c>
      <c r="BR47" s="14">
        <f>IF(AND(Time!BR20=0,Time!BR23=0,OR(BQ47=1,BR46=1)),1,0)</f>
        <v/>
      </c>
      <c r="BS47" s="14">
        <f>IF(AND(Time!BS20=0,Time!BS23=0,OR(BR47=1,BS46=1)),1,0)</f>
        <v/>
      </c>
      <c r="BT47" s="14">
        <f>IF(AND(Time!BT20=0,Time!BT23=0,OR(BS47=1,BT46=1)),1,0)</f>
        <v/>
      </c>
      <c r="BU47" s="14">
        <f>IF(AND(Time!BU20=0,Time!BU23=0,OR(BT47=1,BU46=1)),1,0)</f>
        <v/>
      </c>
      <c r="BV47" s="14">
        <f>IF(AND(Time!BV20=0,Time!BV23=0,OR(BU47=1,BV46=1)),1,0)</f>
        <v/>
      </c>
      <c r="BW47" s="14">
        <f>IF(AND(Time!BW20=0,Time!BW23=0,OR(BV47=1,BW46=1)),1,0)</f>
        <v/>
      </c>
      <c r="BX47" s="14">
        <f>IF(AND(Time!BX20=0,Time!BX23=0,OR(BW47=1,BX46=1)),1,0)</f>
        <v/>
      </c>
      <c r="BY47" s="14">
        <f>IF(AND(Time!BY20=0,Time!BY23=0,OR(BX47=1,BY46=1)),1,0)</f>
        <v/>
      </c>
      <c r="BZ47" s="14">
        <f>IF(AND(Time!BZ20=0,Time!BZ23=0,OR(BY47=1,BZ46=1)),1,0)</f>
        <v/>
      </c>
      <c r="CA47" s="14">
        <f>IF(AND(Time!CA20=0,Time!CA23=0,OR(BZ47=1,CA46=1)),1,0)</f>
        <v/>
      </c>
      <c r="CB47" s="14">
        <f>IF(AND(Time!CB20=0,Time!CB23=0,OR(CA47=1,CB46=1)),1,0)</f>
        <v/>
      </c>
      <c r="CC47" s="14">
        <f>IF(AND(Time!CC20=0,Time!CC23=0,OR(CB47=1,CC46=1)),1,0)</f>
        <v/>
      </c>
      <c r="CD47" s="14">
        <f>IF(AND(Time!CD20=0,Time!CD23=0,OR(CC47=1,CD46=1)),1,0)</f>
        <v/>
      </c>
      <c r="CE47" s="14">
        <f>IF(AND(Time!CE20=0,Time!CE23=0,OR(CD47=1,CE46=1)),1,0)</f>
        <v/>
      </c>
      <c r="CF47" s="14">
        <f>IF(AND(Time!CF20=0,Time!CF23=0,OR(CE47=1,CF46=1)),1,0)</f>
        <v/>
      </c>
      <c r="CG47" s="14">
        <f>IF(AND(Time!CG20=0,Time!CG23=0,OR(CF47=1,CG46=1)),1,0)</f>
        <v/>
      </c>
      <c r="CH47" s="14">
        <f>IF(AND(Time!CH20=0,Time!CH23=0,OR(CG47=1,CH46=1)),1,0)</f>
        <v/>
      </c>
      <c r="CI47" s="14">
        <f>IF(AND(Time!CI20=0,Time!CI23=0,OR(CH47=1,CI46=1)),1,0)</f>
        <v/>
      </c>
      <c r="CJ47" s="14">
        <f>IF(AND(Time!CJ20=0,Time!CJ23=0,OR(CI47=1,CJ46=1)),1,0)</f>
        <v/>
      </c>
      <c r="CK47" s="14">
        <f>IF(AND(Time!CK20=0,Time!CK23=0,OR(CJ47=1,CK46=1)),1,0)</f>
        <v/>
      </c>
      <c r="CL47" s="14">
        <f>IF(AND(Time!CL20=0,Time!CL23=0,OR(CK47=1,CL46=1)),1,0)</f>
        <v/>
      </c>
      <c r="CM47" s="14">
        <f>IF(AND(Time!CM20=0,Time!CM23=0,OR(CL47=1,CM46=1)),1,0)</f>
        <v/>
      </c>
      <c r="CN47" s="14">
        <f>IF(AND(Time!CN20=0,Time!CN23=0,OR(CM47=1,CN46=1)),1,0)</f>
        <v/>
      </c>
      <c r="CO47" s="14">
        <f>IF(AND(Time!CO20=0,Time!CO23=0,OR(CN47=1,CO46=1)),1,0)</f>
        <v/>
      </c>
      <c r="CP47" s="14">
        <f>IF(AND(Time!CP20=0,Time!CP23=0,OR(CO47=1,CP46=1)),1,0)</f>
        <v/>
      </c>
      <c r="CQ47" s="14">
        <f>IF(AND(Time!CQ20=0,Time!CQ23=0,OR(CP47=1,CQ46=1)),1,0)</f>
        <v/>
      </c>
      <c r="CR47" s="14">
        <f>IF(AND(Time!CR20=0,Time!CR23=0,OR(CQ47=1,CR46=1)),1,0)</f>
        <v/>
      </c>
      <c r="CS47" s="14">
        <f>IF(AND(Time!CS20=0,Time!CS23=0,OR(CR47=1,CS46=1)),1,0)</f>
        <v/>
      </c>
      <c r="CT47" s="14">
        <f>IF(AND(Time!CT20=0,Time!CT23=0,OR(CS47=1,CT46=1)),1,0)</f>
        <v/>
      </c>
      <c r="CU47" s="14">
        <f>IF(AND(Time!CU20=0,Time!CU23=0,OR(CT47=1,CU46=1)),1,0)</f>
        <v/>
      </c>
      <c r="CV47" s="14">
        <f>IF(AND(Time!CV20=0,Time!CV23=0,OR(CU47=1,CV46=1)),1,0)</f>
        <v/>
      </c>
      <c r="CW47" s="14">
        <f>IF(AND(Time!CW20=0,Time!CW23=0,OR(CV47=1,CW46=1)),1,0)</f>
        <v/>
      </c>
      <c r="CX47" s="14">
        <f>IF(AND(Time!CX20=0,Time!CX23=0,OR(CW47=1,CX46=1)),1,0)</f>
        <v/>
      </c>
      <c r="CY47" s="14">
        <f>IF(AND(Time!CY20=0,Time!CY23=0,OR(CX47=1,CY46=1)),1,0)</f>
        <v/>
      </c>
      <c r="CZ47" s="14">
        <f>IF(AND(Time!CZ20=0,Time!CZ23=0,OR(CY47=1,CZ46=1)),1,0)</f>
        <v/>
      </c>
      <c r="DA47" s="14">
        <f>IF(AND(Time!DA20=0,Time!DA23=0,OR(CZ47=1,DA46=1)),1,0)</f>
        <v/>
      </c>
      <c r="DB47" s="14">
        <f>IF(AND(Time!DB20=0,Time!DB23=0,OR(DA47=1,DB46=1)),1,0)</f>
        <v/>
      </c>
    </row>
    <row r="48">
      <c r="D48" t="inlineStr">
        <is>
          <t>Distributions blocked</t>
        </is>
      </c>
      <c r="E48" t="inlineStr">
        <is>
          <t>flag</t>
        </is>
      </c>
      <c r="J48" s="14">
        <f>IF(OR(Time!J20=1,Time!J28=1),0,IF(OR(Time!J33=1,J45=1,Reserves!J10&gt;MAX(0,J24)+Inputs!$F$10,J47=1,Time!J34=1,Debt!J101&gt;Inputs!$F$10,Debt!J58+Debt!J59&gt;Inputs!$F$10),1,0))</f>
        <v/>
      </c>
      <c r="K48" s="14">
        <f>IF(OR(Time!K20=1,Time!K28=1),0,IF(OR(Time!K33=1,K45=1,Reserves!K10&gt;MAX(0,K24)+Inputs!$F$10,K47=1,Time!K34=1,Debt!K101&gt;Inputs!$F$10,Debt!K58+Debt!K59&gt;Inputs!$F$10),1,0))</f>
        <v/>
      </c>
      <c r="L48" s="14">
        <f>IF(OR(Time!L20=1,Time!L28=1),0,IF(OR(Time!L33=1,L45=1,Reserves!L10&gt;MAX(0,L24)+Inputs!$F$10,L47=1,Time!L34=1,Debt!L101&gt;Inputs!$F$10,Debt!L58+Debt!L59&gt;Inputs!$F$10),1,0))</f>
        <v/>
      </c>
      <c r="M48" s="14">
        <f>IF(OR(Time!M20=1,Time!M28=1),0,IF(OR(Time!M33=1,M45=1,Reserves!M10&gt;MAX(0,M24)+Inputs!$F$10,M47=1,Time!M34=1,Debt!M101&gt;Inputs!$F$10,Debt!M58+Debt!M59&gt;Inputs!$F$10),1,0))</f>
        <v/>
      </c>
      <c r="N48" s="14">
        <f>IF(OR(Time!N20=1,Time!N28=1),0,IF(OR(Time!N33=1,N45=1,Reserves!N10&gt;MAX(0,N24)+Inputs!$F$10,N47=1,Time!N34=1,Debt!N101&gt;Inputs!$F$10,Debt!N58+Debt!N59&gt;Inputs!$F$10),1,0))</f>
        <v/>
      </c>
      <c r="O48" s="14">
        <f>IF(OR(Time!O20=1,Time!O28=1),0,IF(OR(Time!O33=1,O45=1,Reserves!O10&gt;MAX(0,O24)+Inputs!$F$10,O47=1,Time!O34=1,Debt!O101&gt;Inputs!$F$10,Debt!O58+Debt!O59&gt;Inputs!$F$10),1,0))</f>
        <v/>
      </c>
      <c r="P48" s="14">
        <f>IF(OR(Time!P20=1,Time!P28=1),0,IF(OR(Time!P33=1,P45=1,Reserves!P10&gt;MAX(0,P24)+Inputs!$F$10,P47=1,Time!P34=1,Debt!P101&gt;Inputs!$F$10,Debt!P58+Debt!P59&gt;Inputs!$F$10),1,0))</f>
        <v/>
      </c>
      <c r="Q48" s="14">
        <f>IF(OR(Time!Q20=1,Time!Q28=1),0,IF(OR(Time!Q33=1,Q45=1,Reserves!Q10&gt;MAX(0,Q24)+Inputs!$F$10,Q47=1,Time!Q34=1,Debt!Q101&gt;Inputs!$F$10,Debt!Q58+Debt!Q59&gt;Inputs!$F$10),1,0))</f>
        <v/>
      </c>
      <c r="R48" s="14">
        <f>IF(OR(Time!R20=1,Time!R28=1),0,IF(OR(Time!R33=1,R45=1,Reserves!R10&gt;MAX(0,R24)+Inputs!$F$10,R47=1,Time!R34=1,Debt!R101&gt;Inputs!$F$10,Debt!R58+Debt!R59&gt;Inputs!$F$10),1,0))</f>
        <v/>
      </c>
      <c r="S48" s="14">
        <f>IF(OR(Time!S20=1,Time!S28=1),0,IF(OR(Time!S33=1,S45=1,Reserves!S10&gt;MAX(0,S24)+Inputs!$F$10,S47=1,Time!S34=1,Debt!S101&gt;Inputs!$F$10,Debt!S58+Debt!S59&gt;Inputs!$F$10),1,0))</f>
        <v/>
      </c>
      <c r="T48" s="14">
        <f>IF(OR(Time!T20=1,Time!T28=1),0,IF(OR(Time!T33=1,T45=1,Reserves!T10&gt;MAX(0,T24)+Inputs!$F$10,T47=1,Time!T34=1,Debt!T101&gt;Inputs!$F$10,Debt!T58+Debt!T59&gt;Inputs!$F$10),1,0))</f>
        <v/>
      </c>
      <c r="U48" s="14">
        <f>IF(OR(Time!U20=1,Time!U28=1),0,IF(OR(Time!U33=1,U45=1,Reserves!U10&gt;MAX(0,U24)+Inputs!$F$10,U47=1,Time!U34=1,Debt!U101&gt;Inputs!$F$10,Debt!U58+Debt!U59&gt;Inputs!$F$10),1,0))</f>
        <v/>
      </c>
      <c r="V48" s="14">
        <f>IF(OR(Time!V20=1,Time!V28=1),0,IF(OR(Time!V33=1,V45=1,Reserves!V10&gt;MAX(0,V24)+Inputs!$F$10,V47=1,Time!V34=1,Debt!V101&gt;Inputs!$F$10,Debt!V58+Debt!V59&gt;Inputs!$F$10),1,0))</f>
        <v/>
      </c>
      <c r="W48" s="14">
        <f>IF(OR(Time!W20=1,Time!W28=1),0,IF(OR(Time!W33=1,W45=1,Reserves!W10&gt;MAX(0,W24)+Inputs!$F$10,W47=1,Time!W34=1,Debt!W101&gt;Inputs!$F$10,Debt!W58+Debt!W59&gt;Inputs!$F$10),1,0))</f>
        <v/>
      </c>
      <c r="X48" s="14">
        <f>IF(OR(Time!X20=1,Time!X28=1),0,IF(OR(Time!X33=1,X45=1,Reserves!X10&gt;MAX(0,X24)+Inputs!$F$10,X47=1,Time!X34=1,Debt!X101&gt;Inputs!$F$10,Debt!X58+Debt!X59&gt;Inputs!$F$10),1,0))</f>
        <v/>
      </c>
      <c r="Y48" s="14">
        <f>IF(OR(Time!Y20=1,Time!Y28=1),0,IF(OR(Time!Y33=1,Y45=1,Reserves!Y10&gt;MAX(0,Y24)+Inputs!$F$10,Y47=1,Time!Y34=1,Debt!Y101&gt;Inputs!$F$10,Debt!Y58+Debt!Y59&gt;Inputs!$F$10),1,0))</f>
        <v/>
      </c>
      <c r="Z48" s="14">
        <f>IF(OR(Time!Z20=1,Time!Z28=1),0,IF(OR(Time!Z33=1,Z45=1,Reserves!Z10&gt;MAX(0,Z24)+Inputs!$F$10,Z47=1,Time!Z34=1,Debt!Z101&gt;Inputs!$F$10,Debt!Z58+Debt!Z59&gt;Inputs!$F$10),1,0))</f>
        <v/>
      </c>
      <c r="AA48" s="14">
        <f>IF(OR(Time!AA20=1,Time!AA28=1),0,IF(OR(Time!AA33=1,AA45=1,Reserves!AA10&gt;MAX(0,AA24)+Inputs!$F$10,AA47=1,Time!AA34=1,Debt!AA101&gt;Inputs!$F$10,Debt!AA58+Debt!AA59&gt;Inputs!$F$10),1,0))</f>
        <v/>
      </c>
      <c r="AB48" s="14">
        <f>IF(OR(Time!AB20=1,Time!AB28=1),0,IF(OR(Time!AB33=1,AB45=1,Reserves!AB10&gt;MAX(0,AB24)+Inputs!$F$10,AB47=1,Time!AB34=1,Debt!AB101&gt;Inputs!$F$10,Debt!AB58+Debt!AB59&gt;Inputs!$F$10),1,0))</f>
        <v/>
      </c>
      <c r="AC48" s="14">
        <f>IF(OR(Time!AC20=1,Time!AC28=1),0,IF(OR(Time!AC33=1,AC45=1,Reserves!AC10&gt;MAX(0,AC24)+Inputs!$F$10,AC47=1,Time!AC34=1,Debt!AC101&gt;Inputs!$F$10,Debt!AC58+Debt!AC59&gt;Inputs!$F$10),1,0))</f>
        <v/>
      </c>
      <c r="AD48" s="14">
        <f>IF(OR(Time!AD20=1,Time!AD28=1),0,IF(OR(Time!AD33=1,AD45=1,Reserves!AD10&gt;MAX(0,AD24)+Inputs!$F$10,AD47=1,Time!AD34=1,Debt!AD101&gt;Inputs!$F$10,Debt!AD58+Debt!AD59&gt;Inputs!$F$10),1,0))</f>
        <v/>
      </c>
      <c r="AE48" s="14">
        <f>IF(OR(Time!AE20=1,Time!AE28=1),0,IF(OR(Time!AE33=1,AE45=1,Reserves!AE10&gt;MAX(0,AE24)+Inputs!$F$10,AE47=1,Time!AE34=1,Debt!AE101&gt;Inputs!$F$10,Debt!AE58+Debt!AE59&gt;Inputs!$F$10),1,0))</f>
        <v/>
      </c>
      <c r="AF48" s="14">
        <f>IF(OR(Time!AF20=1,Time!AF28=1),0,IF(OR(Time!AF33=1,AF45=1,Reserves!AF10&gt;MAX(0,AF24)+Inputs!$F$10,AF47=1,Time!AF34=1,Debt!AF101&gt;Inputs!$F$10,Debt!AF58+Debt!AF59&gt;Inputs!$F$10),1,0))</f>
        <v/>
      </c>
      <c r="AG48" s="14">
        <f>IF(OR(Time!AG20=1,Time!AG28=1),0,IF(OR(Time!AG33=1,AG45=1,Reserves!AG10&gt;MAX(0,AG24)+Inputs!$F$10,AG47=1,Time!AG34=1,Debt!AG101&gt;Inputs!$F$10,Debt!AG58+Debt!AG59&gt;Inputs!$F$10),1,0))</f>
        <v/>
      </c>
      <c r="AH48" s="14">
        <f>IF(OR(Time!AH20=1,Time!AH28=1),0,IF(OR(Time!AH33=1,AH45=1,Reserves!AH10&gt;MAX(0,AH24)+Inputs!$F$10,AH47=1,Time!AH34=1,Debt!AH101&gt;Inputs!$F$10,Debt!AH58+Debt!AH59&gt;Inputs!$F$10),1,0))</f>
        <v/>
      </c>
      <c r="AI48" s="14">
        <f>IF(OR(Time!AI20=1,Time!AI28=1),0,IF(OR(Time!AI33=1,AI45=1,Reserves!AI10&gt;MAX(0,AI24)+Inputs!$F$10,AI47=1,Time!AI34=1,Debt!AI101&gt;Inputs!$F$10,Debt!AI58+Debt!AI59&gt;Inputs!$F$10),1,0))</f>
        <v/>
      </c>
      <c r="AJ48" s="14">
        <f>IF(OR(Time!AJ20=1,Time!AJ28=1),0,IF(OR(Time!AJ33=1,AJ45=1,Reserves!AJ10&gt;MAX(0,AJ24)+Inputs!$F$10,AJ47=1,Time!AJ34=1,Debt!AJ101&gt;Inputs!$F$10,Debt!AJ58+Debt!AJ59&gt;Inputs!$F$10),1,0))</f>
        <v/>
      </c>
      <c r="AK48" s="14">
        <f>IF(OR(Time!AK20=1,Time!AK28=1),0,IF(OR(Time!AK33=1,AK45=1,Reserves!AK10&gt;MAX(0,AK24)+Inputs!$F$10,AK47=1,Time!AK34=1,Debt!AK101&gt;Inputs!$F$10,Debt!AK58+Debt!AK59&gt;Inputs!$F$10),1,0))</f>
        <v/>
      </c>
      <c r="AL48" s="14">
        <f>IF(OR(Time!AL20=1,Time!AL28=1),0,IF(OR(Time!AL33=1,AL45=1,Reserves!AL10&gt;MAX(0,AL24)+Inputs!$F$10,AL47=1,Time!AL34=1,Debt!AL101&gt;Inputs!$F$10,Debt!AL58+Debt!AL59&gt;Inputs!$F$10),1,0))</f>
        <v/>
      </c>
      <c r="AM48" s="14">
        <f>IF(OR(Time!AM20=1,Time!AM28=1),0,IF(OR(Time!AM33=1,AM45=1,Reserves!AM10&gt;MAX(0,AM24)+Inputs!$F$10,AM47=1,Time!AM34=1,Debt!AM101&gt;Inputs!$F$10,Debt!AM58+Debt!AM59&gt;Inputs!$F$10),1,0))</f>
        <v/>
      </c>
      <c r="AN48" s="14">
        <f>IF(OR(Time!AN20=1,Time!AN28=1),0,IF(OR(Time!AN33=1,AN45=1,Reserves!AN10&gt;MAX(0,AN24)+Inputs!$F$10,AN47=1,Time!AN34=1,Debt!AN101&gt;Inputs!$F$10,Debt!AN58+Debt!AN59&gt;Inputs!$F$10),1,0))</f>
        <v/>
      </c>
      <c r="AO48" s="14">
        <f>IF(OR(Time!AO20=1,Time!AO28=1),0,IF(OR(Time!AO33=1,AO45=1,Reserves!AO10&gt;MAX(0,AO24)+Inputs!$F$10,AO47=1,Time!AO34=1,Debt!AO101&gt;Inputs!$F$10,Debt!AO58+Debt!AO59&gt;Inputs!$F$10),1,0))</f>
        <v/>
      </c>
      <c r="AP48" s="14">
        <f>IF(OR(Time!AP20=1,Time!AP28=1),0,IF(OR(Time!AP33=1,AP45=1,Reserves!AP10&gt;MAX(0,AP24)+Inputs!$F$10,AP47=1,Time!AP34=1,Debt!AP101&gt;Inputs!$F$10,Debt!AP58+Debt!AP59&gt;Inputs!$F$10),1,0))</f>
        <v/>
      </c>
      <c r="AQ48" s="14">
        <f>IF(OR(Time!AQ20=1,Time!AQ28=1),0,IF(OR(Time!AQ33=1,AQ45=1,Reserves!AQ10&gt;MAX(0,AQ24)+Inputs!$F$10,AQ47=1,Time!AQ34=1,Debt!AQ101&gt;Inputs!$F$10,Debt!AQ58+Debt!AQ59&gt;Inputs!$F$10),1,0))</f>
        <v/>
      </c>
      <c r="AR48" s="14">
        <f>IF(OR(Time!AR20=1,Time!AR28=1),0,IF(OR(Time!AR33=1,AR45=1,Reserves!AR10&gt;MAX(0,AR24)+Inputs!$F$10,AR47=1,Time!AR34=1,Debt!AR101&gt;Inputs!$F$10,Debt!AR58+Debt!AR59&gt;Inputs!$F$10),1,0))</f>
        <v/>
      </c>
      <c r="AS48" s="14">
        <f>IF(OR(Time!AS20=1,Time!AS28=1),0,IF(OR(Time!AS33=1,AS45=1,Reserves!AS10&gt;MAX(0,AS24)+Inputs!$F$10,AS47=1,Time!AS34=1,Debt!AS101&gt;Inputs!$F$10,Debt!AS58+Debt!AS59&gt;Inputs!$F$10),1,0))</f>
        <v/>
      </c>
      <c r="AT48" s="14">
        <f>IF(OR(Time!AT20=1,Time!AT28=1),0,IF(OR(Time!AT33=1,AT45=1,Reserves!AT10&gt;MAX(0,AT24)+Inputs!$F$10,AT47=1,Time!AT34=1,Debt!AT101&gt;Inputs!$F$10,Debt!AT58+Debt!AT59&gt;Inputs!$F$10),1,0))</f>
        <v/>
      </c>
      <c r="AU48" s="14">
        <f>IF(OR(Time!AU20=1,Time!AU28=1),0,IF(OR(Time!AU33=1,AU45=1,Reserves!AU10&gt;MAX(0,AU24)+Inputs!$F$10,AU47=1,Time!AU34=1,Debt!AU101&gt;Inputs!$F$10,Debt!AU58+Debt!AU59&gt;Inputs!$F$10),1,0))</f>
        <v/>
      </c>
      <c r="AV48" s="14">
        <f>IF(OR(Time!AV20=1,Time!AV28=1),0,IF(OR(Time!AV33=1,AV45=1,Reserves!AV10&gt;MAX(0,AV24)+Inputs!$F$10,AV47=1,Time!AV34=1,Debt!AV101&gt;Inputs!$F$10,Debt!AV58+Debt!AV59&gt;Inputs!$F$10),1,0))</f>
        <v/>
      </c>
      <c r="AW48" s="14">
        <f>IF(OR(Time!AW20=1,Time!AW28=1),0,IF(OR(Time!AW33=1,AW45=1,Reserves!AW10&gt;MAX(0,AW24)+Inputs!$F$10,AW47=1,Time!AW34=1,Debt!AW101&gt;Inputs!$F$10,Debt!AW58+Debt!AW59&gt;Inputs!$F$10),1,0))</f>
        <v/>
      </c>
      <c r="AX48" s="14">
        <f>IF(OR(Time!AX20=1,Time!AX28=1),0,IF(OR(Time!AX33=1,AX45=1,Reserves!AX10&gt;MAX(0,AX24)+Inputs!$F$10,AX47=1,Time!AX34=1,Debt!AX101&gt;Inputs!$F$10,Debt!AX58+Debt!AX59&gt;Inputs!$F$10),1,0))</f>
        <v/>
      </c>
      <c r="AY48" s="14">
        <f>IF(OR(Time!AY20=1,Time!AY28=1),0,IF(OR(Time!AY33=1,AY45=1,Reserves!AY10&gt;MAX(0,AY24)+Inputs!$F$10,AY47=1,Time!AY34=1,Debt!AY101&gt;Inputs!$F$10,Debt!AY58+Debt!AY59&gt;Inputs!$F$10),1,0))</f>
        <v/>
      </c>
      <c r="AZ48" s="14">
        <f>IF(OR(Time!AZ20=1,Time!AZ28=1),0,IF(OR(Time!AZ33=1,AZ45=1,Reserves!AZ10&gt;MAX(0,AZ24)+Inputs!$F$10,AZ47=1,Time!AZ34=1,Debt!AZ101&gt;Inputs!$F$10,Debt!AZ58+Debt!AZ59&gt;Inputs!$F$10),1,0))</f>
        <v/>
      </c>
      <c r="BA48" s="14">
        <f>IF(OR(Time!BA20=1,Time!BA28=1),0,IF(OR(Time!BA33=1,BA45=1,Reserves!BA10&gt;MAX(0,BA24)+Inputs!$F$10,BA47=1,Time!BA34=1,Debt!BA101&gt;Inputs!$F$10,Debt!BA58+Debt!BA59&gt;Inputs!$F$10),1,0))</f>
        <v/>
      </c>
      <c r="BB48" s="14">
        <f>IF(OR(Time!BB20=1,Time!BB28=1),0,IF(OR(Time!BB33=1,BB45=1,Reserves!BB10&gt;MAX(0,BB24)+Inputs!$F$10,BB47=1,Time!BB34=1,Debt!BB101&gt;Inputs!$F$10,Debt!BB58+Debt!BB59&gt;Inputs!$F$10),1,0))</f>
        <v/>
      </c>
      <c r="BC48" s="14">
        <f>IF(OR(Time!BC20=1,Time!BC28=1),0,IF(OR(Time!BC33=1,BC45=1,Reserves!BC10&gt;MAX(0,BC24)+Inputs!$F$10,BC47=1,Time!BC34=1,Debt!BC101&gt;Inputs!$F$10,Debt!BC58+Debt!BC59&gt;Inputs!$F$10),1,0))</f>
        <v/>
      </c>
      <c r="BD48" s="14">
        <f>IF(OR(Time!BD20=1,Time!BD28=1),0,IF(OR(Time!BD33=1,BD45=1,Reserves!BD10&gt;MAX(0,BD24)+Inputs!$F$10,BD47=1,Time!BD34=1,Debt!BD101&gt;Inputs!$F$10,Debt!BD58+Debt!BD59&gt;Inputs!$F$10),1,0))</f>
        <v/>
      </c>
      <c r="BE48" s="14">
        <f>IF(OR(Time!BE20=1,Time!BE28=1),0,IF(OR(Time!BE33=1,BE45=1,Reserves!BE10&gt;MAX(0,BE24)+Inputs!$F$10,BE47=1,Time!BE34=1,Debt!BE101&gt;Inputs!$F$10,Debt!BE58+Debt!BE59&gt;Inputs!$F$10),1,0))</f>
        <v/>
      </c>
      <c r="BF48" s="14">
        <f>IF(OR(Time!BF20=1,Time!BF28=1),0,IF(OR(Time!BF33=1,BF45=1,Reserves!BF10&gt;MAX(0,BF24)+Inputs!$F$10,BF47=1,Time!BF34=1,Debt!BF101&gt;Inputs!$F$10,Debt!BF58+Debt!BF59&gt;Inputs!$F$10),1,0))</f>
        <v/>
      </c>
      <c r="BG48" s="14">
        <f>IF(OR(Time!BG20=1,Time!BG28=1),0,IF(OR(Time!BG33=1,BG45=1,Reserves!BG10&gt;MAX(0,BG24)+Inputs!$F$10,BG47=1,Time!BG34=1,Debt!BG101&gt;Inputs!$F$10,Debt!BG58+Debt!BG59&gt;Inputs!$F$10),1,0))</f>
        <v/>
      </c>
      <c r="BH48" s="14">
        <f>IF(OR(Time!BH20=1,Time!BH28=1),0,IF(OR(Time!BH33=1,BH45=1,Reserves!BH10&gt;MAX(0,BH24)+Inputs!$F$10,BH47=1,Time!BH34=1,Debt!BH101&gt;Inputs!$F$10,Debt!BH58+Debt!BH59&gt;Inputs!$F$10),1,0))</f>
        <v/>
      </c>
      <c r="BI48" s="14">
        <f>IF(OR(Time!BI20=1,Time!BI28=1),0,IF(OR(Time!BI33=1,BI45=1,Reserves!BI10&gt;MAX(0,BI24)+Inputs!$F$10,BI47=1,Time!BI34=1,Debt!BI101&gt;Inputs!$F$10,Debt!BI58+Debt!BI59&gt;Inputs!$F$10),1,0))</f>
        <v/>
      </c>
      <c r="BJ48" s="14">
        <f>IF(OR(Time!BJ20=1,Time!BJ28=1),0,IF(OR(Time!BJ33=1,BJ45=1,Reserves!BJ10&gt;MAX(0,BJ24)+Inputs!$F$10,BJ47=1,Time!BJ34=1,Debt!BJ101&gt;Inputs!$F$10,Debt!BJ58+Debt!BJ59&gt;Inputs!$F$10),1,0))</f>
        <v/>
      </c>
      <c r="BK48" s="14">
        <f>IF(OR(Time!BK20=1,Time!BK28=1),0,IF(OR(Time!BK33=1,BK45=1,Reserves!BK10&gt;MAX(0,BK24)+Inputs!$F$10,BK47=1,Time!BK34=1,Debt!BK101&gt;Inputs!$F$10,Debt!BK58+Debt!BK59&gt;Inputs!$F$10),1,0))</f>
        <v/>
      </c>
      <c r="BL48" s="14">
        <f>IF(OR(Time!BL20=1,Time!BL28=1),0,IF(OR(Time!BL33=1,BL45=1,Reserves!BL10&gt;MAX(0,BL24)+Inputs!$F$10,BL47=1,Time!BL34=1,Debt!BL101&gt;Inputs!$F$10,Debt!BL58+Debt!BL59&gt;Inputs!$F$10),1,0))</f>
        <v/>
      </c>
      <c r="BM48" s="14">
        <f>IF(OR(Time!BM20=1,Time!BM28=1),0,IF(OR(Time!BM33=1,BM45=1,Reserves!BM10&gt;MAX(0,BM24)+Inputs!$F$10,BM47=1,Time!BM34=1,Debt!BM101&gt;Inputs!$F$10,Debt!BM58+Debt!BM59&gt;Inputs!$F$10),1,0))</f>
        <v/>
      </c>
      <c r="BN48" s="14">
        <f>IF(OR(Time!BN20=1,Time!BN28=1),0,IF(OR(Time!BN33=1,BN45=1,Reserves!BN10&gt;MAX(0,BN24)+Inputs!$F$10,BN47=1,Time!BN34=1,Debt!BN101&gt;Inputs!$F$10,Debt!BN58+Debt!BN59&gt;Inputs!$F$10),1,0))</f>
        <v/>
      </c>
      <c r="BO48" s="14">
        <f>IF(OR(Time!BO20=1,Time!BO28=1),0,IF(OR(Time!BO33=1,BO45=1,Reserves!BO10&gt;MAX(0,BO24)+Inputs!$F$10,BO47=1,Time!BO34=1,Debt!BO101&gt;Inputs!$F$10,Debt!BO58+Debt!BO59&gt;Inputs!$F$10),1,0))</f>
        <v/>
      </c>
      <c r="BP48" s="14">
        <f>IF(OR(Time!BP20=1,Time!BP28=1),0,IF(OR(Time!BP33=1,BP45=1,Reserves!BP10&gt;MAX(0,BP24)+Inputs!$F$10,BP47=1,Time!BP34=1,Debt!BP101&gt;Inputs!$F$10,Debt!BP58+Debt!BP59&gt;Inputs!$F$10),1,0))</f>
        <v/>
      </c>
      <c r="BQ48" s="14">
        <f>IF(OR(Time!BQ20=1,Time!BQ28=1),0,IF(OR(Time!BQ33=1,BQ45=1,Reserves!BQ10&gt;MAX(0,BQ24)+Inputs!$F$10,BQ47=1,Time!BQ34=1,Debt!BQ101&gt;Inputs!$F$10,Debt!BQ58+Debt!BQ59&gt;Inputs!$F$10),1,0))</f>
        <v/>
      </c>
      <c r="BR48" s="14">
        <f>IF(OR(Time!BR20=1,Time!BR28=1),0,IF(OR(Time!BR33=1,BR45=1,Reserves!BR10&gt;MAX(0,BR24)+Inputs!$F$10,BR47=1,Time!BR34=1,Debt!BR101&gt;Inputs!$F$10,Debt!BR58+Debt!BR59&gt;Inputs!$F$10),1,0))</f>
        <v/>
      </c>
      <c r="BS48" s="14">
        <f>IF(OR(Time!BS20=1,Time!BS28=1),0,IF(OR(Time!BS33=1,BS45=1,Reserves!BS10&gt;MAX(0,BS24)+Inputs!$F$10,BS47=1,Time!BS34=1,Debt!BS101&gt;Inputs!$F$10,Debt!BS58+Debt!BS59&gt;Inputs!$F$10),1,0))</f>
        <v/>
      </c>
      <c r="BT48" s="14">
        <f>IF(OR(Time!BT20=1,Time!BT28=1),0,IF(OR(Time!BT33=1,BT45=1,Reserves!BT10&gt;MAX(0,BT24)+Inputs!$F$10,BT47=1,Time!BT34=1,Debt!BT101&gt;Inputs!$F$10,Debt!BT58+Debt!BT59&gt;Inputs!$F$10),1,0))</f>
        <v/>
      </c>
      <c r="BU48" s="14">
        <f>IF(OR(Time!BU20=1,Time!BU28=1),0,IF(OR(Time!BU33=1,BU45=1,Reserves!BU10&gt;MAX(0,BU24)+Inputs!$F$10,BU47=1,Time!BU34=1,Debt!BU101&gt;Inputs!$F$10,Debt!BU58+Debt!BU59&gt;Inputs!$F$10),1,0))</f>
        <v/>
      </c>
      <c r="BV48" s="14">
        <f>IF(OR(Time!BV20=1,Time!BV28=1),0,IF(OR(Time!BV33=1,BV45=1,Reserves!BV10&gt;MAX(0,BV24)+Inputs!$F$10,BV47=1,Time!BV34=1,Debt!BV101&gt;Inputs!$F$10,Debt!BV58+Debt!BV59&gt;Inputs!$F$10),1,0))</f>
        <v/>
      </c>
      <c r="BW48" s="14">
        <f>IF(OR(Time!BW20=1,Time!BW28=1),0,IF(OR(Time!BW33=1,BW45=1,Reserves!BW10&gt;MAX(0,BW24)+Inputs!$F$10,BW47=1,Time!BW34=1,Debt!BW101&gt;Inputs!$F$10,Debt!BW58+Debt!BW59&gt;Inputs!$F$10),1,0))</f>
        <v/>
      </c>
      <c r="BX48" s="14">
        <f>IF(OR(Time!BX20=1,Time!BX28=1),0,IF(OR(Time!BX33=1,BX45=1,Reserves!BX10&gt;MAX(0,BX24)+Inputs!$F$10,BX47=1,Time!BX34=1,Debt!BX101&gt;Inputs!$F$10,Debt!BX58+Debt!BX59&gt;Inputs!$F$10),1,0))</f>
        <v/>
      </c>
      <c r="BY48" s="14">
        <f>IF(OR(Time!BY20=1,Time!BY28=1),0,IF(OR(Time!BY33=1,BY45=1,Reserves!BY10&gt;MAX(0,BY24)+Inputs!$F$10,BY47=1,Time!BY34=1,Debt!BY101&gt;Inputs!$F$10,Debt!BY58+Debt!BY59&gt;Inputs!$F$10),1,0))</f>
        <v/>
      </c>
      <c r="BZ48" s="14">
        <f>IF(OR(Time!BZ20=1,Time!BZ28=1),0,IF(OR(Time!BZ33=1,BZ45=1,Reserves!BZ10&gt;MAX(0,BZ24)+Inputs!$F$10,BZ47=1,Time!BZ34=1,Debt!BZ101&gt;Inputs!$F$10,Debt!BZ58+Debt!BZ59&gt;Inputs!$F$10),1,0))</f>
        <v/>
      </c>
      <c r="CA48" s="14">
        <f>IF(OR(Time!CA20=1,Time!CA28=1),0,IF(OR(Time!CA33=1,CA45=1,Reserves!CA10&gt;MAX(0,CA24)+Inputs!$F$10,CA47=1,Time!CA34=1,Debt!CA101&gt;Inputs!$F$10,Debt!CA58+Debt!CA59&gt;Inputs!$F$10),1,0))</f>
        <v/>
      </c>
      <c r="CB48" s="14">
        <f>IF(OR(Time!CB20=1,Time!CB28=1),0,IF(OR(Time!CB33=1,CB45=1,Reserves!CB10&gt;MAX(0,CB24)+Inputs!$F$10,CB47=1,Time!CB34=1,Debt!CB101&gt;Inputs!$F$10,Debt!CB58+Debt!CB59&gt;Inputs!$F$10),1,0))</f>
        <v/>
      </c>
      <c r="CC48" s="14">
        <f>IF(OR(Time!CC20=1,Time!CC28=1),0,IF(OR(Time!CC33=1,CC45=1,Reserves!CC10&gt;MAX(0,CC24)+Inputs!$F$10,CC47=1,Time!CC34=1,Debt!CC101&gt;Inputs!$F$10,Debt!CC58+Debt!CC59&gt;Inputs!$F$10),1,0))</f>
        <v/>
      </c>
      <c r="CD48" s="14">
        <f>IF(OR(Time!CD20=1,Time!CD28=1),0,IF(OR(Time!CD33=1,CD45=1,Reserves!CD10&gt;MAX(0,CD24)+Inputs!$F$10,CD47=1,Time!CD34=1,Debt!CD101&gt;Inputs!$F$10,Debt!CD58+Debt!CD59&gt;Inputs!$F$10),1,0))</f>
        <v/>
      </c>
      <c r="CE48" s="14">
        <f>IF(OR(Time!CE20=1,Time!CE28=1),0,IF(OR(Time!CE33=1,CE45=1,Reserves!CE10&gt;MAX(0,CE24)+Inputs!$F$10,CE47=1,Time!CE34=1,Debt!CE101&gt;Inputs!$F$10,Debt!CE58+Debt!CE59&gt;Inputs!$F$10),1,0))</f>
        <v/>
      </c>
      <c r="CF48" s="14">
        <f>IF(OR(Time!CF20=1,Time!CF28=1),0,IF(OR(Time!CF33=1,CF45=1,Reserves!CF10&gt;MAX(0,CF24)+Inputs!$F$10,CF47=1,Time!CF34=1,Debt!CF101&gt;Inputs!$F$10,Debt!CF58+Debt!CF59&gt;Inputs!$F$10),1,0))</f>
        <v/>
      </c>
      <c r="CG48" s="14">
        <f>IF(OR(Time!CG20=1,Time!CG28=1),0,IF(OR(Time!CG33=1,CG45=1,Reserves!CG10&gt;MAX(0,CG24)+Inputs!$F$10,CG47=1,Time!CG34=1,Debt!CG101&gt;Inputs!$F$10,Debt!CG58+Debt!CG59&gt;Inputs!$F$10),1,0))</f>
        <v/>
      </c>
      <c r="CH48" s="14">
        <f>IF(OR(Time!CH20=1,Time!CH28=1),0,IF(OR(Time!CH33=1,CH45=1,Reserves!CH10&gt;MAX(0,CH24)+Inputs!$F$10,CH47=1,Time!CH34=1,Debt!CH101&gt;Inputs!$F$10,Debt!CH58+Debt!CH59&gt;Inputs!$F$10),1,0))</f>
        <v/>
      </c>
      <c r="CI48" s="14">
        <f>IF(OR(Time!CI20=1,Time!CI28=1),0,IF(OR(Time!CI33=1,CI45=1,Reserves!CI10&gt;MAX(0,CI24)+Inputs!$F$10,CI47=1,Time!CI34=1,Debt!CI101&gt;Inputs!$F$10,Debt!CI58+Debt!CI59&gt;Inputs!$F$10),1,0))</f>
        <v/>
      </c>
      <c r="CJ48" s="14">
        <f>IF(OR(Time!CJ20=1,Time!CJ28=1),0,IF(OR(Time!CJ33=1,CJ45=1,Reserves!CJ10&gt;MAX(0,CJ24)+Inputs!$F$10,CJ47=1,Time!CJ34=1,Debt!CJ101&gt;Inputs!$F$10,Debt!CJ58+Debt!CJ59&gt;Inputs!$F$10),1,0))</f>
        <v/>
      </c>
      <c r="CK48" s="14">
        <f>IF(OR(Time!CK20=1,Time!CK28=1),0,IF(OR(Time!CK33=1,CK45=1,Reserves!CK10&gt;MAX(0,CK24)+Inputs!$F$10,CK47=1,Time!CK34=1,Debt!CK101&gt;Inputs!$F$10,Debt!CK58+Debt!CK59&gt;Inputs!$F$10),1,0))</f>
        <v/>
      </c>
      <c r="CL48" s="14">
        <f>IF(OR(Time!CL20=1,Time!CL28=1),0,IF(OR(Time!CL33=1,CL45=1,Reserves!CL10&gt;MAX(0,CL24)+Inputs!$F$10,CL47=1,Time!CL34=1,Debt!CL101&gt;Inputs!$F$10,Debt!CL58+Debt!CL59&gt;Inputs!$F$10),1,0))</f>
        <v/>
      </c>
      <c r="CM48" s="14">
        <f>IF(OR(Time!CM20=1,Time!CM28=1),0,IF(OR(Time!CM33=1,CM45=1,Reserves!CM10&gt;MAX(0,CM24)+Inputs!$F$10,CM47=1,Time!CM34=1,Debt!CM101&gt;Inputs!$F$10,Debt!CM58+Debt!CM59&gt;Inputs!$F$10),1,0))</f>
        <v/>
      </c>
      <c r="CN48" s="14">
        <f>IF(OR(Time!CN20=1,Time!CN28=1),0,IF(OR(Time!CN33=1,CN45=1,Reserves!CN10&gt;MAX(0,CN24)+Inputs!$F$10,CN47=1,Time!CN34=1,Debt!CN101&gt;Inputs!$F$10,Debt!CN58+Debt!CN59&gt;Inputs!$F$10),1,0))</f>
        <v/>
      </c>
      <c r="CO48" s="14">
        <f>IF(OR(Time!CO20=1,Time!CO28=1),0,IF(OR(Time!CO33=1,CO45=1,Reserves!CO10&gt;MAX(0,CO24)+Inputs!$F$10,CO47=1,Time!CO34=1,Debt!CO101&gt;Inputs!$F$10,Debt!CO58+Debt!CO59&gt;Inputs!$F$10),1,0))</f>
        <v/>
      </c>
      <c r="CP48" s="14">
        <f>IF(OR(Time!CP20=1,Time!CP28=1),0,IF(OR(Time!CP33=1,CP45=1,Reserves!CP10&gt;MAX(0,CP24)+Inputs!$F$10,CP47=1,Time!CP34=1,Debt!CP101&gt;Inputs!$F$10,Debt!CP58+Debt!CP59&gt;Inputs!$F$10),1,0))</f>
        <v/>
      </c>
      <c r="CQ48" s="14">
        <f>IF(OR(Time!CQ20=1,Time!CQ28=1),0,IF(OR(Time!CQ33=1,CQ45=1,Reserves!CQ10&gt;MAX(0,CQ24)+Inputs!$F$10,CQ47=1,Time!CQ34=1,Debt!CQ101&gt;Inputs!$F$10,Debt!CQ58+Debt!CQ59&gt;Inputs!$F$10),1,0))</f>
        <v/>
      </c>
      <c r="CR48" s="14">
        <f>IF(OR(Time!CR20=1,Time!CR28=1),0,IF(OR(Time!CR33=1,CR45=1,Reserves!CR10&gt;MAX(0,CR24)+Inputs!$F$10,CR47=1,Time!CR34=1,Debt!CR101&gt;Inputs!$F$10,Debt!CR58+Debt!CR59&gt;Inputs!$F$10),1,0))</f>
        <v/>
      </c>
      <c r="CS48" s="14">
        <f>IF(OR(Time!CS20=1,Time!CS28=1),0,IF(OR(Time!CS33=1,CS45=1,Reserves!CS10&gt;MAX(0,CS24)+Inputs!$F$10,CS47=1,Time!CS34=1,Debt!CS101&gt;Inputs!$F$10,Debt!CS58+Debt!CS59&gt;Inputs!$F$10),1,0))</f>
        <v/>
      </c>
      <c r="CT48" s="14">
        <f>IF(OR(Time!CT20=1,Time!CT28=1),0,IF(OR(Time!CT33=1,CT45=1,Reserves!CT10&gt;MAX(0,CT24)+Inputs!$F$10,CT47=1,Time!CT34=1,Debt!CT101&gt;Inputs!$F$10,Debt!CT58+Debt!CT59&gt;Inputs!$F$10),1,0))</f>
        <v/>
      </c>
      <c r="CU48" s="14">
        <f>IF(OR(Time!CU20=1,Time!CU28=1),0,IF(OR(Time!CU33=1,CU45=1,Reserves!CU10&gt;MAX(0,CU24)+Inputs!$F$10,CU47=1,Time!CU34=1,Debt!CU101&gt;Inputs!$F$10,Debt!CU58+Debt!CU59&gt;Inputs!$F$10),1,0))</f>
        <v/>
      </c>
      <c r="CV48" s="14">
        <f>IF(OR(Time!CV20=1,Time!CV28=1),0,IF(OR(Time!CV33=1,CV45=1,Reserves!CV10&gt;MAX(0,CV24)+Inputs!$F$10,CV47=1,Time!CV34=1,Debt!CV101&gt;Inputs!$F$10,Debt!CV58+Debt!CV59&gt;Inputs!$F$10),1,0))</f>
        <v/>
      </c>
      <c r="CW48" s="14">
        <f>IF(OR(Time!CW20=1,Time!CW28=1),0,IF(OR(Time!CW33=1,CW45=1,Reserves!CW10&gt;MAX(0,CW24)+Inputs!$F$10,CW47=1,Time!CW34=1,Debt!CW101&gt;Inputs!$F$10,Debt!CW58+Debt!CW59&gt;Inputs!$F$10),1,0))</f>
        <v/>
      </c>
      <c r="CX48" s="14">
        <f>IF(OR(Time!CX20=1,Time!CX28=1),0,IF(OR(Time!CX33=1,CX45=1,Reserves!CX10&gt;MAX(0,CX24)+Inputs!$F$10,CX47=1,Time!CX34=1,Debt!CX101&gt;Inputs!$F$10,Debt!CX58+Debt!CX59&gt;Inputs!$F$10),1,0))</f>
        <v/>
      </c>
      <c r="CY48" s="14">
        <f>IF(OR(Time!CY20=1,Time!CY28=1),0,IF(OR(Time!CY33=1,CY45=1,Reserves!CY10&gt;MAX(0,CY24)+Inputs!$F$10,CY47=1,Time!CY34=1,Debt!CY101&gt;Inputs!$F$10,Debt!CY58+Debt!CY59&gt;Inputs!$F$10),1,0))</f>
        <v/>
      </c>
      <c r="CZ48" s="14">
        <f>IF(OR(Time!CZ20=1,Time!CZ28=1),0,IF(OR(Time!CZ33=1,CZ45=1,Reserves!CZ10&gt;MAX(0,CZ24)+Inputs!$F$10,CZ47=1,Time!CZ34=1,Debt!CZ101&gt;Inputs!$F$10,Debt!CZ58+Debt!CZ59&gt;Inputs!$F$10),1,0))</f>
        <v/>
      </c>
      <c r="DA48" s="14">
        <f>IF(OR(Time!DA20=1,Time!DA28=1),0,IF(OR(Time!DA33=1,DA45=1,Reserves!DA10&gt;MAX(0,DA24)+Inputs!$F$10,DA47=1,Time!DA34=1,Debt!DA101&gt;Inputs!$F$10,Debt!DA58+Debt!DA59&gt;Inputs!$F$10),1,0))</f>
        <v/>
      </c>
      <c r="DB48" s="14">
        <f>IF(OR(Time!DB20=1,Time!DB28=1),0,IF(OR(Time!DB33=1,DB45=1,Reserves!DB10&gt;MAX(0,DB24)+Inputs!$F$10,DB47=1,Time!DB34=1,Debt!DB101&gt;Inputs!$F$10,Debt!DB58+Debt!DB59&gt;Inputs!$F$10),1,0))</f>
        <v/>
      </c>
    </row>
    <row r="49">
      <c r="D49" t="inlineStr">
        <is>
          <t>Distributions to equity</t>
        </is>
      </c>
      <c r="E49" t="inlineStr">
        <is>
          <t>ARD m</t>
        </is>
      </c>
      <c r="G49" s="19">
        <f>SUM(J49:DB49)</f>
        <v/>
      </c>
      <c r="J49" s="19">
        <f>IF(J48=1,0,MAX(0,J39))*(1-Time!J20)</f>
        <v/>
      </c>
      <c r="K49" s="19">
        <f>IF(K48=1,0,MAX(0,K39))*(1-Time!K20)</f>
        <v/>
      </c>
      <c r="L49" s="19">
        <f>IF(L48=1,0,MAX(0,L39))*(1-Time!L20)</f>
        <v/>
      </c>
      <c r="M49" s="19">
        <f>IF(M48=1,0,MAX(0,M39))*(1-Time!M20)</f>
        <v/>
      </c>
      <c r="N49" s="19">
        <f>IF(N48=1,0,MAX(0,N39))*(1-Time!N20)</f>
        <v/>
      </c>
      <c r="O49" s="19">
        <f>IF(O48=1,0,MAX(0,O39))*(1-Time!O20)</f>
        <v/>
      </c>
      <c r="P49" s="19">
        <f>IF(P48=1,0,MAX(0,P39))*(1-Time!P20)</f>
        <v/>
      </c>
      <c r="Q49" s="19">
        <f>IF(Q48=1,0,MAX(0,Q39))*(1-Time!Q20)</f>
        <v/>
      </c>
      <c r="R49" s="19">
        <f>IF(R48=1,0,MAX(0,R39))*(1-Time!R20)</f>
        <v/>
      </c>
      <c r="S49" s="19">
        <f>IF(S48=1,0,MAX(0,S39))*(1-Time!S20)</f>
        <v/>
      </c>
      <c r="T49" s="19">
        <f>IF(T48=1,0,MAX(0,T39))*(1-Time!T20)</f>
        <v/>
      </c>
      <c r="U49" s="19">
        <f>IF(U48=1,0,MAX(0,U39))*(1-Time!U20)</f>
        <v/>
      </c>
      <c r="V49" s="19">
        <f>IF(V48=1,0,MAX(0,V39))*(1-Time!V20)</f>
        <v/>
      </c>
      <c r="W49" s="19">
        <f>IF(W48=1,0,MAX(0,W39))*(1-Time!W20)</f>
        <v/>
      </c>
      <c r="X49" s="19">
        <f>IF(X48=1,0,MAX(0,X39))*(1-Time!X20)</f>
        <v/>
      </c>
      <c r="Y49" s="19">
        <f>IF(Y48=1,0,MAX(0,Y39))*(1-Time!Y20)</f>
        <v/>
      </c>
      <c r="Z49" s="19">
        <f>IF(Z48=1,0,MAX(0,Z39))*(1-Time!Z20)</f>
        <v/>
      </c>
      <c r="AA49" s="19">
        <f>IF(AA48=1,0,MAX(0,AA39))*(1-Time!AA20)</f>
        <v/>
      </c>
      <c r="AB49" s="19">
        <f>IF(AB48=1,0,MAX(0,AB39))*(1-Time!AB20)</f>
        <v/>
      </c>
      <c r="AC49" s="19">
        <f>IF(AC48=1,0,MAX(0,AC39))*(1-Time!AC20)</f>
        <v/>
      </c>
      <c r="AD49" s="19">
        <f>IF(AD48=1,0,MAX(0,AD39))*(1-Time!AD20)</f>
        <v/>
      </c>
      <c r="AE49" s="19">
        <f>IF(AE48=1,0,MAX(0,AE39))*(1-Time!AE20)</f>
        <v/>
      </c>
      <c r="AF49" s="19">
        <f>IF(AF48=1,0,MAX(0,AF39))*(1-Time!AF20)</f>
        <v/>
      </c>
      <c r="AG49" s="19">
        <f>IF(AG48=1,0,MAX(0,AG39))*(1-Time!AG20)</f>
        <v/>
      </c>
      <c r="AH49" s="19">
        <f>IF(AH48=1,0,MAX(0,AH39))*(1-Time!AH20)</f>
        <v/>
      </c>
      <c r="AI49" s="19">
        <f>IF(AI48=1,0,MAX(0,AI39))*(1-Time!AI20)</f>
        <v/>
      </c>
      <c r="AJ49" s="19">
        <f>IF(AJ48=1,0,MAX(0,AJ39))*(1-Time!AJ20)</f>
        <v/>
      </c>
      <c r="AK49" s="19">
        <f>IF(AK48=1,0,MAX(0,AK39))*(1-Time!AK20)</f>
        <v/>
      </c>
      <c r="AL49" s="19">
        <f>IF(AL48=1,0,MAX(0,AL39))*(1-Time!AL20)</f>
        <v/>
      </c>
      <c r="AM49" s="19">
        <f>IF(AM48=1,0,MAX(0,AM39))*(1-Time!AM20)</f>
        <v/>
      </c>
      <c r="AN49" s="19">
        <f>IF(AN48=1,0,MAX(0,AN39))*(1-Time!AN20)</f>
        <v/>
      </c>
      <c r="AO49" s="19">
        <f>IF(AO48=1,0,MAX(0,AO39))*(1-Time!AO20)</f>
        <v/>
      </c>
      <c r="AP49" s="19">
        <f>IF(AP48=1,0,MAX(0,AP39))*(1-Time!AP20)</f>
        <v/>
      </c>
      <c r="AQ49" s="19">
        <f>IF(AQ48=1,0,MAX(0,AQ39))*(1-Time!AQ20)</f>
        <v/>
      </c>
      <c r="AR49" s="19">
        <f>IF(AR48=1,0,MAX(0,AR39))*(1-Time!AR20)</f>
        <v/>
      </c>
      <c r="AS49" s="19">
        <f>IF(AS48=1,0,MAX(0,AS39))*(1-Time!AS20)</f>
        <v/>
      </c>
      <c r="AT49" s="19">
        <f>IF(AT48=1,0,MAX(0,AT39))*(1-Time!AT20)</f>
        <v/>
      </c>
      <c r="AU49" s="19">
        <f>IF(AU48=1,0,MAX(0,AU39))*(1-Time!AU20)</f>
        <v/>
      </c>
      <c r="AV49" s="19">
        <f>IF(AV48=1,0,MAX(0,AV39))*(1-Time!AV20)</f>
        <v/>
      </c>
      <c r="AW49" s="19">
        <f>IF(AW48=1,0,MAX(0,AW39))*(1-Time!AW20)</f>
        <v/>
      </c>
      <c r="AX49" s="19">
        <f>IF(AX48=1,0,MAX(0,AX39))*(1-Time!AX20)</f>
        <v/>
      </c>
      <c r="AY49" s="19">
        <f>IF(AY48=1,0,MAX(0,AY39))*(1-Time!AY20)</f>
        <v/>
      </c>
      <c r="AZ49" s="19">
        <f>IF(AZ48=1,0,MAX(0,AZ39))*(1-Time!AZ20)</f>
        <v/>
      </c>
      <c r="BA49" s="19">
        <f>IF(BA48=1,0,MAX(0,BA39))*(1-Time!BA20)</f>
        <v/>
      </c>
      <c r="BB49" s="19">
        <f>IF(BB48=1,0,MAX(0,BB39))*(1-Time!BB20)</f>
        <v/>
      </c>
      <c r="BC49" s="19">
        <f>IF(BC48=1,0,MAX(0,BC39))*(1-Time!BC20)</f>
        <v/>
      </c>
      <c r="BD49" s="19">
        <f>IF(BD48=1,0,MAX(0,BD39))*(1-Time!BD20)</f>
        <v/>
      </c>
      <c r="BE49" s="19">
        <f>IF(BE48=1,0,MAX(0,BE39))*(1-Time!BE20)</f>
        <v/>
      </c>
      <c r="BF49" s="19">
        <f>IF(BF48=1,0,MAX(0,BF39))*(1-Time!BF20)</f>
        <v/>
      </c>
      <c r="BG49" s="19">
        <f>IF(BG48=1,0,MAX(0,BG39))*(1-Time!BG20)</f>
        <v/>
      </c>
      <c r="BH49" s="19">
        <f>IF(BH48=1,0,MAX(0,BH39))*(1-Time!BH20)</f>
        <v/>
      </c>
      <c r="BI49" s="19">
        <f>IF(BI48=1,0,MAX(0,BI39))*(1-Time!BI20)</f>
        <v/>
      </c>
      <c r="BJ49" s="19">
        <f>IF(BJ48=1,0,MAX(0,BJ39))*(1-Time!BJ20)</f>
        <v/>
      </c>
      <c r="BK49" s="19">
        <f>IF(BK48=1,0,MAX(0,BK39))*(1-Time!BK20)</f>
        <v/>
      </c>
      <c r="BL49" s="19">
        <f>IF(BL48=1,0,MAX(0,BL39))*(1-Time!BL20)</f>
        <v/>
      </c>
      <c r="BM49" s="19">
        <f>IF(BM48=1,0,MAX(0,BM39))*(1-Time!BM20)</f>
        <v/>
      </c>
      <c r="BN49" s="19">
        <f>IF(BN48=1,0,MAX(0,BN39))*(1-Time!BN20)</f>
        <v/>
      </c>
      <c r="BO49" s="19">
        <f>IF(BO48=1,0,MAX(0,BO39))*(1-Time!BO20)</f>
        <v/>
      </c>
      <c r="BP49" s="19">
        <f>IF(BP48=1,0,MAX(0,BP39))*(1-Time!BP20)</f>
        <v/>
      </c>
      <c r="BQ49" s="19">
        <f>IF(BQ48=1,0,MAX(0,BQ39))*(1-Time!BQ20)</f>
        <v/>
      </c>
      <c r="BR49" s="19">
        <f>IF(BR48=1,0,MAX(0,BR39))*(1-Time!BR20)</f>
        <v/>
      </c>
      <c r="BS49" s="19">
        <f>IF(BS48=1,0,MAX(0,BS39))*(1-Time!BS20)</f>
        <v/>
      </c>
      <c r="BT49" s="19">
        <f>IF(BT48=1,0,MAX(0,BT39))*(1-Time!BT20)</f>
        <v/>
      </c>
      <c r="BU49" s="19">
        <f>IF(BU48=1,0,MAX(0,BU39))*(1-Time!BU20)</f>
        <v/>
      </c>
      <c r="BV49" s="19">
        <f>IF(BV48=1,0,MAX(0,BV39))*(1-Time!BV20)</f>
        <v/>
      </c>
      <c r="BW49" s="19">
        <f>IF(BW48=1,0,MAX(0,BW39))*(1-Time!BW20)</f>
        <v/>
      </c>
      <c r="BX49" s="19">
        <f>IF(BX48=1,0,MAX(0,BX39))*(1-Time!BX20)</f>
        <v/>
      </c>
      <c r="BY49" s="19">
        <f>IF(BY48=1,0,MAX(0,BY39))*(1-Time!BY20)</f>
        <v/>
      </c>
      <c r="BZ49" s="19">
        <f>IF(BZ48=1,0,MAX(0,BZ39))*(1-Time!BZ20)</f>
        <v/>
      </c>
      <c r="CA49" s="19">
        <f>IF(CA48=1,0,MAX(0,CA39))*(1-Time!CA20)</f>
        <v/>
      </c>
      <c r="CB49" s="19">
        <f>IF(CB48=1,0,MAX(0,CB39))*(1-Time!CB20)</f>
        <v/>
      </c>
      <c r="CC49" s="19">
        <f>IF(CC48=1,0,MAX(0,CC39))*(1-Time!CC20)</f>
        <v/>
      </c>
      <c r="CD49" s="19">
        <f>IF(CD48=1,0,MAX(0,CD39))*(1-Time!CD20)</f>
        <v/>
      </c>
      <c r="CE49" s="19">
        <f>IF(CE48=1,0,MAX(0,CE39))*(1-Time!CE20)</f>
        <v/>
      </c>
      <c r="CF49" s="19">
        <f>IF(CF48=1,0,MAX(0,CF39))*(1-Time!CF20)</f>
        <v/>
      </c>
      <c r="CG49" s="19">
        <f>IF(CG48=1,0,MAX(0,CG39))*(1-Time!CG20)</f>
        <v/>
      </c>
      <c r="CH49" s="19">
        <f>IF(CH48=1,0,MAX(0,CH39))*(1-Time!CH20)</f>
        <v/>
      </c>
      <c r="CI49" s="19">
        <f>IF(CI48=1,0,MAX(0,CI39))*(1-Time!CI20)</f>
        <v/>
      </c>
      <c r="CJ49" s="19">
        <f>IF(CJ48=1,0,MAX(0,CJ39))*(1-Time!CJ20)</f>
        <v/>
      </c>
      <c r="CK49" s="19">
        <f>IF(CK48=1,0,MAX(0,CK39))*(1-Time!CK20)</f>
        <v/>
      </c>
      <c r="CL49" s="19">
        <f>IF(CL48=1,0,MAX(0,CL39))*(1-Time!CL20)</f>
        <v/>
      </c>
      <c r="CM49" s="19">
        <f>IF(CM48=1,0,MAX(0,CM39))*(1-Time!CM20)</f>
        <v/>
      </c>
      <c r="CN49" s="19">
        <f>IF(CN48=1,0,MAX(0,CN39))*(1-Time!CN20)</f>
        <v/>
      </c>
      <c r="CO49" s="19">
        <f>IF(CO48=1,0,MAX(0,CO39))*(1-Time!CO20)</f>
        <v/>
      </c>
      <c r="CP49" s="19">
        <f>IF(CP48=1,0,MAX(0,CP39))*(1-Time!CP20)</f>
        <v/>
      </c>
      <c r="CQ49" s="19">
        <f>IF(CQ48=1,0,MAX(0,CQ39))*(1-Time!CQ20)</f>
        <v/>
      </c>
      <c r="CR49" s="19">
        <f>IF(CR48=1,0,MAX(0,CR39))*(1-Time!CR20)</f>
        <v/>
      </c>
      <c r="CS49" s="19">
        <f>IF(CS48=1,0,MAX(0,CS39))*(1-Time!CS20)</f>
        <v/>
      </c>
      <c r="CT49" s="19">
        <f>IF(CT48=1,0,MAX(0,CT39))*(1-Time!CT20)</f>
        <v/>
      </c>
      <c r="CU49" s="19">
        <f>IF(CU48=1,0,MAX(0,CU39))*(1-Time!CU20)</f>
        <v/>
      </c>
      <c r="CV49" s="19">
        <f>IF(CV48=1,0,MAX(0,CV39))*(1-Time!CV20)</f>
        <v/>
      </c>
      <c r="CW49" s="19">
        <f>IF(CW48=1,0,MAX(0,CW39))*(1-Time!CW20)</f>
        <v/>
      </c>
      <c r="CX49" s="19">
        <f>IF(CX48=1,0,MAX(0,CX39))*(1-Time!CX20)</f>
        <v/>
      </c>
      <c r="CY49" s="19">
        <f>IF(CY48=1,0,MAX(0,CY39))*(1-Time!CY20)</f>
        <v/>
      </c>
      <c r="CZ49" s="19">
        <f>IF(CZ48=1,0,MAX(0,CZ39))*(1-Time!CZ20)</f>
        <v/>
      </c>
      <c r="DA49" s="19">
        <f>IF(DA48=1,0,MAX(0,DA39))*(1-Time!DA20)</f>
        <v/>
      </c>
      <c r="DB49" s="19">
        <f>IF(DB48=1,0,MAX(0,DB39))*(1-Time!DB20)</f>
        <v/>
      </c>
    </row>
    <row r="50">
      <c r="D50" t="inlineStr">
        <is>
          <t>State reserve top-up received</t>
        </is>
      </c>
      <c r="E50" t="inlineStr">
        <is>
          <t>ARD m</t>
        </is>
      </c>
      <c r="G50" s="19">
        <f>SUM(J50:DB50)</f>
        <v/>
      </c>
      <c r="J50" s="19">
        <f>Inputs!$F$175*Time!J35</f>
        <v/>
      </c>
      <c r="K50" s="19">
        <f>Inputs!$F$175*Time!K35</f>
        <v/>
      </c>
      <c r="L50" s="19">
        <f>Inputs!$F$175*Time!L35</f>
        <v/>
      </c>
      <c r="M50" s="19">
        <f>Inputs!$F$175*Time!M35</f>
        <v/>
      </c>
      <c r="N50" s="19">
        <f>Inputs!$F$175*Time!N35</f>
        <v/>
      </c>
      <c r="O50" s="19">
        <f>Inputs!$F$175*Time!O35</f>
        <v/>
      </c>
      <c r="P50" s="19">
        <f>Inputs!$F$175*Time!P35</f>
        <v/>
      </c>
      <c r="Q50" s="19">
        <f>Inputs!$F$175*Time!Q35</f>
        <v/>
      </c>
      <c r="R50" s="19">
        <f>Inputs!$F$175*Time!R35</f>
        <v/>
      </c>
      <c r="S50" s="19">
        <f>Inputs!$F$175*Time!S35</f>
        <v/>
      </c>
      <c r="T50" s="19">
        <f>Inputs!$F$175*Time!T35</f>
        <v/>
      </c>
      <c r="U50" s="19">
        <f>Inputs!$F$175*Time!U35</f>
        <v/>
      </c>
      <c r="V50" s="19">
        <f>Inputs!$F$175*Time!V35</f>
        <v/>
      </c>
      <c r="W50" s="19">
        <f>Inputs!$F$175*Time!W35</f>
        <v/>
      </c>
      <c r="X50" s="19">
        <f>Inputs!$F$175*Time!X35</f>
        <v/>
      </c>
      <c r="Y50" s="19">
        <f>Inputs!$F$175*Time!Y35</f>
        <v/>
      </c>
      <c r="Z50" s="19">
        <f>Inputs!$F$175*Time!Z35</f>
        <v/>
      </c>
      <c r="AA50" s="19">
        <f>Inputs!$F$175*Time!AA35</f>
        <v/>
      </c>
      <c r="AB50" s="19">
        <f>Inputs!$F$175*Time!AB35</f>
        <v/>
      </c>
      <c r="AC50" s="19">
        <f>Inputs!$F$175*Time!AC35</f>
        <v/>
      </c>
      <c r="AD50" s="19">
        <f>Inputs!$F$175*Time!AD35</f>
        <v/>
      </c>
      <c r="AE50" s="19">
        <f>Inputs!$F$175*Time!AE35</f>
        <v/>
      </c>
      <c r="AF50" s="19">
        <f>Inputs!$F$175*Time!AF35</f>
        <v/>
      </c>
      <c r="AG50" s="19">
        <f>Inputs!$F$175*Time!AG35</f>
        <v/>
      </c>
      <c r="AH50" s="19">
        <f>Inputs!$F$175*Time!AH35</f>
        <v/>
      </c>
      <c r="AI50" s="19">
        <f>Inputs!$F$175*Time!AI35</f>
        <v/>
      </c>
      <c r="AJ50" s="19">
        <f>Inputs!$F$175*Time!AJ35</f>
        <v/>
      </c>
      <c r="AK50" s="19">
        <f>Inputs!$F$175*Time!AK35</f>
        <v/>
      </c>
      <c r="AL50" s="19">
        <f>Inputs!$F$175*Time!AL35</f>
        <v/>
      </c>
      <c r="AM50" s="19">
        <f>Inputs!$F$175*Time!AM35</f>
        <v/>
      </c>
      <c r="AN50" s="19">
        <f>Inputs!$F$175*Time!AN35</f>
        <v/>
      </c>
      <c r="AO50" s="19">
        <f>Inputs!$F$175*Time!AO35</f>
        <v/>
      </c>
      <c r="AP50" s="19">
        <f>Inputs!$F$175*Time!AP35</f>
        <v/>
      </c>
      <c r="AQ50" s="19">
        <f>Inputs!$F$175*Time!AQ35</f>
        <v/>
      </c>
      <c r="AR50" s="19">
        <f>Inputs!$F$175*Time!AR35</f>
        <v/>
      </c>
      <c r="AS50" s="19">
        <f>Inputs!$F$175*Time!AS35</f>
        <v/>
      </c>
      <c r="AT50" s="19">
        <f>Inputs!$F$175*Time!AT35</f>
        <v/>
      </c>
      <c r="AU50" s="19">
        <f>Inputs!$F$175*Time!AU35</f>
        <v/>
      </c>
      <c r="AV50" s="19">
        <f>Inputs!$F$175*Time!AV35</f>
        <v/>
      </c>
      <c r="AW50" s="19">
        <f>Inputs!$F$175*Time!AW35</f>
        <v/>
      </c>
      <c r="AX50" s="19">
        <f>Inputs!$F$175*Time!AX35</f>
        <v/>
      </c>
      <c r="AY50" s="19">
        <f>Inputs!$F$175*Time!AY35</f>
        <v/>
      </c>
      <c r="AZ50" s="19">
        <f>Inputs!$F$175*Time!AZ35</f>
        <v/>
      </c>
      <c r="BA50" s="19">
        <f>Inputs!$F$175*Time!BA35</f>
        <v/>
      </c>
      <c r="BB50" s="19">
        <f>Inputs!$F$175*Time!BB35</f>
        <v/>
      </c>
      <c r="BC50" s="19">
        <f>Inputs!$F$175*Time!BC35</f>
        <v/>
      </c>
      <c r="BD50" s="19">
        <f>Inputs!$F$175*Time!BD35</f>
        <v/>
      </c>
      <c r="BE50" s="19">
        <f>Inputs!$F$175*Time!BE35</f>
        <v/>
      </c>
      <c r="BF50" s="19">
        <f>Inputs!$F$175*Time!BF35</f>
        <v/>
      </c>
      <c r="BG50" s="19">
        <f>Inputs!$F$175*Time!BG35</f>
        <v/>
      </c>
      <c r="BH50" s="19">
        <f>Inputs!$F$175*Time!BH35</f>
        <v/>
      </c>
      <c r="BI50" s="19">
        <f>Inputs!$F$175*Time!BI35</f>
        <v/>
      </c>
      <c r="BJ50" s="19">
        <f>Inputs!$F$175*Time!BJ35</f>
        <v/>
      </c>
      <c r="BK50" s="19">
        <f>Inputs!$F$175*Time!BK35</f>
        <v/>
      </c>
      <c r="BL50" s="19">
        <f>Inputs!$F$175*Time!BL35</f>
        <v/>
      </c>
      <c r="BM50" s="19">
        <f>Inputs!$F$175*Time!BM35</f>
        <v/>
      </c>
      <c r="BN50" s="19">
        <f>Inputs!$F$175*Time!BN35</f>
        <v/>
      </c>
      <c r="BO50" s="19">
        <f>Inputs!$F$175*Time!BO35</f>
        <v/>
      </c>
      <c r="BP50" s="19">
        <f>Inputs!$F$175*Time!BP35</f>
        <v/>
      </c>
      <c r="BQ50" s="19">
        <f>Inputs!$F$175*Time!BQ35</f>
        <v/>
      </c>
      <c r="BR50" s="19">
        <f>Inputs!$F$175*Time!BR35</f>
        <v/>
      </c>
      <c r="BS50" s="19">
        <f>Inputs!$F$175*Time!BS35</f>
        <v/>
      </c>
      <c r="BT50" s="19">
        <f>Inputs!$F$175*Time!BT35</f>
        <v/>
      </c>
      <c r="BU50" s="19">
        <f>Inputs!$F$175*Time!BU35</f>
        <v/>
      </c>
      <c r="BV50" s="19">
        <f>Inputs!$F$175*Time!BV35</f>
        <v/>
      </c>
      <c r="BW50" s="19">
        <f>Inputs!$F$175*Time!BW35</f>
        <v/>
      </c>
      <c r="BX50" s="19">
        <f>Inputs!$F$175*Time!BX35</f>
        <v/>
      </c>
      <c r="BY50" s="19">
        <f>Inputs!$F$175*Time!BY35</f>
        <v/>
      </c>
      <c r="BZ50" s="19">
        <f>Inputs!$F$175*Time!BZ35</f>
        <v/>
      </c>
      <c r="CA50" s="19">
        <f>Inputs!$F$175*Time!CA35</f>
        <v/>
      </c>
      <c r="CB50" s="19">
        <f>Inputs!$F$175*Time!CB35</f>
        <v/>
      </c>
      <c r="CC50" s="19">
        <f>Inputs!$F$175*Time!CC35</f>
        <v/>
      </c>
      <c r="CD50" s="19">
        <f>Inputs!$F$175*Time!CD35</f>
        <v/>
      </c>
      <c r="CE50" s="19">
        <f>Inputs!$F$175*Time!CE35</f>
        <v/>
      </c>
      <c r="CF50" s="19">
        <f>Inputs!$F$175*Time!CF35</f>
        <v/>
      </c>
      <c r="CG50" s="19">
        <f>Inputs!$F$175*Time!CG35</f>
        <v/>
      </c>
      <c r="CH50" s="19">
        <f>Inputs!$F$175*Time!CH35</f>
        <v/>
      </c>
      <c r="CI50" s="19">
        <f>Inputs!$F$175*Time!CI35</f>
        <v/>
      </c>
      <c r="CJ50" s="19">
        <f>Inputs!$F$175*Time!CJ35</f>
        <v/>
      </c>
      <c r="CK50" s="19">
        <f>Inputs!$F$175*Time!CK35</f>
        <v/>
      </c>
      <c r="CL50" s="19">
        <f>Inputs!$F$175*Time!CL35</f>
        <v/>
      </c>
      <c r="CM50" s="19">
        <f>Inputs!$F$175*Time!CM35</f>
        <v/>
      </c>
      <c r="CN50" s="19">
        <f>Inputs!$F$175*Time!CN35</f>
        <v/>
      </c>
      <c r="CO50" s="19">
        <f>Inputs!$F$175*Time!CO35</f>
        <v/>
      </c>
      <c r="CP50" s="19">
        <f>Inputs!$F$175*Time!CP35</f>
        <v/>
      </c>
      <c r="CQ50" s="19">
        <f>Inputs!$F$175*Time!CQ35</f>
        <v/>
      </c>
      <c r="CR50" s="19">
        <f>Inputs!$F$175*Time!CR35</f>
        <v/>
      </c>
      <c r="CS50" s="19">
        <f>Inputs!$F$175*Time!CS35</f>
        <v/>
      </c>
      <c r="CT50" s="19">
        <f>Inputs!$F$175*Time!CT35</f>
        <v/>
      </c>
      <c r="CU50" s="19">
        <f>Inputs!$F$175*Time!CU35</f>
        <v/>
      </c>
      <c r="CV50" s="19">
        <f>Inputs!$F$175*Time!CV35</f>
        <v/>
      </c>
      <c r="CW50" s="19">
        <f>Inputs!$F$175*Time!CW35</f>
        <v/>
      </c>
      <c r="CX50" s="19">
        <f>Inputs!$F$175*Time!CX35</f>
        <v/>
      </c>
      <c r="CY50" s="19">
        <f>Inputs!$F$175*Time!CY35</f>
        <v/>
      </c>
      <c r="CZ50" s="19">
        <f>Inputs!$F$175*Time!CZ35</f>
        <v/>
      </c>
      <c r="DA50" s="19">
        <f>Inputs!$F$175*Time!DA35</f>
        <v/>
      </c>
      <c r="DB50" s="19">
        <f>Inputs!$F$175*Time!DB35</f>
        <v/>
      </c>
    </row>
    <row r="51">
      <c r="D51" t="inlineStr">
        <is>
          <t>Cash account carried forward</t>
        </is>
      </c>
      <c r="E51" t="inlineStr">
        <is>
          <t>ARD m</t>
        </is>
      </c>
      <c r="J51" s="19">
        <f>(J39-J49+J50)*(1-Time!J20)</f>
        <v/>
      </c>
      <c r="K51" s="19">
        <f>(K39-K49+K50)*(1-Time!K20)</f>
        <v/>
      </c>
      <c r="L51" s="19">
        <f>(L39-L49+L50)*(1-Time!L20)</f>
        <v/>
      </c>
      <c r="M51" s="19">
        <f>(M39-M49+M50)*(1-Time!M20)</f>
        <v/>
      </c>
      <c r="N51" s="19">
        <f>(N39-N49+N50)*(1-Time!N20)</f>
        <v/>
      </c>
      <c r="O51" s="19">
        <f>(O39-O49+O50)*(1-Time!O20)</f>
        <v/>
      </c>
      <c r="P51" s="19">
        <f>(P39-P49+P50)*(1-Time!P20)</f>
        <v/>
      </c>
      <c r="Q51" s="19">
        <f>(Q39-Q49+Q50)*(1-Time!Q20)</f>
        <v/>
      </c>
      <c r="R51" s="19">
        <f>(R39-R49+R50)*(1-Time!R20)</f>
        <v/>
      </c>
      <c r="S51" s="19">
        <f>(S39-S49+S50)*(1-Time!S20)</f>
        <v/>
      </c>
      <c r="T51" s="19">
        <f>(T39-T49+T50)*(1-Time!T20)</f>
        <v/>
      </c>
      <c r="U51" s="19">
        <f>(U39-U49+U50)*(1-Time!U20)</f>
        <v/>
      </c>
      <c r="V51" s="19">
        <f>(V39-V49+V50)*(1-Time!V20)</f>
        <v/>
      </c>
      <c r="W51" s="19">
        <f>(W39-W49+W50)*(1-Time!W20)</f>
        <v/>
      </c>
      <c r="X51" s="19">
        <f>(X39-X49+X50)*(1-Time!X20)</f>
        <v/>
      </c>
      <c r="Y51" s="19">
        <f>(Y39-Y49+Y50)*(1-Time!Y20)</f>
        <v/>
      </c>
      <c r="Z51" s="19">
        <f>(Z39-Z49+Z50)*(1-Time!Z20)</f>
        <v/>
      </c>
      <c r="AA51" s="19">
        <f>(AA39-AA49+AA50)*(1-Time!AA20)</f>
        <v/>
      </c>
      <c r="AB51" s="19">
        <f>(AB39-AB49+AB50)*(1-Time!AB20)</f>
        <v/>
      </c>
      <c r="AC51" s="19">
        <f>(AC39-AC49+AC50)*(1-Time!AC20)</f>
        <v/>
      </c>
      <c r="AD51" s="19">
        <f>(AD39-AD49+AD50)*(1-Time!AD20)</f>
        <v/>
      </c>
      <c r="AE51" s="19">
        <f>(AE39-AE49+AE50)*(1-Time!AE20)</f>
        <v/>
      </c>
      <c r="AF51" s="19">
        <f>(AF39-AF49+AF50)*(1-Time!AF20)</f>
        <v/>
      </c>
      <c r="AG51" s="19">
        <f>(AG39-AG49+AG50)*(1-Time!AG20)</f>
        <v/>
      </c>
      <c r="AH51" s="19">
        <f>(AH39-AH49+AH50)*(1-Time!AH20)</f>
        <v/>
      </c>
      <c r="AI51" s="19">
        <f>(AI39-AI49+AI50)*(1-Time!AI20)</f>
        <v/>
      </c>
      <c r="AJ51" s="19">
        <f>(AJ39-AJ49+AJ50)*(1-Time!AJ20)</f>
        <v/>
      </c>
      <c r="AK51" s="19">
        <f>(AK39-AK49+AK50)*(1-Time!AK20)</f>
        <v/>
      </c>
      <c r="AL51" s="19">
        <f>(AL39-AL49+AL50)*(1-Time!AL20)</f>
        <v/>
      </c>
      <c r="AM51" s="19">
        <f>(AM39-AM49+AM50)*(1-Time!AM20)</f>
        <v/>
      </c>
      <c r="AN51" s="19">
        <f>(AN39-AN49+AN50)*(1-Time!AN20)</f>
        <v/>
      </c>
      <c r="AO51" s="19">
        <f>(AO39-AO49+AO50)*(1-Time!AO20)</f>
        <v/>
      </c>
      <c r="AP51" s="19">
        <f>(AP39-AP49+AP50)*(1-Time!AP20)</f>
        <v/>
      </c>
      <c r="AQ51" s="19">
        <f>(AQ39-AQ49+AQ50)*(1-Time!AQ20)</f>
        <v/>
      </c>
      <c r="AR51" s="19">
        <f>(AR39-AR49+AR50)*(1-Time!AR20)</f>
        <v/>
      </c>
      <c r="AS51" s="19">
        <f>(AS39-AS49+AS50)*(1-Time!AS20)</f>
        <v/>
      </c>
      <c r="AT51" s="19">
        <f>(AT39-AT49+AT50)*(1-Time!AT20)</f>
        <v/>
      </c>
      <c r="AU51" s="19">
        <f>(AU39-AU49+AU50)*(1-Time!AU20)</f>
        <v/>
      </c>
      <c r="AV51" s="19">
        <f>(AV39-AV49+AV50)*(1-Time!AV20)</f>
        <v/>
      </c>
      <c r="AW51" s="19">
        <f>(AW39-AW49+AW50)*(1-Time!AW20)</f>
        <v/>
      </c>
      <c r="AX51" s="19">
        <f>(AX39-AX49+AX50)*(1-Time!AX20)</f>
        <v/>
      </c>
      <c r="AY51" s="19">
        <f>(AY39-AY49+AY50)*(1-Time!AY20)</f>
        <v/>
      </c>
      <c r="AZ51" s="19">
        <f>(AZ39-AZ49+AZ50)*(1-Time!AZ20)</f>
        <v/>
      </c>
      <c r="BA51" s="19">
        <f>(BA39-BA49+BA50)*(1-Time!BA20)</f>
        <v/>
      </c>
      <c r="BB51" s="19">
        <f>(BB39-BB49+BB50)*(1-Time!BB20)</f>
        <v/>
      </c>
      <c r="BC51" s="19">
        <f>(BC39-BC49+BC50)*(1-Time!BC20)</f>
        <v/>
      </c>
      <c r="BD51" s="19">
        <f>(BD39-BD49+BD50)*(1-Time!BD20)</f>
        <v/>
      </c>
      <c r="BE51" s="19">
        <f>(BE39-BE49+BE50)*(1-Time!BE20)</f>
        <v/>
      </c>
      <c r="BF51" s="19">
        <f>(BF39-BF49+BF50)*(1-Time!BF20)</f>
        <v/>
      </c>
      <c r="BG51" s="19">
        <f>(BG39-BG49+BG50)*(1-Time!BG20)</f>
        <v/>
      </c>
      <c r="BH51" s="19">
        <f>(BH39-BH49+BH50)*(1-Time!BH20)</f>
        <v/>
      </c>
      <c r="BI51" s="19">
        <f>(BI39-BI49+BI50)*(1-Time!BI20)</f>
        <v/>
      </c>
      <c r="BJ51" s="19">
        <f>(BJ39-BJ49+BJ50)*(1-Time!BJ20)</f>
        <v/>
      </c>
      <c r="BK51" s="19">
        <f>(BK39-BK49+BK50)*(1-Time!BK20)</f>
        <v/>
      </c>
      <c r="BL51" s="19">
        <f>(BL39-BL49+BL50)*(1-Time!BL20)</f>
        <v/>
      </c>
      <c r="BM51" s="19">
        <f>(BM39-BM49+BM50)*(1-Time!BM20)</f>
        <v/>
      </c>
      <c r="BN51" s="19">
        <f>(BN39-BN49+BN50)*(1-Time!BN20)</f>
        <v/>
      </c>
      <c r="BO51" s="19">
        <f>(BO39-BO49+BO50)*(1-Time!BO20)</f>
        <v/>
      </c>
      <c r="BP51" s="19">
        <f>(BP39-BP49+BP50)*(1-Time!BP20)</f>
        <v/>
      </c>
      <c r="BQ51" s="19">
        <f>(BQ39-BQ49+BQ50)*(1-Time!BQ20)</f>
        <v/>
      </c>
      <c r="BR51" s="19">
        <f>(BR39-BR49+BR50)*(1-Time!BR20)</f>
        <v/>
      </c>
      <c r="BS51" s="19">
        <f>(BS39-BS49+BS50)*(1-Time!BS20)</f>
        <v/>
      </c>
      <c r="BT51" s="19">
        <f>(BT39-BT49+BT50)*(1-Time!BT20)</f>
        <v/>
      </c>
      <c r="BU51" s="19">
        <f>(BU39-BU49+BU50)*(1-Time!BU20)</f>
        <v/>
      </c>
      <c r="BV51" s="19">
        <f>(BV39-BV49+BV50)*(1-Time!BV20)</f>
        <v/>
      </c>
      <c r="BW51" s="19">
        <f>(BW39-BW49+BW50)*(1-Time!BW20)</f>
        <v/>
      </c>
      <c r="BX51" s="19">
        <f>(BX39-BX49+BX50)*(1-Time!BX20)</f>
        <v/>
      </c>
      <c r="BY51" s="19">
        <f>(BY39-BY49+BY50)*(1-Time!BY20)</f>
        <v/>
      </c>
      <c r="BZ51" s="19">
        <f>(BZ39-BZ49+BZ50)*(1-Time!BZ20)</f>
        <v/>
      </c>
      <c r="CA51" s="19">
        <f>(CA39-CA49+CA50)*(1-Time!CA20)</f>
        <v/>
      </c>
      <c r="CB51" s="19">
        <f>(CB39-CB49+CB50)*(1-Time!CB20)</f>
        <v/>
      </c>
      <c r="CC51" s="19">
        <f>(CC39-CC49+CC50)*(1-Time!CC20)</f>
        <v/>
      </c>
      <c r="CD51" s="19">
        <f>(CD39-CD49+CD50)*(1-Time!CD20)</f>
        <v/>
      </c>
      <c r="CE51" s="19">
        <f>(CE39-CE49+CE50)*(1-Time!CE20)</f>
        <v/>
      </c>
      <c r="CF51" s="19">
        <f>(CF39-CF49+CF50)*(1-Time!CF20)</f>
        <v/>
      </c>
      <c r="CG51" s="19">
        <f>(CG39-CG49+CG50)*(1-Time!CG20)</f>
        <v/>
      </c>
      <c r="CH51" s="19">
        <f>(CH39-CH49+CH50)*(1-Time!CH20)</f>
        <v/>
      </c>
      <c r="CI51" s="19">
        <f>(CI39-CI49+CI50)*(1-Time!CI20)</f>
        <v/>
      </c>
      <c r="CJ51" s="19">
        <f>(CJ39-CJ49+CJ50)*(1-Time!CJ20)</f>
        <v/>
      </c>
      <c r="CK51" s="19">
        <f>(CK39-CK49+CK50)*(1-Time!CK20)</f>
        <v/>
      </c>
      <c r="CL51" s="19">
        <f>(CL39-CL49+CL50)*(1-Time!CL20)</f>
        <v/>
      </c>
      <c r="CM51" s="19">
        <f>(CM39-CM49+CM50)*(1-Time!CM20)</f>
        <v/>
      </c>
      <c r="CN51" s="19">
        <f>(CN39-CN49+CN50)*(1-Time!CN20)</f>
        <v/>
      </c>
      <c r="CO51" s="19">
        <f>(CO39-CO49+CO50)*(1-Time!CO20)</f>
        <v/>
      </c>
      <c r="CP51" s="19">
        <f>(CP39-CP49+CP50)*(1-Time!CP20)</f>
        <v/>
      </c>
      <c r="CQ51" s="19">
        <f>(CQ39-CQ49+CQ50)*(1-Time!CQ20)</f>
        <v/>
      </c>
      <c r="CR51" s="19">
        <f>(CR39-CR49+CR50)*(1-Time!CR20)</f>
        <v/>
      </c>
      <c r="CS51" s="19">
        <f>(CS39-CS49+CS50)*(1-Time!CS20)</f>
        <v/>
      </c>
      <c r="CT51" s="19">
        <f>(CT39-CT49+CT50)*(1-Time!CT20)</f>
        <v/>
      </c>
      <c r="CU51" s="19">
        <f>(CU39-CU49+CU50)*(1-Time!CU20)</f>
        <v/>
      </c>
      <c r="CV51" s="19">
        <f>(CV39-CV49+CV50)*(1-Time!CV20)</f>
        <v/>
      </c>
      <c r="CW51" s="19">
        <f>(CW39-CW49+CW50)*(1-Time!CW20)</f>
        <v/>
      </c>
      <c r="CX51" s="19">
        <f>(CX39-CX49+CX50)*(1-Time!CX20)</f>
        <v/>
      </c>
      <c r="CY51" s="19">
        <f>(CY39-CY49+CY50)*(1-Time!CY20)</f>
        <v/>
      </c>
      <c r="CZ51" s="19">
        <f>(CZ39-CZ49+CZ50)*(1-Time!CZ20)</f>
        <v/>
      </c>
      <c r="DA51" s="19">
        <f>(DA39-DA49+DA50)*(1-Time!DA20)</f>
        <v/>
      </c>
      <c r="DB51" s="19">
        <f>(DB39-DB49+DB50)*(1-Time!DB20)</f>
        <v/>
      </c>
    </row>
    <row r="52">
      <c r="D52" s="3" t="inlineStr">
        <is>
          <t>Shareholder loans and dividends</t>
        </is>
      </c>
    </row>
    <row r="53">
      <c r="D53" t="inlineStr">
        <is>
          <t>Shareholder loans: opening (incl. capitalized interest)</t>
        </is>
      </c>
      <c r="E53" t="inlineStr">
        <is>
          <t>ARD m</t>
        </is>
      </c>
      <c r="J53" s="19">
        <f>I59</f>
        <v/>
      </c>
      <c r="K53" s="19">
        <f>J59</f>
        <v/>
      </c>
      <c r="L53" s="19">
        <f>K59</f>
        <v/>
      </c>
      <c r="M53" s="19">
        <f>L59</f>
        <v/>
      </c>
      <c r="N53" s="19">
        <f>M59</f>
        <v/>
      </c>
      <c r="O53" s="19">
        <f>N59</f>
        <v/>
      </c>
      <c r="P53" s="19">
        <f>O59</f>
        <v/>
      </c>
      <c r="Q53" s="19">
        <f>P59</f>
        <v/>
      </c>
      <c r="R53" s="19">
        <f>Q59</f>
        <v/>
      </c>
      <c r="S53" s="19">
        <f>R59</f>
        <v/>
      </c>
      <c r="T53" s="19">
        <f>S59</f>
        <v/>
      </c>
      <c r="U53" s="19">
        <f>T59</f>
        <v/>
      </c>
      <c r="V53" s="19">
        <f>U59</f>
        <v/>
      </c>
      <c r="W53" s="19">
        <f>V59</f>
        <v/>
      </c>
      <c r="X53" s="19">
        <f>W59</f>
        <v/>
      </c>
      <c r="Y53" s="19">
        <f>X59</f>
        <v/>
      </c>
      <c r="Z53" s="19">
        <f>Y59</f>
        <v/>
      </c>
      <c r="AA53" s="19">
        <f>Z59</f>
        <v/>
      </c>
      <c r="AB53" s="19">
        <f>AA59</f>
        <v/>
      </c>
      <c r="AC53" s="19">
        <f>AB59</f>
        <v/>
      </c>
      <c r="AD53" s="19">
        <f>AC59</f>
        <v/>
      </c>
      <c r="AE53" s="19">
        <f>AD59</f>
        <v/>
      </c>
      <c r="AF53" s="19">
        <f>AE59</f>
        <v/>
      </c>
      <c r="AG53" s="19">
        <f>AF59</f>
        <v/>
      </c>
      <c r="AH53" s="19">
        <f>AG59</f>
        <v/>
      </c>
      <c r="AI53" s="19">
        <f>AH59</f>
        <v/>
      </c>
      <c r="AJ53" s="19">
        <f>AI59</f>
        <v/>
      </c>
      <c r="AK53" s="19">
        <f>AJ59</f>
        <v/>
      </c>
      <c r="AL53" s="19">
        <f>AK59</f>
        <v/>
      </c>
      <c r="AM53" s="19">
        <f>AL59</f>
        <v/>
      </c>
      <c r="AN53" s="19">
        <f>AM59</f>
        <v/>
      </c>
      <c r="AO53" s="19">
        <f>AN59</f>
        <v/>
      </c>
      <c r="AP53" s="19">
        <f>AO59</f>
        <v/>
      </c>
      <c r="AQ53" s="19">
        <f>AP59</f>
        <v/>
      </c>
      <c r="AR53" s="19">
        <f>AQ59</f>
        <v/>
      </c>
      <c r="AS53" s="19">
        <f>AR59</f>
        <v/>
      </c>
      <c r="AT53" s="19">
        <f>AS59</f>
        <v/>
      </c>
      <c r="AU53" s="19">
        <f>AT59</f>
        <v/>
      </c>
      <c r="AV53" s="19">
        <f>AU59</f>
        <v/>
      </c>
      <c r="AW53" s="19">
        <f>AV59</f>
        <v/>
      </c>
      <c r="AX53" s="19">
        <f>AW59</f>
        <v/>
      </c>
      <c r="AY53" s="19">
        <f>AX59</f>
        <v/>
      </c>
      <c r="AZ53" s="19">
        <f>AY59</f>
        <v/>
      </c>
      <c r="BA53" s="19">
        <f>AZ59</f>
        <v/>
      </c>
      <c r="BB53" s="19">
        <f>BA59</f>
        <v/>
      </c>
      <c r="BC53" s="19">
        <f>BB59</f>
        <v/>
      </c>
      <c r="BD53" s="19">
        <f>BC59</f>
        <v/>
      </c>
      <c r="BE53" s="19">
        <f>BD59</f>
        <v/>
      </c>
      <c r="BF53" s="19">
        <f>BE59</f>
        <v/>
      </c>
      <c r="BG53" s="19">
        <f>BF59</f>
        <v/>
      </c>
      <c r="BH53" s="19">
        <f>BG59</f>
        <v/>
      </c>
      <c r="BI53" s="19">
        <f>BH59</f>
        <v/>
      </c>
      <c r="BJ53" s="19">
        <f>BI59</f>
        <v/>
      </c>
      <c r="BK53" s="19">
        <f>BJ59</f>
        <v/>
      </c>
      <c r="BL53" s="19">
        <f>BK59</f>
        <v/>
      </c>
      <c r="BM53" s="19">
        <f>BL59</f>
        <v/>
      </c>
      <c r="BN53" s="19">
        <f>BM59</f>
        <v/>
      </c>
      <c r="BO53" s="19">
        <f>BN59</f>
        <v/>
      </c>
      <c r="BP53" s="19">
        <f>BO59</f>
        <v/>
      </c>
      <c r="BQ53" s="19">
        <f>BP59</f>
        <v/>
      </c>
      <c r="BR53" s="19">
        <f>BQ59</f>
        <v/>
      </c>
      <c r="BS53" s="19">
        <f>BR59</f>
        <v/>
      </c>
      <c r="BT53" s="19">
        <f>BS59</f>
        <v/>
      </c>
      <c r="BU53" s="19">
        <f>BT59</f>
        <v/>
      </c>
      <c r="BV53" s="19">
        <f>BU59</f>
        <v/>
      </c>
      <c r="BW53" s="19">
        <f>BV59</f>
        <v/>
      </c>
      <c r="BX53" s="19">
        <f>BW59</f>
        <v/>
      </c>
      <c r="BY53" s="19">
        <f>BX59</f>
        <v/>
      </c>
      <c r="BZ53" s="19">
        <f>BY59</f>
        <v/>
      </c>
      <c r="CA53" s="19">
        <f>BZ59</f>
        <v/>
      </c>
      <c r="CB53" s="19">
        <f>CA59</f>
        <v/>
      </c>
      <c r="CC53" s="19">
        <f>CB59</f>
        <v/>
      </c>
      <c r="CD53" s="19">
        <f>CC59</f>
        <v/>
      </c>
      <c r="CE53" s="19">
        <f>CD59</f>
        <v/>
      </c>
      <c r="CF53" s="19">
        <f>CE59</f>
        <v/>
      </c>
      <c r="CG53" s="19">
        <f>CF59</f>
        <v/>
      </c>
      <c r="CH53" s="19">
        <f>CG59</f>
        <v/>
      </c>
      <c r="CI53" s="19">
        <f>CH59</f>
        <v/>
      </c>
      <c r="CJ53" s="19">
        <f>CI59</f>
        <v/>
      </c>
      <c r="CK53" s="19">
        <f>CJ59</f>
        <v/>
      </c>
      <c r="CL53" s="19">
        <f>CK59</f>
        <v/>
      </c>
      <c r="CM53" s="19">
        <f>CL59</f>
        <v/>
      </c>
      <c r="CN53" s="19">
        <f>CM59</f>
        <v/>
      </c>
      <c r="CO53" s="19">
        <f>CN59</f>
        <v/>
      </c>
      <c r="CP53" s="19">
        <f>CO59</f>
        <v/>
      </c>
      <c r="CQ53" s="19">
        <f>CP59</f>
        <v/>
      </c>
      <c r="CR53" s="19">
        <f>CQ59</f>
        <v/>
      </c>
      <c r="CS53" s="19">
        <f>CR59</f>
        <v/>
      </c>
      <c r="CT53" s="19">
        <f>CS59</f>
        <v/>
      </c>
      <c r="CU53" s="19">
        <f>CT59</f>
        <v/>
      </c>
      <c r="CV53" s="19">
        <f>CU59</f>
        <v/>
      </c>
      <c r="CW53" s="19">
        <f>CV59</f>
        <v/>
      </c>
      <c r="CX53" s="19">
        <f>CW59</f>
        <v/>
      </c>
      <c r="CY53" s="19">
        <f>CX59</f>
        <v/>
      </c>
      <c r="CZ53" s="19">
        <f>CY59</f>
        <v/>
      </c>
      <c r="DA53" s="19">
        <f>CZ59</f>
        <v/>
      </c>
      <c r="DB53" s="19">
        <f>DA59</f>
        <v/>
      </c>
    </row>
    <row r="54">
      <c r="D54" t="inlineStr">
        <is>
          <t>Shareholder loan interest accrued</t>
        </is>
      </c>
      <c r="E54" t="inlineStr">
        <is>
          <t>ARD m</t>
        </is>
      </c>
      <c r="G54" s="19">
        <f>SUM(J54:DB54)</f>
        <v/>
      </c>
      <c r="J54" s="19">
        <f>J53*Inputs!$F$90*Time!J9/Inputs!$F$46</f>
        <v/>
      </c>
      <c r="K54" s="19">
        <f>K53*Inputs!$F$90*Time!K9/Inputs!$F$46</f>
        <v/>
      </c>
      <c r="L54" s="19">
        <f>L53*Inputs!$F$90*Time!L9/Inputs!$F$46</f>
        <v/>
      </c>
      <c r="M54" s="19">
        <f>M53*Inputs!$F$90*Time!M9/Inputs!$F$46</f>
        <v/>
      </c>
      <c r="N54" s="19">
        <f>N53*Inputs!$F$90*Time!N9/Inputs!$F$46</f>
        <v/>
      </c>
      <c r="O54" s="19">
        <f>O53*Inputs!$F$90*Time!O9/Inputs!$F$46</f>
        <v/>
      </c>
      <c r="P54" s="19">
        <f>P53*Inputs!$F$90*Time!P9/Inputs!$F$46</f>
        <v/>
      </c>
      <c r="Q54" s="19">
        <f>Q53*Inputs!$F$90*Time!Q9/Inputs!$F$46</f>
        <v/>
      </c>
      <c r="R54" s="19">
        <f>R53*Inputs!$F$90*Time!R9/Inputs!$F$46</f>
        <v/>
      </c>
      <c r="S54" s="19">
        <f>S53*Inputs!$F$90*Time!S9/Inputs!$F$46</f>
        <v/>
      </c>
      <c r="T54" s="19">
        <f>T53*Inputs!$F$90*Time!T9/Inputs!$F$46</f>
        <v/>
      </c>
      <c r="U54" s="19">
        <f>U53*Inputs!$F$90*Time!U9/Inputs!$F$46</f>
        <v/>
      </c>
      <c r="V54" s="19">
        <f>V53*Inputs!$F$90*Time!V9/Inputs!$F$46</f>
        <v/>
      </c>
      <c r="W54" s="19">
        <f>W53*Inputs!$F$90*Time!W9/Inputs!$F$46</f>
        <v/>
      </c>
      <c r="X54" s="19">
        <f>X53*Inputs!$F$90*Time!X9/Inputs!$F$46</f>
        <v/>
      </c>
      <c r="Y54" s="19">
        <f>Y53*Inputs!$F$90*Time!Y9/Inputs!$F$46</f>
        <v/>
      </c>
      <c r="Z54" s="19">
        <f>Z53*Inputs!$F$90*Time!Z9/Inputs!$F$46</f>
        <v/>
      </c>
      <c r="AA54" s="19">
        <f>AA53*Inputs!$F$90*Time!AA9/Inputs!$F$46</f>
        <v/>
      </c>
      <c r="AB54" s="19">
        <f>AB53*Inputs!$F$90*Time!AB9/Inputs!$F$46</f>
        <v/>
      </c>
      <c r="AC54" s="19">
        <f>AC53*Inputs!$F$90*Time!AC9/Inputs!$F$46</f>
        <v/>
      </c>
      <c r="AD54" s="19">
        <f>AD53*Inputs!$F$90*Time!AD9/Inputs!$F$46</f>
        <v/>
      </c>
      <c r="AE54" s="19">
        <f>AE53*Inputs!$F$90*Time!AE9/Inputs!$F$46</f>
        <v/>
      </c>
      <c r="AF54" s="19">
        <f>AF53*Inputs!$F$90*Time!AF9/Inputs!$F$46</f>
        <v/>
      </c>
      <c r="AG54" s="19">
        <f>AG53*Inputs!$F$90*Time!AG9/Inputs!$F$46</f>
        <v/>
      </c>
      <c r="AH54" s="19">
        <f>AH53*Inputs!$F$90*Time!AH9/Inputs!$F$46</f>
        <v/>
      </c>
      <c r="AI54" s="19">
        <f>AI53*Inputs!$F$90*Time!AI9/Inputs!$F$46</f>
        <v/>
      </c>
      <c r="AJ54" s="19">
        <f>AJ53*Inputs!$F$90*Time!AJ9/Inputs!$F$46</f>
        <v/>
      </c>
      <c r="AK54" s="19">
        <f>AK53*Inputs!$F$90*Time!AK9/Inputs!$F$46</f>
        <v/>
      </c>
      <c r="AL54" s="19">
        <f>AL53*Inputs!$F$90*Time!AL9/Inputs!$F$46</f>
        <v/>
      </c>
      <c r="AM54" s="19">
        <f>AM53*Inputs!$F$90*Time!AM9/Inputs!$F$46</f>
        <v/>
      </c>
      <c r="AN54" s="19">
        <f>AN53*Inputs!$F$90*Time!AN9/Inputs!$F$46</f>
        <v/>
      </c>
      <c r="AO54" s="19">
        <f>AO53*Inputs!$F$90*Time!AO9/Inputs!$F$46</f>
        <v/>
      </c>
      <c r="AP54" s="19">
        <f>AP53*Inputs!$F$90*Time!AP9/Inputs!$F$46</f>
        <v/>
      </c>
      <c r="AQ54" s="19">
        <f>AQ53*Inputs!$F$90*Time!AQ9/Inputs!$F$46</f>
        <v/>
      </c>
      <c r="AR54" s="19">
        <f>AR53*Inputs!$F$90*Time!AR9/Inputs!$F$46</f>
        <v/>
      </c>
      <c r="AS54" s="19">
        <f>AS53*Inputs!$F$90*Time!AS9/Inputs!$F$46</f>
        <v/>
      </c>
      <c r="AT54" s="19">
        <f>AT53*Inputs!$F$90*Time!AT9/Inputs!$F$46</f>
        <v/>
      </c>
      <c r="AU54" s="19">
        <f>AU53*Inputs!$F$90*Time!AU9/Inputs!$F$46</f>
        <v/>
      </c>
      <c r="AV54" s="19">
        <f>AV53*Inputs!$F$90*Time!AV9/Inputs!$F$46</f>
        <v/>
      </c>
      <c r="AW54" s="19">
        <f>AW53*Inputs!$F$90*Time!AW9/Inputs!$F$46</f>
        <v/>
      </c>
      <c r="AX54" s="19">
        <f>AX53*Inputs!$F$90*Time!AX9/Inputs!$F$46</f>
        <v/>
      </c>
      <c r="AY54" s="19">
        <f>AY53*Inputs!$F$90*Time!AY9/Inputs!$F$46</f>
        <v/>
      </c>
      <c r="AZ54" s="19">
        <f>AZ53*Inputs!$F$90*Time!AZ9/Inputs!$F$46</f>
        <v/>
      </c>
      <c r="BA54" s="19">
        <f>BA53*Inputs!$F$90*Time!BA9/Inputs!$F$46</f>
        <v/>
      </c>
      <c r="BB54" s="19">
        <f>BB53*Inputs!$F$90*Time!BB9/Inputs!$F$46</f>
        <v/>
      </c>
      <c r="BC54" s="19">
        <f>BC53*Inputs!$F$90*Time!BC9/Inputs!$F$46</f>
        <v/>
      </c>
      <c r="BD54" s="19">
        <f>BD53*Inputs!$F$90*Time!BD9/Inputs!$F$46</f>
        <v/>
      </c>
      <c r="BE54" s="19">
        <f>BE53*Inputs!$F$90*Time!BE9/Inputs!$F$46</f>
        <v/>
      </c>
      <c r="BF54" s="19">
        <f>BF53*Inputs!$F$90*Time!BF9/Inputs!$F$46</f>
        <v/>
      </c>
      <c r="BG54" s="19">
        <f>BG53*Inputs!$F$90*Time!BG9/Inputs!$F$46</f>
        <v/>
      </c>
      <c r="BH54" s="19">
        <f>BH53*Inputs!$F$90*Time!BH9/Inputs!$F$46</f>
        <v/>
      </c>
      <c r="BI54" s="19">
        <f>BI53*Inputs!$F$90*Time!BI9/Inputs!$F$46</f>
        <v/>
      </c>
      <c r="BJ54" s="19">
        <f>BJ53*Inputs!$F$90*Time!BJ9/Inputs!$F$46</f>
        <v/>
      </c>
      <c r="BK54" s="19">
        <f>BK53*Inputs!$F$90*Time!BK9/Inputs!$F$46</f>
        <v/>
      </c>
      <c r="BL54" s="19">
        <f>BL53*Inputs!$F$90*Time!BL9/Inputs!$F$46</f>
        <v/>
      </c>
      <c r="BM54" s="19">
        <f>BM53*Inputs!$F$90*Time!BM9/Inputs!$F$46</f>
        <v/>
      </c>
      <c r="BN54" s="19">
        <f>BN53*Inputs!$F$90*Time!BN9/Inputs!$F$46</f>
        <v/>
      </c>
      <c r="BO54" s="19">
        <f>BO53*Inputs!$F$90*Time!BO9/Inputs!$F$46</f>
        <v/>
      </c>
      <c r="BP54" s="19">
        <f>BP53*Inputs!$F$90*Time!BP9/Inputs!$F$46</f>
        <v/>
      </c>
      <c r="BQ54" s="19">
        <f>BQ53*Inputs!$F$90*Time!BQ9/Inputs!$F$46</f>
        <v/>
      </c>
      <c r="BR54" s="19">
        <f>BR53*Inputs!$F$90*Time!BR9/Inputs!$F$46</f>
        <v/>
      </c>
      <c r="BS54" s="19">
        <f>BS53*Inputs!$F$90*Time!BS9/Inputs!$F$46</f>
        <v/>
      </c>
      <c r="BT54" s="19">
        <f>BT53*Inputs!$F$90*Time!BT9/Inputs!$F$46</f>
        <v/>
      </c>
      <c r="BU54" s="19">
        <f>BU53*Inputs!$F$90*Time!BU9/Inputs!$F$46</f>
        <v/>
      </c>
      <c r="BV54" s="19">
        <f>BV53*Inputs!$F$90*Time!BV9/Inputs!$F$46</f>
        <v/>
      </c>
      <c r="BW54" s="19">
        <f>BW53*Inputs!$F$90*Time!BW9/Inputs!$F$46</f>
        <v/>
      </c>
      <c r="BX54" s="19">
        <f>BX53*Inputs!$F$90*Time!BX9/Inputs!$F$46</f>
        <v/>
      </c>
      <c r="BY54" s="19">
        <f>BY53*Inputs!$F$90*Time!BY9/Inputs!$F$46</f>
        <v/>
      </c>
      <c r="BZ54" s="19">
        <f>BZ53*Inputs!$F$90*Time!BZ9/Inputs!$F$46</f>
        <v/>
      </c>
      <c r="CA54" s="19">
        <f>CA53*Inputs!$F$90*Time!CA9/Inputs!$F$46</f>
        <v/>
      </c>
      <c r="CB54" s="19">
        <f>CB53*Inputs!$F$90*Time!CB9/Inputs!$F$46</f>
        <v/>
      </c>
      <c r="CC54" s="19">
        <f>CC53*Inputs!$F$90*Time!CC9/Inputs!$F$46</f>
        <v/>
      </c>
      <c r="CD54" s="19">
        <f>CD53*Inputs!$F$90*Time!CD9/Inputs!$F$46</f>
        <v/>
      </c>
      <c r="CE54" s="19">
        <f>CE53*Inputs!$F$90*Time!CE9/Inputs!$F$46</f>
        <v/>
      </c>
      <c r="CF54" s="19">
        <f>CF53*Inputs!$F$90*Time!CF9/Inputs!$F$46</f>
        <v/>
      </c>
      <c r="CG54" s="19">
        <f>CG53*Inputs!$F$90*Time!CG9/Inputs!$F$46</f>
        <v/>
      </c>
      <c r="CH54" s="19">
        <f>CH53*Inputs!$F$90*Time!CH9/Inputs!$F$46</f>
        <v/>
      </c>
      <c r="CI54" s="19">
        <f>CI53*Inputs!$F$90*Time!CI9/Inputs!$F$46</f>
        <v/>
      </c>
      <c r="CJ54" s="19">
        <f>CJ53*Inputs!$F$90*Time!CJ9/Inputs!$F$46</f>
        <v/>
      </c>
      <c r="CK54" s="19">
        <f>CK53*Inputs!$F$90*Time!CK9/Inputs!$F$46</f>
        <v/>
      </c>
      <c r="CL54" s="19">
        <f>CL53*Inputs!$F$90*Time!CL9/Inputs!$F$46</f>
        <v/>
      </c>
      <c r="CM54" s="19">
        <f>CM53*Inputs!$F$90*Time!CM9/Inputs!$F$46</f>
        <v/>
      </c>
      <c r="CN54" s="19">
        <f>CN53*Inputs!$F$90*Time!CN9/Inputs!$F$46</f>
        <v/>
      </c>
      <c r="CO54" s="19">
        <f>CO53*Inputs!$F$90*Time!CO9/Inputs!$F$46</f>
        <v/>
      </c>
      <c r="CP54" s="19">
        <f>CP53*Inputs!$F$90*Time!CP9/Inputs!$F$46</f>
        <v/>
      </c>
      <c r="CQ54" s="19">
        <f>CQ53*Inputs!$F$90*Time!CQ9/Inputs!$F$46</f>
        <v/>
      </c>
      <c r="CR54" s="19">
        <f>CR53*Inputs!$F$90*Time!CR9/Inputs!$F$46</f>
        <v/>
      </c>
      <c r="CS54" s="19">
        <f>CS53*Inputs!$F$90*Time!CS9/Inputs!$F$46</f>
        <v/>
      </c>
      <c r="CT54" s="19">
        <f>CT53*Inputs!$F$90*Time!CT9/Inputs!$F$46</f>
        <v/>
      </c>
      <c r="CU54" s="19">
        <f>CU53*Inputs!$F$90*Time!CU9/Inputs!$F$46</f>
        <v/>
      </c>
      <c r="CV54" s="19">
        <f>CV53*Inputs!$F$90*Time!CV9/Inputs!$F$46</f>
        <v/>
      </c>
      <c r="CW54" s="19">
        <f>CW53*Inputs!$F$90*Time!CW9/Inputs!$F$46</f>
        <v/>
      </c>
      <c r="CX54" s="19">
        <f>CX53*Inputs!$F$90*Time!CX9/Inputs!$F$46</f>
        <v/>
      </c>
      <c r="CY54" s="19">
        <f>CY53*Inputs!$F$90*Time!CY9/Inputs!$F$46</f>
        <v/>
      </c>
      <c r="CZ54" s="19">
        <f>CZ53*Inputs!$F$90*Time!CZ9/Inputs!$F$46</f>
        <v/>
      </c>
      <c r="DA54" s="19">
        <f>DA53*Inputs!$F$90*Time!DA9/Inputs!$F$46</f>
        <v/>
      </c>
      <c r="DB54" s="19">
        <f>DB53*Inputs!$F$90*Time!DB9/Inputs!$F$46</f>
        <v/>
      </c>
    </row>
    <row r="55">
      <c r="D55" t="inlineStr">
        <is>
          <t>Shareholder loans outstanding before payment</t>
        </is>
      </c>
      <c r="E55" t="inlineStr">
        <is>
          <t>ARD m</t>
        </is>
      </c>
      <c r="J55" s="19">
        <f>J53+J54+J9+Funding!J38</f>
        <v/>
      </c>
      <c r="K55" s="19">
        <f>K53+K54+K9+Funding!K38</f>
        <v/>
      </c>
      <c r="L55" s="19">
        <f>L53+L54+L9+Funding!L38</f>
        <v/>
      </c>
      <c r="M55" s="19">
        <f>M53+M54+M9+Funding!M38</f>
        <v/>
      </c>
      <c r="N55" s="19">
        <f>N53+N54+N9+Funding!N38</f>
        <v/>
      </c>
      <c r="O55" s="19">
        <f>O53+O54+O9+Funding!O38</f>
        <v/>
      </c>
      <c r="P55" s="19">
        <f>P53+P54+P9+Funding!P38</f>
        <v/>
      </c>
      <c r="Q55" s="19">
        <f>Q53+Q54+Q9+Funding!Q38</f>
        <v/>
      </c>
      <c r="R55" s="19">
        <f>R53+R54+R9+Funding!R38</f>
        <v/>
      </c>
      <c r="S55" s="19">
        <f>S53+S54+S9+Funding!S38</f>
        <v/>
      </c>
      <c r="T55" s="19">
        <f>T53+T54+T9+Funding!T38</f>
        <v/>
      </c>
      <c r="U55" s="19">
        <f>U53+U54+U9+Funding!U38</f>
        <v/>
      </c>
      <c r="V55" s="19">
        <f>V53+V54+V9+Funding!V38</f>
        <v/>
      </c>
      <c r="W55" s="19">
        <f>W53+W54+W9+Funding!W38</f>
        <v/>
      </c>
      <c r="X55" s="19">
        <f>X53+X54+X9+Funding!X38</f>
        <v/>
      </c>
      <c r="Y55" s="19">
        <f>Y53+Y54+Y9+Funding!Y38</f>
        <v/>
      </c>
      <c r="Z55" s="19">
        <f>Z53+Z54+Z9+Funding!Z38</f>
        <v/>
      </c>
      <c r="AA55" s="19">
        <f>AA53+AA54+AA9+Funding!AA38</f>
        <v/>
      </c>
      <c r="AB55" s="19">
        <f>AB53+AB54+AB9+Funding!AB38</f>
        <v/>
      </c>
      <c r="AC55" s="19">
        <f>AC53+AC54+AC9+Funding!AC38</f>
        <v/>
      </c>
      <c r="AD55" s="19">
        <f>AD53+AD54+AD9+Funding!AD38</f>
        <v/>
      </c>
      <c r="AE55" s="19">
        <f>AE53+AE54+AE9+Funding!AE38</f>
        <v/>
      </c>
      <c r="AF55" s="19">
        <f>AF53+AF54+AF9+Funding!AF38</f>
        <v/>
      </c>
      <c r="AG55" s="19">
        <f>AG53+AG54+AG9+Funding!AG38</f>
        <v/>
      </c>
      <c r="AH55" s="19">
        <f>AH53+AH54+AH9+Funding!AH38</f>
        <v/>
      </c>
      <c r="AI55" s="19">
        <f>AI53+AI54+AI9+Funding!AI38</f>
        <v/>
      </c>
      <c r="AJ55" s="19">
        <f>AJ53+AJ54+AJ9+Funding!AJ38</f>
        <v/>
      </c>
      <c r="AK55" s="19">
        <f>AK53+AK54+AK9+Funding!AK38</f>
        <v/>
      </c>
      <c r="AL55" s="19">
        <f>AL53+AL54+AL9+Funding!AL38</f>
        <v/>
      </c>
      <c r="AM55" s="19">
        <f>AM53+AM54+AM9+Funding!AM38</f>
        <v/>
      </c>
      <c r="AN55" s="19">
        <f>AN53+AN54+AN9+Funding!AN38</f>
        <v/>
      </c>
      <c r="AO55" s="19">
        <f>AO53+AO54+AO9+Funding!AO38</f>
        <v/>
      </c>
      <c r="AP55" s="19">
        <f>AP53+AP54+AP9+Funding!AP38</f>
        <v/>
      </c>
      <c r="AQ55" s="19">
        <f>AQ53+AQ54+AQ9+Funding!AQ38</f>
        <v/>
      </c>
      <c r="AR55" s="19">
        <f>AR53+AR54+AR9+Funding!AR38</f>
        <v/>
      </c>
      <c r="AS55" s="19">
        <f>AS53+AS54+AS9+Funding!AS38</f>
        <v/>
      </c>
      <c r="AT55" s="19">
        <f>AT53+AT54+AT9+Funding!AT38</f>
        <v/>
      </c>
      <c r="AU55" s="19">
        <f>AU53+AU54+AU9+Funding!AU38</f>
        <v/>
      </c>
      <c r="AV55" s="19">
        <f>AV53+AV54+AV9+Funding!AV38</f>
        <v/>
      </c>
      <c r="AW55" s="19">
        <f>AW53+AW54+AW9+Funding!AW38</f>
        <v/>
      </c>
      <c r="AX55" s="19">
        <f>AX53+AX54+AX9+Funding!AX38</f>
        <v/>
      </c>
      <c r="AY55" s="19">
        <f>AY53+AY54+AY9+Funding!AY38</f>
        <v/>
      </c>
      <c r="AZ55" s="19">
        <f>AZ53+AZ54+AZ9+Funding!AZ38</f>
        <v/>
      </c>
      <c r="BA55" s="19">
        <f>BA53+BA54+BA9+Funding!BA38</f>
        <v/>
      </c>
      <c r="BB55" s="19">
        <f>BB53+BB54+BB9+Funding!BB38</f>
        <v/>
      </c>
      <c r="BC55" s="19">
        <f>BC53+BC54+BC9+Funding!BC38</f>
        <v/>
      </c>
      <c r="BD55" s="19">
        <f>BD53+BD54+BD9+Funding!BD38</f>
        <v/>
      </c>
      <c r="BE55" s="19">
        <f>BE53+BE54+BE9+Funding!BE38</f>
        <v/>
      </c>
      <c r="BF55" s="19">
        <f>BF53+BF54+BF9+Funding!BF38</f>
        <v/>
      </c>
      <c r="BG55" s="19">
        <f>BG53+BG54+BG9+Funding!BG38</f>
        <v/>
      </c>
      <c r="BH55" s="19">
        <f>BH53+BH54+BH9+Funding!BH38</f>
        <v/>
      </c>
      <c r="BI55" s="19">
        <f>BI53+BI54+BI9+Funding!BI38</f>
        <v/>
      </c>
      <c r="BJ55" s="19">
        <f>BJ53+BJ54+BJ9+Funding!BJ38</f>
        <v/>
      </c>
      <c r="BK55" s="19">
        <f>BK53+BK54+BK9+Funding!BK38</f>
        <v/>
      </c>
      <c r="BL55" s="19">
        <f>BL53+BL54+BL9+Funding!BL38</f>
        <v/>
      </c>
      <c r="BM55" s="19">
        <f>BM53+BM54+BM9+Funding!BM38</f>
        <v/>
      </c>
      <c r="BN55" s="19">
        <f>BN53+BN54+BN9+Funding!BN38</f>
        <v/>
      </c>
      <c r="BO55" s="19">
        <f>BO53+BO54+BO9+Funding!BO38</f>
        <v/>
      </c>
      <c r="BP55" s="19">
        <f>BP53+BP54+BP9+Funding!BP38</f>
        <v/>
      </c>
      <c r="BQ55" s="19">
        <f>BQ53+BQ54+BQ9+Funding!BQ38</f>
        <v/>
      </c>
      <c r="BR55" s="19">
        <f>BR53+BR54+BR9+Funding!BR38</f>
        <v/>
      </c>
      <c r="BS55" s="19">
        <f>BS53+BS54+BS9+Funding!BS38</f>
        <v/>
      </c>
      <c r="BT55" s="19">
        <f>BT53+BT54+BT9+Funding!BT38</f>
        <v/>
      </c>
      <c r="BU55" s="19">
        <f>BU53+BU54+BU9+Funding!BU38</f>
        <v/>
      </c>
      <c r="BV55" s="19">
        <f>BV53+BV54+BV9+Funding!BV38</f>
        <v/>
      </c>
      <c r="BW55" s="19">
        <f>BW53+BW54+BW9+Funding!BW38</f>
        <v/>
      </c>
      <c r="BX55" s="19">
        <f>BX53+BX54+BX9+Funding!BX38</f>
        <v/>
      </c>
      <c r="BY55" s="19">
        <f>BY53+BY54+BY9+Funding!BY38</f>
        <v/>
      </c>
      <c r="BZ55" s="19">
        <f>BZ53+BZ54+BZ9+Funding!BZ38</f>
        <v/>
      </c>
      <c r="CA55" s="19">
        <f>CA53+CA54+CA9+Funding!CA38</f>
        <v/>
      </c>
      <c r="CB55" s="19">
        <f>CB53+CB54+CB9+Funding!CB38</f>
        <v/>
      </c>
      <c r="CC55" s="19">
        <f>CC53+CC54+CC9+Funding!CC38</f>
        <v/>
      </c>
      <c r="CD55" s="19">
        <f>CD53+CD54+CD9+Funding!CD38</f>
        <v/>
      </c>
      <c r="CE55" s="19">
        <f>CE53+CE54+CE9+Funding!CE38</f>
        <v/>
      </c>
      <c r="CF55" s="19">
        <f>CF53+CF54+CF9+Funding!CF38</f>
        <v/>
      </c>
      <c r="CG55" s="19">
        <f>CG53+CG54+CG9+Funding!CG38</f>
        <v/>
      </c>
      <c r="CH55" s="19">
        <f>CH53+CH54+CH9+Funding!CH38</f>
        <v/>
      </c>
      <c r="CI55" s="19">
        <f>CI53+CI54+CI9+Funding!CI38</f>
        <v/>
      </c>
      <c r="CJ55" s="19">
        <f>CJ53+CJ54+CJ9+Funding!CJ38</f>
        <v/>
      </c>
      <c r="CK55" s="19">
        <f>CK53+CK54+CK9+Funding!CK38</f>
        <v/>
      </c>
      <c r="CL55" s="19">
        <f>CL53+CL54+CL9+Funding!CL38</f>
        <v/>
      </c>
      <c r="CM55" s="19">
        <f>CM53+CM54+CM9+Funding!CM38</f>
        <v/>
      </c>
      <c r="CN55" s="19">
        <f>CN53+CN54+CN9+Funding!CN38</f>
        <v/>
      </c>
      <c r="CO55" s="19">
        <f>CO53+CO54+CO9+Funding!CO38</f>
        <v/>
      </c>
      <c r="CP55" s="19">
        <f>CP53+CP54+CP9+Funding!CP38</f>
        <v/>
      </c>
      <c r="CQ55" s="19">
        <f>CQ53+CQ54+CQ9+Funding!CQ38</f>
        <v/>
      </c>
      <c r="CR55" s="19">
        <f>CR53+CR54+CR9+Funding!CR38</f>
        <v/>
      </c>
      <c r="CS55" s="19">
        <f>CS53+CS54+CS9+Funding!CS38</f>
        <v/>
      </c>
      <c r="CT55" s="19">
        <f>CT53+CT54+CT9+Funding!CT38</f>
        <v/>
      </c>
      <c r="CU55" s="19">
        <f>CU53+CU54+CU9+Funding!CU38</f>
        <v/>
      </c>
      <c r="CV55" s="19">
        <f>CV53+CV54+CV9+Funding!CV38</f>
        <v/>
      </c>
      <c r="CW55" s="19">
        <f>CW53+CW54+CW9+Funding!CW38</f>
        <v/>
      </c>
      <c r="CX55" s="19">
        <f>CX53+CX54+CX9+Funding!CX38</f>
        <v/>
      </c>
      <c r="CY55" s="19">
        <f>CY53+CY54+CY9+Funding!CY38</f>
        <v/>
      </c>
      <c r="CZ55" s="19">
        <f>CZ53+CZ54+CZ9+Funding!CZ38</f>
        <v/>
      </c>
      <c r="DA55" s="19">
        <f>DA53+DA54+DA9+Funding!DA38</f>
        <v/>
      </c>
      <c r="DB55" s="19">
        <f>DB53+DB54+DB9+Funding!DB38</f>
        <v/>
      </c>
    </row>
    <row r="56">
      <c r="D56" t="inlineStr">
        <is>
          <t>Paid on shareholder loans</t>
        </is>
      </c>
      <c r="E56" t="inlineStr">
        <is>
          <t>ARD m</t>
        </is>
      </c>
      <c r="G56" s="19">
        <f>SUM(J56:DB56)</f>
        <v/>
      </c>
      <c r="J56" s="19">
        <f>MIN(J49,J55)</f>
        <v/>
      </c>
      <c r="K56" s="19">
        <f>MIN(K49,K55)</f>
        <v/>
      </c>
      <c r="L56" s="19">
        <f>MIN(L49,L55)</f>
        <v/>
      </c>
      <c r="M56" s="19">
        <f>MIN(M49,M55)</f>
        <v/>
      </c>
      <c r="N56" s="19">
        <f>MIN(N49,N55)</f>
        <v/>
      </c>
      <c r="O56" s="19">
        <f>MIN(O49,O55)</f>
        <v/>
      </c>
      <c r="P56" s="19">
        <f>MIN(P49,P55)</f>
        <v/>
      </c>
      <c r="Q56" s="19">
        <f>MIN(Q49,Q55)</f>
        <v/>
      </c>
      <c r="R56" s="19">
        <f>MIN(R49,R55)</f>
        <v/>
      </c>
      <c r="S56" s="19">
        <f>MIN(S49,S55)</f>
        <v/>
      </c>
      <c r="T56" s="19">
        <f>MIN(T49,T55)</f>
        <v/>
      </c>
      <c r="U56" s="19">
        <f>MIN(U49,U55)</f>
        <v/>
      </c>
      <c r="V56" s="19">
        <f>MIN(V49,V55)</f>
        <v/>
      </c>
      <c r="W56" s="19">
        <f>MIN(W49,W55)</f>
        <v/>
      </c>
      <c r="X56" s="19">
        <f>MIN(X49,X55)</f>
        <v/>
      </c>
      <c r="Y56" s="19">
        <f>MIN(Y49,Y55)</f>
        <v/>
      </c>
      <c r="Z56" s="19">
        <f>MIN(Z49,Z55)</f>
        <v/>
      </c>
      <c r="AA56" s="19">
        <f>MIN(AA49,AA55)</f>
        <v/>
      </c>
      <c r="AB56" s="19">
        <f>MIN(AB49,AB55)</f>
        <v/>
      </c>
      <c r="AC56" s="19">
        <f>MIN(AC49,AC55)</f>
        <v/>
      </c>
      <c r="AD56" s="19">
        <f>MIN(AD49,AD55)</f>
        <v/>
      </c>
      <c r="AE56" s="19">
        <f>MIN(AE49,AE55)</f>
        <v/>
      </c>
      <c r="AF56" s="19">
        <f>MIN(AF49,AF55)</f>
        <v/>
      </c>
      <c r="AG56" s="19">
        <f>MIN(AG49,AG55)</f>
        <v/>
      </c>
      <c r="AH56" s="19">
        <f>MIN(AH49,AH55)</f>
        <v/>
      </c>
      <c r="AI56" s="19">
        <f>MIN(AI49,AI55)</f>
        <v/>
      </c>
      <c r="AJ56" s="19">
        <f>MIN(AJ49,AJ55)</f>
        <v/>
      </c>
      <c r="AK56" s="19">
        <f>MIN(AK49,AK55)</f>
        <v/>
      </c>
      <c r="AL56" s="19">
        <f>MIN(AL49,AL55)</f>
        <v/>
      </c>
      <c r="AM56" s="19">
        <f>MIN(AM49,AM55)</f>
        <v/>
      </c>
      <c r="AN56" s="19">
        <f>MIN(AN49,AN55)</f>
        <v/>
      </c>
      <c r="AO56" s="19">
        <f>MIN(AO49,AO55)</f>
        <v/>
      </c>
      <c r="AP56" s="19">
        <f>MIN(AP49,AP55)</f>
        <v/>
      </c>
      <c r="AQ56" s="19">
        <f>MIN(AQ49,AQ55)</f>
        <v/>
      </c>
      <c r="AR56" s="19">
        <f>MIN(AR49,AR55)</f>
        <v/>
      </c>
      <c r="AS56" s="19">
        <f>MIN(AS49,AS55)</f>
        <v/>
      </c>
      <c r="AT56" s="19">
        <f>MIN(AT49,AT55)</f>
        <v/>
      </c>
      <c r="AU56" s="19">
        <f>MIN(AU49,AU55)</f>
        <v/>
      </c>
      <c r="AV56" s="19">
        <f>MIN(AV49,AV55)</f>
        <v/>
      </c>
      <c r="AW56" s="19">
        <f>MIN(AW49,AW55)</f>
        <v/>
      </c>
      <c r="AX56" s="19">
        <f>MIN(AX49,AX55)</f>
        <v/>
      </c>
      <c r="AY56" s="19">
        <f>MIN(AY49,AY55)</f>
        <v/>
      </c>
      <c r="AZ56" s="19">
        <f>MIN(AZ49,AZ55)</f>
        <v/>
      </c>
      <c r="BA56" s="19">
        <f>MIN(BA49,BA55)</f>
        <v/>
      </c>
      <c r="BB56" s="19">
        <f>MIN(BB49,BB55)</f>
        <v/>
      </c>
      <c r="BC56" s="19">
        <f>MIN(BC49,BC55)</f>
        <v/>
      </c>
      <c r="BD56" s="19">
        <f>MIN(BD49,BD55)</f>
        <v/>
      </c>
      <c r="BE56" s="19">
        <f>MIN(BE49,BE55)</f>
        <v/>
      </c>
      <c r="BF56" s="19">
        <f>MIN(BF49,BF55)</f>
        <v/>
      </c>
      <c r="BG56" s="19">
        <f>MIN(BG49,BG55)</f>
        <v/>
      </c>
      <c r="BH56" s="19">
        <f>MIN(BH49,BH55)</f>
        <v/>
      </c>
      <c r="BI56" s="19">
        <f>MIN(BI49,BI55)</f>
        <v/>
      </c>
      <c r="BJ56" s="19">
        <f>MIN(BJ49,BJ55)</f>
        <v/>
      </c>
      <c r="BK56" s="19">
        <f>MIN(BK49,BK55)</f>
        <v/>
      </c>
      <c r="BL56" s="19">
        <f>MIN(BL49,BL55)</f>
        <v/>
      </c>
      <c r="BM56" s="19">
        <f>MIN(BM49,BM55)</f>
        <v/>
      </c>
      <c r="BN56" s="19">
        <f>MIN(BN49,BN55)</f>
        <v/>
      </c>
      <c r="BO56" s="19">
        <f>MIN(BO49,BO55)</f>
        <v/>
      </c>
      <c r="BP56" s="19">
        <f>MIN(BP49,BP55)</f>
        <v/>
      </c>
      <c r="BQ56" s="19">
        <f>MIN(BQ49,BQ55)</f>
        <v/>
      </c>
      <c r="BR56" s="19">
        <f>MIN(BR49,BR55)</f>
        <v/>
      </c>
      <c r="BS56" s="19">
        <f>MIN(BS49,BS55)</f>
        <v/>
      </c>
      <c r="BT56" s="19">
        <f>MIN(BT49,BT55)</f>
        <v/>
      </c>
      <c r="BU56" s="19">
        <f>MIN(BU49,BU55)</f>
        <v/>
      </c>
      <c r="BV56" s="19">
        <f>MIN(BV49,BV55)</f>
        <v/>
      </c>
      <c r="BW56" s="19">
        <f>MIN(BW49,BW55)</f>
        <v/>
      </c>
      <c r="BX56" s="19">
        <f>MIN(BX49,BX55)</f>
        <v/>
      </c>
      <c r="BY56" s="19">
        <f>MIN(BY49,BY55)</f>
        <v/>
      </c>
      <c r="BZ56" s="19">
        <f>MIN(BZ49,BZ55)</f>
        <v/>
      </c>
      <c r="CA56" s="19">
        <f>MIN(CA49,CA55)</f>
        <v/>
      </c>
      <c r="CB56" s="19">
        <f>MIN(CB49,CB55)</f>
        <v/>
      </c>
      <c r="CC56" s="19">
        <f>MIN(CC49,CC55)</f>
        <v/>
      </c>
      <c r="CD56" s="19">
        <f>MIN(CD49,CD55)</f>
        <v/>
      </c>
      <c r="CE56" s="19">
        <f>MIN(CE49,CE55)</f>
        <v/>
      </c>
      <c r="CF56" s="19">
        <f>MIN(CF49,CF55)</f>
        <v/>
      </c>
      <c r="CG56" s="19">
        <f>MIN(CG49,CG55)</f>
        <v/>
      </c>
      <c r="CH56" s="19">
        <f>MIN(CH49,CH55)</f>
        <v/>
      </c>
      <c r="CI56" s="19">
        <f>MIN(CI49,CI55)</f>
        <v/>
      </c>
      <c r="CJ56" s="19">
        <f>MIN(CJ49,CJ55)</f>
        <v/>
      </c>
      <c r="CK56" s="19">
        <f>MIN(CK49,CK55)</f>
        <v/>
      </c>
      <c r="CL56" s="19">
        <f>MIN(CL49,CL55)</f>
        <v/>
      </c>
      <c r="CM56" s="19">
        <f>MIN(CM49,CM55)</f>
        <v/>
      </c>
      <c r="CN56" s="19">
        <f>MIN(CN49,CN55)</f>
        <v/>
      </c>
      <c r="CO56" s="19">
        <f>MIN(CO49,CO55)</f>
        <v/>
      </c>
      <c r="CP56" s="19">
        <f>MIN(CP49,CP55)</f>
        <v/>
      </c>
      <c r="CQ56" s="19">
        <f>MIN(CQ49,CQ55)</f>
        <v/>
      </c>
      <c r="CR56" s="19">
        <f>MIN(CR49,CR55)</f>
        <v/>
      </c>
      <c r="CS56" s="19">
        <f>MIN(CS49,CS55)</f>
        <v/>
      </c>
      <c r="CT56" s="19">
        <f>MIN(CT49,CT55)</f>
        <v/>
      </c>
      <c r="CU56" s="19">
        <f>MIN(CU49,CU55)</f>
        <v/>
      </c>
      <c r="CV56" s="19">
        <f>MIN(CV49,CV55)</f>
        <v/>
      </c>
      <c r="CW56" s="19">
        <f>MIN(CW49,CW55)</f>
        <v/>
      </c>
      <c r="CX56" s="19">
        <f>MIN(CX49,CX55)</f>
        <v/>
      </c>
      <c r="CY56" s="19">
        <f>MIN(CY49,CY55)</f>
        <v/>
      </c>
      <c r="CZ56" s="19">
        <f>MIN(CZ49,CZ55)</f>
        <v/>
      </c>
      <c r="DA56" s="19">
        <f>MIN(DA49,DA55)</f>
        <v/>
      </c>
      <c r="DB56" s="19">
        <f>MIN(DB49,DB55)</f>
        <v/>
      </c>
    </row>
    <row r="57">
      <c r="D57" t="inlineStr">
        <is>
          <t>Dividends</t>
        </is>
      </c>
      <c r="E57" t="inlineStr">
        <is>
          <t>ARD m</t>
        </is>
      </c>
      <c r="G57" s="19">
        <f>SUM(J57:DB57)</f>
        <v/>
      </c>
      <c r="J57" s="19">
        <f>J49-J56</f>
        <v/>
      </c>
      <c r="K57" s="19">
        <f>K49-K56</f>
        <v/>
      </c>
      <c r="L57" s="19">
        <f>L49-L56</f>
        <v/>
      </c>
      <c r="M57" s="19">
        <f>M49-M56</f>
        <v/>
      </c>
      <c r="N57" s="19">
        <f>N49-N56</f>
        <v/>
      </c>
      <c r="O57" s="19">
        <f>O49-O56</f>
        <v/>
      </c>
      <c r="P57" s="19">
        <f>P49-P56</f>
        <v/>
      </c>
      <c r="Q57" s="19">
        <f>Q49-Q56</f>
        <v/>
      </c>
      <c r="R57" s="19">
        <f>R49-R56</f>
        <v/>
      </c>
      <c r="S57" s="19">
        <f>S49-S56</f>
        <v/>
      </c>
      <c r="T57" s="19">
        <f>T49-T56</f>
        <v/>
      </c>
      <c r="U57" s="19">
        <f>U49-U56</f>
        <v/>
      </c>
      <c r="V57" s="19">
        <f>V49-V56</f>
        <v/>
      </c>
      <c r="W57" s="19">
        <f>W49-W56</f>
        <v/>
      </c>
      <c r="X57" s="19">
        <f>X49-X56</f>
        <v/>
      </c>
      <c r="Y57" s="19">
        <f>Y49-Y56</f>
        <v/>
      </c>
      <c r="Z57" s="19">
        <f>Z49-Z56</f>
        <v/>
      </c>
      <c r="AA57" s="19">
        <f>AA49-AA56</f>
        <v/>
      </c>
      <c r="AB57" s="19">
        <f>AB49-AB56</f>
        <v/>
      </c>
      <c r="AC57" s="19">
        <f>AC49-AC56</f>
        <v/>
      </c>
      <c r="AD57" s="19">
        <f>AD49-AD56</f>
        <v/>
      </c>
      <c r="AE57" s="19">
        <f>AE49-AE56</f>
        <v/>
      </c>
      <c r="AF57" s="19">
        <f>AF49-AF56</f>
        <v/>
      </c>
      <c r="AG57" s="19">
        <f>AG49-AG56</f>
        <v/>
      </c>
      <c r="AH57" s="19">
        <f>AH49-AH56</f>
        <v/>
      </c>
      <c r="AI57" s="19">
        <f>AI49-AI56</f>
        <v/>
      </c>
      <c r="AJ57" s="19">
        <f>AJ49-AJ56</f>
        <v/>
      </c>
      <c r="AK57" s="19">
        <f>AK49-AK56</f>
        <v/>
      </c>
      <c r="AL57" s="19">
        <f>AL49-AL56</f>
        <v/>
      </c>
      <c r="AM57" s="19">
        <f>AM49-AM56</f>
        <v/>
      </c>
      <c r="AN57" s="19">
        <f>AN49-AN56</f>
        <v/>
      </c>
      <c r="AO57" s="19">
        <f>AO49-AO56</f>
        <v/>
      </c>
      <c r="AP57" s="19">
        <f>AP49-AP56</f>
        <v/>
      </c>
      <c r="AQ57" s="19">
        <f>AQ49-AQ56</f>
        <v/>
      </c>
      <c r="AR57" s="19">
        <f>AR49-AR56</f>
        <v/>
      </c>
      <c r="AS57" s="19">
        <f>AS49-AS56</f>
        <v/>
      </c>
      <c r="AT57" s="19">
        <f>AT49-AT56</f>
        <v/>
      </c>
      <c r="AU57" s="19">
        <f>AU49-AU56</f>
        <v/>
      </c>
      <c r="AV57" s="19">
        <f>AV49-AV56</f>
        <v/>
      </c>
      <c r="AW57" s="19">
        <f>AW49-AW56</f>
        <v/>
      </c>
      <c r="AX57" s="19">
        <f>AX49-AX56</f>
        <v/>
      </c>
      <c r="AY57" s="19">
        <f>AY49-AY56</f>
        <v/>
      </c>
      <c r="AZ57" s="19">
        <f>AZ49-AZ56</f>
        <v/>
      </c>
      <c r="BA57" s="19">
        <f>BA49-BA56</f>
        <v/>
      </c>
      <c r="BB57" s="19">
        <f>BB49-BB56</f>
        <v/>
      </c>
      <c r="BC57" s="19">
        <f>BC49-BC56</f>
        <v/>
      </c>
      <c r="BD57" s="19">
        <f>BD49-BD56</f>
        <v/>
      </c>
      <c r="BE57" s="19">
        <f>BE49-BE56</f>
        <v/>
      </c>
      <c r="BF57" s="19">
        <f>BF49-BF56</f>
        <v/>
      </c>
      <c r="BG57" s="19">
        <f>BG49-BG56</f>
        <v/>
      </c>
      <c r="BH57" s="19">
        <f>BH49-BH56</f>
        <v/>
      </c>
      <c r="BI57" s="19">
        <f>BI49-BI56</f>
        <v/>
      </c>
      <c r="BJ57" s="19">
        <f>BJ49-BJ56</f>
        <v/>
      </c>
      <c r="BK57" s="19">
        <f>BK49-BK56</f>
        <v/>
      </c>
      <c r="BL57" s="19">
        <f>BL49-BL56</f>
        <v/>
      </c>
      <c r="BM57" s="19">
        <f>BM49-BM56</f>
        <v/>
      </c>
      <c r="BN57" s="19">
        <f>BN49-BN56</f>
        <v/>
      </c>
      <c r="BO57" s="19">
        <f>BO49-BO56</f>
        <v/>
      </c>
      <c r="BP57" s="19">
        <f>BP49-BP56</f>
        <v/>
      </c>
      <c r="BQ57" s="19">
        <f>BQ49-BQ56</f>
        <v/>
      </c>
      <c r="BR57" s="19">
        <f>BR49-BR56</f>
        <v/>
      </c>
      <c r="BS57" s="19">
        <f>BS49-BS56</f>
        <v/>
      </c>
      <c r="BT57" s="19">
        <f>BT49-BT56</f>
        <v/>
      </c>
      <c r="BU57" s="19">
        <f>BU49-BU56</f>
        <v/>
      </c>
      <c r="BV57" s="19">
        <f>BV49-BV56</f>
        <v/>
      </c>
      <c r="BW57" s="19">
        <f>BW49-BW56</f>
        <v/>
      </c>
      <c r="BX57" s="19">
        <f>BX49-BX56</f>
        <v/>
      </c>
      <c r="BY57" s="19">
        <f>BY49-BY56</f>
        <v/>
      </c>
      <c r="BZ57" s="19">
        <f>BZ49-BZ56</f>
        <v/>
      </c>
      <c r="CA57" s="19">
        <f>CA49-CA56</f>
        <v/>
      </c>
      <c r="CB57" s="19">
        <f>CB49-CB56</f>
        <v/>
      </c>
      <c r="CC57" s="19">
        <f>CC49-CC56</f>
        <v/>
      </c>
      <c r="CD57" s="19">
        <f>CD49-CD56</f>
        <v/>
      </c>
      <c r="CE57" s="19">
        <f>CE49-CE56</f>
        <v/>
      </c>
      <c r="CF57" s="19">
        <f>CF49-CF56</f>
        <v/>
      </c>
      <c r="CG57" s="19">
        <f>CG49-CG56</f>
        <v/>
      </c>
      <c r="CH57" s="19">
        <f>CH49-CH56</f>
        <v/>
      </c>
      <c r="CI57" s="19">
        <f>CI49-CI56</f>
        <v/>
      </c>
      <c r="CJ57" s="19">
        <f>CJ49-CJ56</f>
        <v/>
      </c>
      <c r="CK57" s="19">
        <f>CK49-CK56</f>
        <v/>
      </c>
      <c r="CL57" s="19">
        <f>CL49-CL56</f>
        <v/>
      </c>
      <c r="CM57" s="19">
        <f>CM49-CM56</f>
        <v/>
      </c>
      <c r="CN57" s="19">
        <f>CN49-CN56</f>
        <v/>
      </c>
      <c r="CO57" s="19">
        <f>CO49-CO56</f>
        <v/>
      </c>
      <c r="CP57" s="19">
        <f>CP49-CP56</f>
        <v/>
      </c>
      <c r="CQ57" s="19">
        <f>CQ49-CQ56</f>
        <v/>
      </c>
      <c r="CR57" s="19">
        <f>CR49-CR56</f>
        <v/>
      </c>
      <c r="CS57" s="19">
        <f>CS49-CS56</f>
        <v/>
      </c>
      <c r="CT57" s="19">
        <f>CT49-CT56</f>
        <v/>
      </c>
      <c r="CU57" s="19">
        <f>CU49-CU56</f>
        <v/>
      </c>
      <c r="CV57" s="19">
        <f>CV49-CV56</f>
        <v/>
      </c>
      <c r="CW57" s="19">
        <f>CW49-CW56</f>
        <v/>
      </c>
      <c r="CX57" s="19">
        <f>CX49-CX56</f>
        <v/>
      </c>
      <c r="CY57" s="19">
        <f>CY49-CY56</f>
        <v/>
      </c>
      <c r="CZ57" s="19">
        <f>CZ49-CZ56</f>
        <v/>
      </c>
      <c r="DA57" s="19">
        <f>DA49-DA56</f>
        <v/>
      </c>
      <c r="DB57" s="19">
        <f>DB49-DB56</f>
        <v/>
      </c>
    </row>
    <row r="58">
      <c r="D58" t="inlineStr">
        <is>
          <t>Shareholder loans: closing before restructuring</t>
        </is>
      </c>
      <c r="E58" t="inlineStr">
        <is>
          <t>ARD m</t>
        </is>
      </c>
      <c r="J58" s="19">
        <f>J55-J56</f>
        <v/>
      </c>
      <c r="K58" s="19">
        <f>K55-K56</f>
        <v/>
      </c>
      <c r="L58" s="19">
        <f>L55-L56</f>
        <v/>
      </c>
      <c r="M58" s="19">
        <f>M55-M56</f>
        <v/>
      </c>
      <c r="N58" s="19">
        <f>N55-N56</f>
        <v/>
      </c>
      <c r="O58" s="19">
        <f>O55-O56</f>
        <v/>
      </c>
      <c r="P58" s="19">
        <f>P55-P56</f>
        <v/>
      </c>
      <c r="Q58" s="19">
        <f>Q55-Q56</f>
        <v/>
      </c>
      <c r="R58" s="19">
        <f>R55-R56</f>
        <v/>
      </c>
      <c r="S58" s="19">
        <f>S55-S56</f>
        <v/>
      </c>
      <c r="T58" s="19">
        <f>T55-T56</f>
        <v/>
      </c>
      <c r="U58" s="19">
        <f>U55-U56</f>
        <v/>
      </c>
      <c r="V58" s="19">
        <f>V55-V56</f>
        <v/>
      </c>
      <c r="W58" s="19">
        <f>W55-W56</f>
        <v/>
      </c>
      <c r="X58" s="19">
        <f>X55-X56</f>
        <v/>
      </c>
      <c r="Y58" s="19">
        <f>Y55-Y56</f>
        <v/>
      </c>
      <c r="Z58" s="19">
        <f>Z55-Z56</f>
        <v/>
      </c>
      <c r="AA58" s="19">
        <f>AA55-AA56</f>
        <v/>
      </c>
      <c r="AB58" s="19">
        <f>AB55-AB56</f>
        <v/>
      </c>
      <c r="AC58" s="19">
        <f>AC55-AC56</f>
        <v/>
      </c>
      <c r="AD58" s="19">
        <f>AD55-AD56</f>
        <v/>
      </c>
      <c r="AE58" s="19">
        <f>AE55-AE56</f>
        <v/>
      </c>
      <c r="AF58" s="19">
        <f>AF55-AF56</f>
        <v/>
      </c>
      <c r="AG58" s="19">
        <f>AG55-AG56</f>
        <v/>
      </c>
      <c r="AH58" s="19">
        <f>AH55-AH56</f>
        <v/>
      </c>
      <c r="AI58" s="19">
        <f>AI55-AI56</f>
        <v/>
      </c>
      <c r="AJ58" s="19">
        <f>AJ55-AJ56</f>
        <v/>
      </c>
      <c r="AK58" s="19">
        <f>AK55-AK56</f>
        <v/>
      </c>
      <c r="AL58" s="19">
        <f>AL55-AL56</f>
        <v/>
      </c>
      <c r="AM58" s="19">
        <f>AM55-AM56</f>
        <v/>
      </c>
      <c r="AN58" s="19">
        <f>AN55-AN56</f>
        <v/>
      </c>
      <c r="AO58" s="19">
        <f>AO55-AO56</f>
        <v/>
      </c>
      <c r="AP58" s="19">
        <f>AP55-AP56</f>
        <v/>
      </c>
      <c r="AQ58" s="19">
        <f>AQ55-AQ56</f>
        <v/>
      </c>
      <c r="AR58" s="19">
        <f>AR55-AR56</f>
        <v/>
      </c>
      <c r="AS58" s="19">
        <f>AS55-AS56</f>
        <v/>
      </c>
      <c r="AT58" s="19">
        <f>AT55-AT56</f>
        <v/>
      </c>
      <c r="AU58" s="19">
        <f>AU55-AU56</f>
        <v/>
      </c>
      <c r="AV58" s="19">
        <f>AV55-AV56</f>
        <v/>
      </c>
      <c r="AW58" s="19">
        <f>AW55-AW56</f>
        <v/>
      </c>
      <c r="AX58" s="19">
        <f>AX55-AX56</f>
        <v/>
      </c>
      <c r="AY58" s="19">
        <f>AY55-AY56</f>
        <v/>
      </c>
      <c r="AZ58" s="19">
        <f>AZ55-AZ56</f>
        <v/>
      </c>
      <c r="BA58" s="19">
        <f>BA55-BA56</f>
        <v/>
      </c>
      <c r="BB58" s="19">
        <f>BB55-BB56</f>
        <v/>
      </c>
      <c r="BC58" s="19">
        <f>BC55-BC56</f>
        <v/>
      </c>
      <c r="BD58" s="19">
        <f>BD55-BD56</f>
        <v/>
      </c>
      <c r="BE58" s="19">
        <f>BE55-BE56</f>
        <v/>
      </c>
      <c r="BF58" s="19">
        <f>BF55-BF56</f>
        <v/>
      </c>
      <c r="BG58" s="19">
        <f>BG55-BG56</f>
        <v/>
      </c>
      <c r="BH58" s="19">
        <f>BH55-BH56</f>
        <v/>
      </c>
      <c r="BI58" s="19">
        <f>BI55-BI56</f>
        <v/>
      </c>
      <c r="BJ58" s="19">
        <f>BJ55-BJ56</f>
        <v/>
      </c>
      <c r="BK58" s="19">
        <f>BK55-BK56</f>
        <v/>
      </c>
      <c r="BL58" s="19">
        <f>BL55-BL56</f>
        <v/>
      </c>
      <c r="BM58" s="19">
        <f>BM55-BM56</f>
        <v/>
      </c>
      <c r="BN58" s="19">
        <f>BN55-BN56</f>
        <v/>
      </c>
      <c r="BO58" s="19">
        <f>BO55-BO56</f>
        <v/>
      </c>
      <c r="BP58" s="19">
        <f>BP55-BP56</f>
        <v/>
      </c>
      <c r="BQ58" s="19">
        <f>BQ55-BQ56</f>
        <v/>
      </c>
      <c r="BR58" s="19">
        <f>BR55-BR56</f>
        <v/>
      </c>
      <c r="BS58" s="19">
        <f>BS55-BS56</f>
        <v/>
      </c>
      <c r="BT58" s="19">
        <f>BT55-BT56</f>
        <v/>
      </c>
      <c r="BU58" s="19">
        <f>BU55-BU56</f>
        <v/>
      </c>
      <c r="BV58" s="19">
        <f>BV55-BV56</f>
        <v/>
      </c>
      <c r="BW58" s="19">
        <f>BW55-BW56</f>
        <v/>
      </c>
      <c r="BX58" s="19">
        <f>BX55-BX56</f>
        <v/>
      </c>
      <c r="BY58" s="19">
        <f>BY55-BY56</f>
        <v/>
      </c>
      <c r="BZ58" s="19">
        <f>BZ55-BZ56</f>
        <v/>
      </c>
      <c r="CA58" s="19">
        <f>CA55-CA56</f>
        <v/>
      </c>
      <c r="CB58" s="19">
        <f>CB55-CB56</f>
        <v/>
      </c>
      <c r="CC58" s="19">
        <f>CC55-CC56</f>
        <v/>
      </c>
      <c r="CD58" s="19">
        <f>CD55-CD56</f>
        <v/>
      </c>
      <c r="CE58" s="19">
        <f>CE55-CE56</f>
        <v/>
      </c>
      <c r="CF58" s="19">
        <f>CF55-CF56</f>
        <v/>
      </c>
      <c r="CG58" s="19">
        <f>CG55-CG56</f>
        <v/>
      </c>
      <c r="CH58" s="19">
        <f>CH55-CH56</f>
        <v/>
      </c>
      <c r="CI58" s="19">
        <f>CI55-CI56</f>
        <v/>
      </c>
      <c r="CJ58" s="19">
        <f>CJ55-CJ56</f>
        <v/>
      </c>
      <c r="CK58" s="19">
        <f>CK55-CK56</f>
        <v/>
      </c>
      <c r="CL58" s="19">
        <f>CL55-CL56</f>
        <v/>
      </c>
      <c r="CM58" s="19">
        <f>CM55-CM56</f>
        <v/>
      </c>
      <c r="CN58" s="19">
        <f>CN55-CN56</f>
        <v/>
      </c>
      <c r="CO58" s="19">
        <f>CO55-CO56</f>
        <v/>
      </c>
      <c r="CP58" s="19">
        <f>CP55-CP56</f>
        <v/>
      </c>
      <c r="CQ58" s="19">
        <f>CQ55-CQ56</f>
        <v/>
      </c>
      <c r="CR58" s="19">
        <f>CR55-CR56</f>
        <v/>
      </c>
      <c r="CS58" s="19">
        <f>CS55-CS56</f>
        <v/>
      </c>
      <c r="CT58" s="19">
        <f>CT55-CT56</f>
        <v/>
      </c>
      <c r="CU58" s="19">
        <f>CU55-CU56</f>
        <v/>
      </c>
      <c r="CV58" s="19">
        <f>CV55-CV56</f>
        <v/>
      </c>
      <c r="CW58" s="19">
        <f>CW55-CW56</f>
        <v/>
      </c>
      <c r="CX58" s="19">
        <f>CX55-CX56</f>
        <v/>
      </c>
      <c r="CY58" s="19">
        <f>CY55-CY56</f>
        <v/>
      </c>
      <c r="CZ58" s="19">
        <f>CZ55-CZ56</f>
        <v/>
      </c>
      <c r="DA58" s="19">
        <f>DA55-DA56</f>
        <v/>
      </c>
      <c r="DB58" s="19">
        <f>DB55-DB56</f>
        <v/>
      </c>
    </row>
    <row r="59">
      <c r="D59" t="inlineStr">
        <is>
          <t>Shareholder loans: closing</t>
        </is>
      </c>
      <c r="E59" t="inlineStr">
        <is>
          <t>ARD m</t>
        </is>
      </c>
      <c r="J59" s="19">
        <f>IF(Time!J35=1,0,J58)</f>
        <v/>
      </c>
      <c r="K59" s="19">
        <f>IF(Time!K35=1,0,K58)</f>
        <v/>
      </c>
      <c r="L59" s="19">
        <f>IF(Time!L35=1,0,L58)</f>
        <v/>
      </c>
      <c r="M59" s="19">
        <f>IF(Time!M35=1,0,M58)</f>
        <v/>
      </c>
      <c r="N59" s="19">
        <f>IF(Time!N35=1,0,N58)</f>
        <v/>
      </c>
      <c r="O59" s="19">
        <f>IF(Time!O35=1,0,O58)</f>
        <v/>
      </c>
      <c r="P59" s="19">
        <f>IF(Time!P35=1,0,P58)</f>
        <v/>
      </c>
      <c r="Q59" s="19">
        <f>IF(Time!Q35=1,0,Q58)</f>
        <v/>
      </c>
      <c r="R59" s="19">
        <f>IF(Time!R35=1,0,R58)</f>
        <v/>
      </c>
      <c r="S59" s="19">
        <f>IF(Time!S35=1,0,S58)</f>
        <v/>
      </c>
      <c r="T59" s="19">
        <f>IF(Time!T35=1,0,T58)</f>
        <v/>
      </c>
      <c r="U59" s="19">
        <f>IF(Time!U35=1,0,U58)</f>
        <v/>
      </c>
      <c r="V59" s="19">
        <f>IF(Time!V35=1,0,V58)</f>
        <v/>
      </c>
      <c r="W59" s="19">
        <f>IF(Time!W35=1,0,W58)</f>
        <v/>
      </c>
      <c r="X59" s="19">
        <f>IF(Time!X35=1,0,X58)</f>
        <v/>
      </c>
      <c r="Y59" s="19">
        <f>IF(Time!Y35=1,0,Y58)</f>
        <v/>
      </c>
      <c r="Z59" s="19">
        <f>IF(Time!Z35=1,0,Z58)</f>
        <v/>
      </c>
      <c r="AA59" s="19">
        <f>IF(Time!AA35=1,0,AA58)</f>
        <v/>
      </c>
      <c r="AB59" s="19">
        <f>IF(Time!AB35=1,0,AB58)</f>
        <v/>
      </c>
      <c r="AC59" s="19">
        <f>IF(Time!AC35=1,0,AC58)</f>
        <v/>
      </c>
      <c r="AD59" s="19">
        <f>IF(Time!AD35=1,0,AD58)</f>
        <v/>
      </c>
      <c r="AE59" s="19">
        <f>IF(Time!AE35=1,0,AE58)</f>
        <v/>
      </c>
      <c r="AF59" s="19">
        <f>IF(Time!AF35=1,0,AF58)</f>
        <v/>
      </c>
      <c r="AG59" s="19">
        <f>IF(Time!AG35=1,0,AG58)</f>
        <v/>
      </c>
      <c r="AH59" s="19">
        <f>IF(Time!AH35=1,0,AH58)</f>
        <v/>
      </c>
      <c r="AI59" s="19">
        <f>IF(Time!AI35=1,0,AI58)</f>
        <v/>
      </c>
      <c r="AJ59" s="19">
        <f>IF(Time!AJ35=1,0,AJ58)</f>
        <v/>
      </c>
      <c r="AK59" s="19">
        <f>IF(Time!AK35=1,0,AK58)</f>
        <v/>
      </c>
      <c r="AL59" s="19">
        <f>IF(Time!AL35=1,0,AL58)</f>
        <v/>
      </c>
      <c r="AM59" s="19">
        <f>IF(Time!AM35=1,0,AM58)</f>
        <v/>
      </c>
      <c r="AN59" s="19">
        <f>IF(Time!AN35=1,0,AN58)</f>
        <v/>
      </c>
      <c r="AO59" s="19">
        <f>IF(Time!AO35=1,0,AO58)</f>
        <v/>
      </c>
      <c r="AP59" s="19">
        <f>IF(Time!AP35=1,0,AP58)</f>
        <v/>
      </c>
      <c r="AQ59" s="19">
        <f>IF(Time!AQ35=1,0,AQ58)</f>
        <v/>
      </c>
      <c r="AR59" s="19">
        <f>IF(Time!AR35=1,0,AR58)</f>
        <v/>
      </c>
      <c r="AS59" s="19">
        <f>IF(Time!AS35=1,0,AS58)</f>
        <v/>
      </c>
      <c r="AT59" s="19">
        <f>IF(Time!AT35=1,0,AT58)</f>
        <v/>
      </c>
      <c r="AU59" s="19">
        <f>IF(Time!AU35=1,0,AU58)</f>
        <v/>
      </c>
      <c r="AV59" s="19">
        <f>IF(Time!AV35=1,0,AV58)</f>
        <v/>
      </c>
      <c r="AW59" s="19">
        <f>IF(Time!AW35=1,0,AW58)</f>
        <v/>
      </c>
      <c r="AX59" s="19">
        <f>IF(Time!AX35=1,0,AX58)</f>
        <v/>
      </c>
      <c r="AY59" s="19">
        <f>IF(Time!AY35=1,0,AY58)</f>
        <v/>
      </c>
      <c r="AZ59" s="19">
        <f>IF(Time!AZ35=1,0,AZ58)</f>
        <v/>
      </c>
      <c r="BA59" s="19">
        <f>IF(Time!BA35=1,0,BA58)</f>
        <v/>
      </c>
      <c r="BB59" s="19">
        <f>IF(Time!BB35=1,0,BB58)</f>
        <v/>
      </c>
      <c r="BC59" s="19">
        <f>IF(Time!BC35=1,0,BC58)</f>
        <v/>
      </c>
      <c r="BD59" s="19">
        <f>IF(Time!BD35=1,0,BD58)</f>
        <v/>
      </c>
      <c r="BE59" s="19">
        <f>IF(Time!BE35=1,0,BE58)</f>
        <v/>
      </c>
      <c r="BF59" s="19">
        <f>IF(Time!BF35=1,0,BF58)</f>
        <v/>
      </c>
      <c r="BG59" s="19">
        <f>IF(Time!BG35=1,0,BG58)</f>
        <v/>
      </c>
      <c r="BH59" s="19">
        <f>IF(Time!BH35=1,0,BH58)</f>
        <v/>
      </c>
      <c r="BI59" s="19">
        <f>IF(Time!BI35=1,0,BI58)</f>
        <v/>
      </c>
      <c r="BJ59" s="19">
        <f>IF(Time!BJ35=1,0,BJ58)</f>
        <v/>
      </c>
      <c r="BK59" s="19">
        <f>IF(Time!BK35=1,0,BK58)</f>
        <v/>
      </c>
      <c r="BL59" s="19">
        <f>IF(Time!BL35=1,0,BL58)</f>
        <v/>
      </c>
      <c r="BM59" s="19">
        <f>IF(Time!BM35=1,0,BM58)</f>
        <v/>
      </c>
      <c r="BN59" s="19">
        <f>IF(Time!BN35=1,0,BN58)</f>
        <v/>
      </c>
      <c r="BO59" s="19">
        <f>IF(Time!BO35=1,0,BO58)</f>
        <v/>
      </c>
      <c r="BP59" s="19">
        <f>IF(Time!BP35=1,0,BP58)</f>
        <v/>
      </c>
      <c r="BQ59" s="19">
        <f>IF(Time!BQ35=1,0,BQ58)</f>
        <v/>
      </c>
      <c r="BR59" s="19">
        <f>IF(Time!BR35=1,0,BR58)</f>
        <v/>
      </c>
      <c r="BS59" s="19">
        <f>IF(Time!BS35=1,0,BS58)</f>
        <v/>
      </c>
      <c r="BT59" s="19">
        <f>IF(Time!BT35=1,0,BT58)</f>
        <v/>
      </c>
      <c r="BU59" s="19">
        <f>IF(Time!BU35=1,0,BU58)</f>
        <v/>
      </c>
      <c r="BV59" s="19">
        <f>IF(Time!BV35=1,0,BV58)</f>
        <v/>
      </c>
      <c r="BW59" s="19">
        <f>IF(Time!BW35=1,0,BW58)</f>
        <v/>
      </c>
      <c r="BX59" s="19">
        <f>IF(Time!BX35=1,0,BX58)</f>
        <v/>
      </c>
      <c r="BY59" s="19">
        <f>IF(Time!BY35=1,0,BY58)</f>
        <v/>
      </c>
      <c r="BZ59" s="19">
        <f>IF(Time!BZ35=1,0,BZ58)</f>
        <v/>
      </c>
      <c r="CA59" s="19">
        <f>IF(Time!CA35=1,0,CA58)</f>
        <v/>
      </c>
      <c r="CB59" s="19">
        <f>IF(Time!CB35=1,0,CB58)</f>
        <v/>
      </c>
      <c r="CC59" s="19">
        <f>IF(Time!CC35=1,0,CC58)</f>
        <v/>
      </c>
      <c r="CD59" s="19">
        <f>IF(Time!CD35=1,0,CD58)</f>
        <v/>
      </c>
      <c r="CE59" s="19">
        <f>IF(Time!CE35=1,0,CE58)</f>
        <v/>
      </c>
      <c r="CF59" s="19">
        <f>IF(Time!CF35=1,0,CF58)</f>
        <v/>
      </c>
      <c r="CG59" s="19">
        <f>IF(Time!CG35=1,0,CG58)</f>
        <v/>
      </c>
      <c r="CH59" s="19">
        <f>IF(Time!CH35=1,0,CH58)</f>
        <v/>
      </c>
      <c r="CI59" s="19">
        <f>IF(Time!CI35=1,0,CI58)</f>
        <v/>
      </c>
      <c r="CJ59" s="19">
        <f>IF(Time!CJ35=1,0,CJ58)</f>
        <v/>
      </c>
      <c r="CK59" s="19">
        <f>IF(Time!CK35=1,0,CK58)</f>
        <v/>
      </c>
      <c r="CL59" s="19">
        <f>IF(Time!CL35=1,0,CL58)</f>
        <v/>
      </c>
      <c r="CM59" s="19">
        <f>IF(Time!CM35=1,0,CM58)</f>
        <v/>
      </c>
      <c r="CN59" s="19">
        <f>IF(Time!CN35=1,0,CN58)</f>
        <v/>
      </c>
      <c r="CO59" s="19">
        <f>IF(Time!CO35=1,0,CO58)</f>
        <v/>
      </c>
      <c r="CP59" s="19">
        <f>IF(Time!CP35=1,0,CP58)</f>
        <v/>
      </c>
      <c r="CQ59" s="19">
        <f>IF(Time!CQ35=1,0,CQ58)</f>
        <v/>
      </c>
      <c r="CR59" s="19">
        <f>IF(Time!CR35=1,0,CR58)</f>
        <v/>
      </c>
      <c r="CS59" s="19">
        <f>IF(Time!CS35=1,0,CS58)</f>
        <v/>
      </c>
      <c r="CT59" s="19">
        <f>IF(Time!CT35=1,0,CT58)</f>
        <v/>
      </c>
      <c r="CU59" s="19">
        <f>IF(Time!CU35=1,0,CU58)</f>
        <v/>
      </c>
      <c r="CV59" s="19">
        <f>IF(Time!CV35=1,0,CV58)</f>
        <v/>
      </c>
      <c r="CW59" s="19">
        <f>IF(Time!CW35=1,0,CW58)</f>
        <v/>
      </c>
      <c r="CX59" s="19">
        <f>IF(Time!CX35=1,0,CX58)</f>
        <v/>
      </c>
      <c r="CY59" s="19">
        <f>IF(Time!CY35=1,0,CY58)</f>
        <v/>
      </c>
      <c r="CZ59" s="19">
        <f>IF(Time!CZ35=1,0,CZ58)</f>
        <v/>
      </c>
      <c r="DA59" s="19">
        <f>IF(Time!DA35=1,0,DA58)</f>
        <v/>
      </c>
      <c r="DB59" s="19">
        <f>IF(Time!DB35=1,0,DB58)</f>
        <v/>
      </c>
    </row>
    <row r="60">
      <c r="D60" s="3" t="inlineStr">
        <is>
          <t>Equity cash flows</t>
        </is>
      </c>
    </row>
    <row r="61">
      <c r="D61" t="inlineStr">
        <is>
          <t>Original sponsors' cash flow</t>
        </is>
      </c>
      <c r="E61" t="inlineStr">
        <is>
          <t>ARD m</t>
        </is>
      </c>
      <c r="G61" s="19">
        <f>SUM(J61:DB61)</f>
        <v/>
      </c>
      <c r="J61" s="19">
        <f>IF(Time!J20=1,-Funding!J27,IF(Time!J23=1,0,J49-J9))</f>
        <v/>
      </c>
      <c r="K61" s="19">
        <f>IF(Time!K20=1,-Funding!K27,IF(Time!K23=1,0,K49-K9))</f>
        <v/>
      </c>
      <c r="L61" s="19">
        <f>IF(Time!L20=1,-Funding!L27,IF(Time!L23=1,0,L49-L9))</f>
        <v/>
      </c>
      <c r="M61" s="19">
        <f>IF(Time!M20=1,-Funding!M27,IF(Time!M23=1,0,M49-M9))</f>
        <v/>
      </c>
      <c r="N61" s="19">
        <f>IF(Time!N20=1,-Funding!N27,IF(Time!N23=1,0,N49-N9))</f>
        <v/>
      </c>
      <c r="O61" s="19">
        <f>IF(Time!O20=1,-Funding!O27,IF(Time!O23=1,0,O49-O9))</f>
        <v/>
      </c>
      <c r="P61" s="19">
        <f>IF(Time!P20=1,-Funding!P27,IF(Time!P23=1,0,P49-P9))</f>
        <v/>
      </c>
      <c r="Q61" s="19">
        <f>IF(Time!Q20=1,-Funding!Q27,IF(Time!Q23=1,0,Q49-Q9))</f>
        <v/>
      </c>
      <c r="R61" s="19">
        <f>IF(Time!R20=1,-Funding!R27,IF(Time!R23=1,0,R49-R9))</f>
        <v/>
      </c>
      <c r="S61" s="19">
        <f>IF(Time!S20=1,-Funding!S27,IF(Time!S23=1,0,S49-S9))</f>
        <v/>
      </c>
      <c r="T61" s="19">
        <f>IF(Time!T20=1,-Funding!T27,IF(Time!T23=1,0,T49-T9))</f>
        <v/>
      </c>
      <c r="U61" s="19">
        <f>IF(Time!U20=1,-Funding!U27,IF(Time!U23=1,0,U49-U9))</f>
        <v/>
      </c>
      <c r="V61" s="19">
        <f>IF(Time!V20=1,-Funding!V27,IF(Time!V23=1,0,V49-V9))</f>
        <v/>
      </c>
      <c r="W61" s="19">
        <f>IF(Time!W20=1,-Funding!W27,IF(Time!W23=1,0,W49-W9))</f>
        <v/>
      </c>
      <c r="X61" s="19">
        <f>IF(Time!X20=1,-Funding!X27,IF(Time!X23=1,0,X49-X9))</f>
        <v/>
      </c>
      <c r="Y61" s="19">
        <f>IF(Time!Y20=1,-Funding!Y27,IF(Time!Y23=1,0,Y49-Y9))</f>
        <v/>
      </c>
      <c r="Z61" s="19">
        <f>IF(Time!Z20=1,-Funding!Z27,IF(Time!Z23=1,0,Z49-Z9))</f>
        <v/>
      </c>
      <c r="AA61" s="19">
        <f>IF(Time!AA20=1,-Funding!AA27,IF(Time!AA23=1,0,AA49-AA9))</f>
        <v/>
      </c>
      <c r="AB61" s="19">
        <f>IF(Time!AB20=1,-Funding!AB27,IF(Time!AB23=1,0,AB49-AB9))</f>
        <v/>
      </c>
      <c r="AC61" s="19">
        <f>IF(Time!AC20=1,-Funding!AC27,IF(Time!AC23=1,0,AC49-AC9))</f>
        <v/>
      </c>
      <c r="AD61" s="19">
        <f>IF(Time!AD20=1,-Funding!AD27,IF(Time!AD23=1,0,AD49-AD9))</f>
        <v/>
      </c>
      <c r="AE61" s="19">
        <f>IF(Time!AE20=1,-Funding!AE27,IF(Time!AE23=1,0,AE49-AE9))</f>
        <v/>
      </c>
      <c r="AF61" s="19">
        <f>IF(Time!AF20=1,-Funding!AF27,IF(Time!AF23=1,0,AF49-AF9))</f>
        <v/>
      </c>
      <c r="AG61" s="19">
        <f>IF(Time!AG20=1,-Funding!AG27,IF(Time!AG23=1,0,AG49-AG9))</f>
        <v/>
      </c>
      <c r="AH61" s="19">
        <f>IF(Time!AH20=1,-Funding!AH27,IF(Time!AH23=1,0,AH49-AH9))</f>
        <v/>
      </c>
      <c r="AI61" s="19">
        <f>IF(Time!AI20=1,-Funding!AI27,IF(Time!AI23=1,0,AI49-AI9))</f>
        <v/>
      </c>
      <c r="AJ61" s="19">
        <f>IF(Time!AJ20=1,-Funding!AJ27,IF(Time!AJ23=1,0,AJ49-AJ9))</f>
        <v/>
      </c>
      <c r="AK61" s="19">
        <f>IF(Time!AK20=1,-Funding!AK27,IF(Time!AK23=1,0,AK49-AK9))</f>
        <v/>
      </c>
      <c r="AL61" s="19">
        <f>IF(Time!AL20=1,-Funding!AL27,IF(Time!AL23=1,0,AL49-AL9))</f>
        <v/>
      </c>
      <c r="AM61" s="19">
        <f>IF(Time!AM20=1,-Funding!AM27,IF(Time!AM23=1,0,AM49-AM9))</f>
        <v/>
      </c>
      <c r="AN61" s="19">
        <f>IF(Time!AN20=1,-Funding!AN27,IF(Time!AN23=1,0,AN49-AN9))</f>
        <v/>
      </c>
      <c r="AO61" s="19">
        <f>IF(Time!AO20=1,-Funding!AO27,IF(Time!AO23=1,0,AO49-AO9))</f>
        <v/>
      </c>
      <c r="AP61" s="19">
        <f>IF(Time!AP20=1,-Funding!AP27,IF(Time!AP23=1,0,AP49-AP9))</f>
        <v/>
      </c>
      <c r="AQ61" s="19">
        <f>IF(Time!AQ20=1,-Funding!AQ27,IF(Time!AQ23=1,0,AQ49-AQ9))</f>
        <v/>
      </c>
      <c r="AR61" s="19">
        <f>IF(Time!AR20=1,-Funding!AR27,IF(Time!AR23=1,0,AR49-AR9))</f>
        <v/>
      </c>
      <c r="AS61" s="19">
        <f>IF(Time!AS20=1,-Funding!AS27,IF(Time!AS23=1,0,AS49-AS9))</f>
        <v/>
      </c>
      <c r="AT61" s="19">
        <f>IF(Time!AT20=1,-Funding!AT27,IF(Time!AT23=1,0,AT49-AT9))</f>
        <v/>
      </c>
      <c r="AU61" s="19">
        <f>IF(Time!AU20=1,-Funding!AU27,IF(Time!AU23=1,0,AU49-AU9))</f>
        <v/>
      </c>
      <c r="AV61" s="19">
        <f>IF(Time!AV20=1,-Funding!AV27,IF(Time!AV23=1,0,AV49-AV9))</f>
        <v/>
      </c>
      <c r="AW61" s="19">
        <f>IF(Time!AW20=1,-Funding!AW27,IF(Time!AW23=1,0,AW49-AW9))</f>
        <v/>
      </c>
      <c r="AX61" s="19">
        <f>IF(Time!AX20=1,-Funding!AX27,IF(Time!AX23=1,0,AX49-AX9))</f>
        <v/>
      </c>
      <c r="AY61" s="19">
        <f>IF(Time!AY20=1,-Funding!AY27,IF(Time!AY23=1,0,AY49-AY9))</f>
        <v/>
      </c>
      <c r="AZ61" s="19">
        <f>IF(Time!AZ20=1,-Funding!AZ27,IF(Time!AZ23=1,0,AZ49-AZ9))</f>
        <v/>
      </c>
      <c r="BA61" s="19">
        <f>IF(Time!BA20=1,-Funding!BA27,IF(Time!BA23=1,0,BA49-BA9))</f>
        <v/>
      </c>
      <c r="BB61" s="19">
        <f>IF(Time!BB20=1,-Funding!BB27,IF(Time!BB23=1,0,BB49-BB9))</f>
        <v/>
      </c>
      <c r="BC61" s="19">
        <f>IF(Time!BC20=1,-Funding!BC27,IF(Time!BC23=1,0,BC49-BC9))</f>
        <v/>
      </c>
      <c r="BD61" s="19">
        <f>IF(Time!BD20=1,-Funding!BD27,IF(Time!BD23=1,0,BD49-BD9))</f>
        <v/>
      </c>
      <c r="BE61" s="19">
        <f>IF(Time!BE20=1,-Funding!BE27,IF(Time!BE23=1,0,BE49-BE9))</f>
        <v/>
      </c>
      <c r="BF61" s="19">
        <f>IF(Time!BF20=1,-Funding!BF27,IF(Time!BF23=1,0,BF49-BF9))</f>
        <v/>
      </c>
      <c r="BG61" s="19">
        <f>IF(Time!BG20=1,-Funding!BG27,IF(Time!BG23=1,0,BG49-BG9))</f>
        <v/>
      </c>
      <c r="BH61" s="19">
        <f>IF(Time!BH20=1,-Funding!BH27,IF(Time!BH23=1,0,BH49-BH9))</f>
        <v/>
      </c>
      <c r="BI61" s="19">
        <f>IF(Time!BI20=1,-Funding!BI27,IF(Time!BI23=1,0,BI49-BI9))</f>
        <v/>
      </c>
      <c r="BJ61" s="19">
        <f>IF(Time!BJ20=1,-Funding!BJ27,IF(Time!BJ23=1,0,BJ49-BJ9))</f>
        <v/>
      </c>
      <c r="BK61" s="19">
        <f>IF(Time!BK20=1,-Funding!BK27,IF(Time!BK23=1,0,BK49-BK9))</f>
        <v/>
      </c>
      <c r="BL61" s="19">
        <f>IF(Time!BL20=1,-Funding!BL27,IF(Time!BL23=1,0,BL49-BL9))</f>
        <v/>
      </c>
      <c r="BM61" s="19">
        <f>IF(Time!BM20=1,-Funding!BM27,IF(Time!BM23=1,0,BM49-BM9))</f>
        <v/>
      </c>
      <c r="BN61" s="19">
        <f>IF(Time!BN20=1,-Funding!BN27,IF(Time!BN23=1,0,BN49-BN9))</f>
        <v/>
      </c>
      <c r="BO61" s="19">
        <f>IF(Time!BO20=1,-Funding!BO27,IF(Time!BO23=1,0,BO49-BO9))</f>
        <v/>
      </c>
      <c r="BP61" s="19">
        <f>IF(Time!BP20=1,-Funding!BP27,IF(Time!BP23=1,0,BP49-BP9))</f>
        <v/>
      </c>
      <c r="BQ61" s="19">
        <f>IF(Time!BQ20=1,-Funding!BQ27,IF(Time!BQ23=1,0,BQ49-BQ9))</f>
        <v/>
      </c>
      <c r="BR61" s="19">
        <f>IF(Time!BR20=1,-Funding!BR27,IF(Time!BR23=1,0,BR49-BR9))</f>
        <v/>
      </c>
      <c r="BS61" s="19">
        <f>IF(Time!BS20=1,-Funding!BS27,IF(Time!BS23=1,0,BS49-BS9))</f>
        <v/>
      </c>
      <c r="BT61" s="19">
        <f>IF(Time!BT20=1,-Funding!BT27,IF(Time!BT23=1,0,BT49-BT9))</f>
        <v/>
      </c>
      <c r="BU61" s="19">
        <f>IF(Time!BU20=1,-Funding!BU27,IF(Time!BU23=1,0,BU49-BU9))</f>
        <v/>
      </c>
      <c r="BV61" s="19">
        <f>IF(Time!BV20=1,-Funding!BV27,IF(Time!BV23=1,0,BV49-BV9))</f>
        <v/>
      </c>
      <c r="BW61" s="19">
        <f>IF(Time!BW20=1,-Funding!BW27,IF(Time!BW23=1,0,BW49-BW9))</f>
        <v/>
      </c>
      <c r="BX61" s="19">
        <f>IF(Time!BX20=1,-Funding!BX27,IF(Time!BX23=1,0,BX49-BX9))</f>
        <v/>
      </c>
      <c r="BY61" s="19">
        <f>IF(Time!BY20=1,-Funding!BY27,IF(Time!BY23=1,0,BY49-BY9))</f>
        <v/>
      </c>
      <c r="BZ61" s="19">
        <f>IF(Time!BZ20=1,-Funding!BZ27,IF(Time!BZ23=1,0,BZ49-BZ9))</f>
        <v/>
      </c>
      <c r="CA61" s="19">
        <f>IF(Time!CA20=1,-Funding!CA27,IF(Time!CA23=1,0,CA49-CA9))</f>
        <v/>
      </c>
      <c r="CB61" s="19">
        <f>IF(Time!CB20=1,-Funding!CB27,IF(Time!CB23=1,0,CB49-CB9))</f>
        <v/>
      </c>
      <c r="CC61" s="19">
        <f>IF(Time!CC20=1,-Funding!CC27,IF(Time!CC23=1,0,CC49-CC9))</f>
        <v/>
      </c>
      <c r="CD61" s="19">
        <f>IF(Time!CD20=1,-Funding!CD27,IF(Time!CD23=1,0,CD49-CD9))</f>
        <v/>
      </c>
      <c r="CE61" s="19">
        <f>IF(Time!CE20=1,-Funding!CE27,IF(Time!CE23=1,0,CE49-CE9))</f>
        <v/>
      </c>
      <c r="CF61" s="19">
        <f>IF(Time!CF20=1,-Funding!CF27,IF(Time!CF23=1,0,CF49-CF9))</f>
        <v/>
      </c>
      <c r="CG61" s="19">
        <f>IF(Time!CG20=1,-Funding!CG27,IF(Time!CG23=1,0,CG49-CG9))</f>
        <v/>
      </c>
      <c r="CH61" s="19">
        <f>IF(Time!CH20=1,-Funding!CH27,IF(Time!CH23=1,0,CH49-CH9))</f>
        <v/>
      </c>
      <c r="CI61" s="19">
        <f>IF(Time!CI20=1,-Funding!CI27,IF(Time!CI23=1,0,CI49-CI9))</f>
        <v/>
      </c>
      <c r="CJ61" s="19">
        <f>IF(Time!CJ20=1,-Funding!CJ27,IF(Time!CJ23=1,0,CJ49-CJ9))</f>
        <v/>
      </c>
      <c r="CK61" s="19">
        <f>IF(Time!CK20=1,-Funding!CK27,IF(Time!CK23=1,0,CK49-CK9))</f>
        <v/>
      </c>
      <c r="CL61" s="19">
        <f>IF(Time!CL20=1,-Funding!CL27,IF(Time!CL23=1,0,CL49-CL9))</f>
        <v/>
      </c>
      <c r="CM61" s="19">
        <f>IF(Time!CM20=1,-Funding!CM27,IF(Time!CM23=1,0,CM49-CM9))</f>
        <v/>
      </c>
      <c r="CN61" s="19">
        <f>IF(Time!CN20=1,-Funding!CN27,IF(Time!CN23=1,0,CN49-CN9))</f>
        <v/>
      </c>
      <c r="CO61" s="19">
        <f>IF(Time!CO20=1,-Funding!CO27,IF(Time!CO23=1,0,CO49-CO9))</f>
        <v/>
      </c>
      <c r="CP61" s="19">
        <f>IF(Time!CP20=1,-Funding!CP27,IF(Time!CP23=1,0,CP49-CP9))</f>
        <v/>
      </c>
      <c r="CQ61" s="19">
        <f>IF(Time!CQ20=1,-Funding!CQ27,IF(Time!CQ23=1,0,CQ49-CQ9))</f>
        <v/>
      </c>
      <c r="CR61" s="19">
        <f>IF(Time!CR20=1,-Funding!CR27,IF(Time!CR23=1,0,CR49-CR9))</f>
        <v/>
      </c>
      <c r="CS61" s="19">
        <f>IF(Time!CS20=1,-Funding!CS27,IF(Time!CS23=1,0,CS49-CS9))</f>
        <v/>
      </c>
      <c r="CT61" s="19">
        <f>IF(Time!CT20=1,-Funding!CT27,IF(Time!CT23=1,0,CT49-CT9))</f>
        <v/>
      </c>
      <c r="CU61" s="19">
        <f>IF(Time!CU20=1,-Funding!CU27,IF(Time!CU23=1,0,CU49-CU9))</f>
        <v/>
      </c>
      <c r="CV61" s="19">
        <f>IF(Time!CV20=1,-Funding!CV27,IF(Time!CV23=1,0,CV49-CV9))</f>
        <v/>
      </c>
      <c r="CW61" s="19">
        <f>IF(Time!CW20=1,-Funding!CW27,IF(Time!CW23=1,0,CW49-CW9))</f>
        <v/>
      </c>
      <c r="CX61" s="19">
        <f>IF(Time!CX20=1,-Funding!CX27,IF(Time!CX23=1,0,CX49-CX9))</f>
        <v/>
      </c>
      <c r="CY61" s="19">
        <f>IF(Time!CY20=1,-Funding!CY27,IF(Time!CY23=1,0,CY49-CY9))</f>
        <v/>
      </c>
      <c r="CZ61" s="19">
        <f>IF(Time!CZ20=1,-Funding!CZ27,IF(Time!CZ23=1,0,CZ49-CZ9))</f>
        <v/>
      </c>
      <c r="DA61" s="19">
        <f>IF(Time!DA20=1,-Funding!DA27,IF(Time!DA23=1,0,DA49-DA9))</f>
        <v/>
      </c>
      <c r="DB61" s="19">
        <f>IF(Time!DB20=1,-Funding!DB27,IF(Time!DB23=1,0,DB49-DB9))</f>
        <v/>
      </c>
    </row>
    <row r="62">
      <c r="D62" t="inlineStr">
        <is>
          <t>New equity cash flow (creditors 85%, state 15%)</t>
        </is>
      </c>
      <c r="E62" t="inlineStr">
        <is>
          <t>ARD m</t>
        </is>
      </c>
      <c r="G62" s="19">
        <f>SUM(J62:DB62)</f>
        <v/>
      </c>
      <c r="J62" s="19">
        <f>IF(Time!J23=1,J49,0)-Inputs!$F$172*Time!J35</f>
        <v/>
      </c>
      <c r="K62" s="19">
        <f>IF(Time!K23=1,K49,0)-Inputs!$F$172*Time!K35</f>
        <v/>
      </c>
      <c r="L62" s="19">
        <f>IF(Time!L23=1,L49,0)-Inputs!$F$172*Time!L35</f>
        <v/>
      </c>
      <c r="M62" s="19">
        <f>IF(Time!M23=1,M49,0)-Inputs!$F$172*Time!M35</f>
        <v/>
      </c>
      <c r="N62" s="19">
        <f>IF(Time!N23=1,N49,0)-Inputs!$F$172*Time!N35</f>
        <v/>
      </c>
      <c r="O62" s="19">
        <f>IF(Time!O23=1,O49,0)-Inputs!$F$172*Time!O35</f>
        <v/>
      </c>
      <c r="P62" s="19">
        <f>IF(Time!P23=1,P49,0)-Inputs!$F$172*Time!P35</f>
        <v/>
      </c>
      <c r="Q62" s="19">
        <f>IF(Time!Q23=1,Q49,0)-Inputs!$F$172*Time!Q35</f>
        <v/>
      </c>
      <c r="R62" s="19">
        <f>IF(Time!R23=1,R49,0)-Inputs!$F$172*Time!R35</f>
        <v/>
      </c>
      <c r="S62" s="19">
        <f>IF(Time!S23=1,S49,0)-Inputs!$F$172*Time!S35</f>
        <v/>
      </c>
      <c r="T62" s="19">
        <f>IF(Time!T23=1,T49,0)-Inputs!$F$172*Time!T35</f>
        <v/>
      </c>
      <c r="U62" s="19">
        <f>IF(Time!U23=1,U49,0)-Inputs!$F$172*Time!U35</f>
        <v/>
      </c>
      <c r="V62" s="19">
        <f>IF(Time!V23=1,V49,0)-Inputs!$F$172*Time!V35</f>
        <v/>
      </c>
      <c r="W62" s="19">
        <f>IF(Time!W23=1,W49,0)-Inputs!$F$172*Time!W35</f>
        <v/>
      </c>
      <c r="X62" s="19">
        <f>IF(Time!X23=1,X49,0)-Inputs!$F$172*Time!X35</f>
        <v/>
      </c>
      <c r="Y62" s="19">
        <f>IF(Time!Y23=1,Y49,0)-Inputs!$F$172*Time!Y35</f>
        <v/>
      </c>
      <c r="Z62" s="19">
        <f>IF(Time!Z23=1,Z49,0)-Inputs!$F$172*Time!Z35</f>
        <v/>
      </c>
      <c r="AA62" s="19">
        <f>IF(Time!AA23=1,AA49,0)-Inputs!$F$172*Time!AA35</f>
        <v/>
      </c>
      <c r="AB62" s="19">
        <f>IF(Time!AB23=1,AB49,0)-Inputs!$F$172*Time!AB35</f>
        <v/>
      </c>
      <c r="AC62" s="19">
        <f>IF(Time!AC23=1,AC49,0)-Inputs!$F$172*Time!AC35</f>
        <v/>
      </c>
      <c r="AD62" s="19">
        <f>IF(Time!AD23=1,AD49,0)-Inputs!$F$172*Time!AD35</f>
        <v/>
      </c>
      <c r="AE62" s="19">
        <f>IF(Time!AE23=1,AE49,0)-Inputs!$F$172*Time!AE35</f>
        <v/>
      </c>
      <c r="AF62" s="19">
        <f>IF(Time!AF23=1,AF49,0)-Inputs!$F$172*Time!AF35</f>
        <v/>
      </c>
      <c r="AG62" s="19">
        <f>IF(Time!AG23=1,AG49,0)-Inputs!$F$172*Time!AG35</f>
        <v/>
      </c>
      <c r="AH62" s="19">
        <f>IF(Time!AH23=1,AH49,0)-Inputs!$F$172*Time!AH35</f>
        <v/>
      </c>
      <c r="AI62" s="19">
        <f>IF(Time!AI23=1,AI49,0)-Inputs!$F$172*Time!AI35</f>
        <v/>
      </c>
      <c r="AJ62" s="19">
        <f>IF(Time!AJ23=1,AJ49,0)-Inputs!$F$172*Time!AJ35</f>
        <v/>
      </c>
      <c r="AK62" s="19">
        <f>IF(Time!AK23=1,AK49,0)-Inputs!$F$172*Time!AK35</f>
        <v/>
      </c>
      <c r="AL62" s="19">
        <f>IF(Time!AL23=1,AL49,0)-Inputs!$F$172*Time!AL35</f>
        <v/>
      </c>
      <c r="AM62" s="19">
        <f>IF(Time!AM23=1,AM49,0)-Inputs!$F$172*Time!AM35</f>
        <v/>
      </c>
      <c r="AN62" s="19">
        <f>IF(Time!AN23=1,AN49,0)-Inputs!$F$172*Time!AN35</f>
        <v/>
      </c>
      <c r="AO62" s="19">
        <f>IF(Time!AO23=1,AO49,0)-Inputs!$F$172*Time!AO35</f>
        <v/>
      </c>
      <c r="AP62" s="19">
        <f>IF(Time!AP23=1,AP49,0)-Inputs!$F$172*Time!AP35</f>
        <v/>
      </c>
      <c r="AQ62" s="19">
        <f>IF(Time!AQ23=1,AQ49,0)-Inputs!$F$172*Time!AQ35</f>
        <v/>
      </c>
      <c r="AR62" s="19">
        <f>IF(Time!AR23=1,AR49,0)-Inputs!$F$172*Time!AR35</f>
        <v/>
      </c>
      <c r="AS62" s="19">
        <f>IF(Time!AS23=1,AS49,0)-Inputs!$F$172*Time!AS35</f>
        <v/>
      </c>
      <c r="AT62" s="19">
        <f>IF(Time!AT23=1,AT49,0)-Inputs!$F$172*Time!AT35</f>
        <v/>
      </c>
      <c r="AU62" s="19">
        <f>IF(Time!AU23=1,AU49,0)-Inputs!$F$172*Time!AU35</f>
        <v/>
      </c>
      <c r="AV62" s="19">
        <f>IF(Time!AV23=1,AV49,0)-Inputs!$F$172*Time!AV35</f>
        <v/>
      </c>
      <c r="AW62" s="19">
        <f>IF(Time!AW23=1,AW49,0)-Inputs!$F$172*Time!AW35</f>
        <v/>
      </c>
      <c r="AX62" s="19">
        <f>IF(Time!AX23=1,AX49,0)-Inputs!$F$172*Time!AX35</f>
        <v/>
      </c>
      <c r="AY62" s="19">
        <f>IF(Time!AY23=1,AY49,0)-Inputs!$F$172*Time!AY35</f>
        <v/>
      </c>
      <c r="AZ62" s="19">
        <f>IF(Time!AZ23=1,AZ49,0)-Inputs!$F$172*Time!AZ35</f>
        <v/>
      </c>
      <c r="BA62" s="19">
        <f>IF(Time!BA23=1,BA49,0)-Inputs!$F$172*Time!BA35</f>
        <v/>
      </c>
      <c r="BB62" s="19">
        <f>IF(Time!BB23=1,BB49,0)-Inputs!$F$172*Time!BB35</f>
        <v/>
      </c>
      <c r="BC62" s="19">
        <f>IF(Time!BC23=1,BC49,0)-Inputs!$F$172*Time!BC35</f>
        <v/>
      </c>
      <c r="BD62" s="19">
        <f>IF(Time!BD23=1,BD49,0)-Inputs!$F$172*Time!BD35</f>
        <v/>
      </c>
      <c r="BE62" s="19">
        <f>IF(Time!BE23=1,BE49,0)-Inputs!$F$172*Time!BE35</f>
        <v/>
      </c>
      <c r="BF62" s="19">
        <f>IF(Time!BF23=1,BF49,0)-Inputs!$F$172*Time!BF35</f>
        <v/>
      </c>
      <c r="BG62" s="19">
        <f>IF(Time!BG23=1,BG49,0)-Inputs!$F$172*Time!BG35</f>
        <v/>
      </c>
      <c r="BH62" s="19">
        <f>IF(Time!BH23=1,BH49,0)-Inputs!$F$172*Time!BH35</f>
        <v/>
      </c>
      <c r="BI62" s="19">
        <f>IF(Time!BI23=1,BI49,0)-Inputs!$F$172*Time!BI35</f>
        <v/>
      </c>
      <c r="BJ62" s="19">
        <f>IF(Time!BJ23=1,BJ49,0)-Inputs!$F$172*Time!BJ35</f>
        <v/>
      </c>
      <c r="BK62" s="19">
        <f>IF(Time!BK23=1,BK49,0)-Inputs!$F$172*Time!BK35</f>
        <v/>
      </c>
      <c r="BL62" s="19">
        <f>IF(Time!BL23=1,BL49,0)-Inputs!$F$172*Time!BL35</f>
        <v/>
      </c>
      <c r="BM62" s="19">
        <f>IF(Time!BM23=1,BM49,0)-Inputs!$F$172*Time!BM35</f>
        <v/>
      </c>
      <c r="BN62" s="19">
        <f>IF(Time!BN23=1,BN49,0)-Inputs!$F$172*Time!BN35</f>
        <v/>
      </c>
      <c r="BO62" s="19">
        <f>IF(Time!BO23=1,BO49,0)-Inputs!$F$172*Time!BO35</f>
        <v/>
      </c>
      <c r="BP62" s="19">
        <f>IF(Time!BP23=1,BP49,0)-Inputs!$F$172*Time!BP35</f>
        <v/>
      </c>
      <c r="BQ62" s="19">
        <f>IF(Time!BQ23=1,BQ49,0)-Inputs!$F$172*Time!BQ35</f>
        <v/>
      </c>
      <c r="BR62" s="19">
        <f>IF(Time!BR23=1,BR49,0)-Inputs!$F$172*Time!BR35</f>
        <v/>
      </c>
      <c r="BS62" s="19">
        <f>IF(Time!BS23=1,BS49,0)-Inputs!$F$172*Time!BS35</f>
        <v/>
      </c>
      <c r="BT62" s="19">
        <f>IF(Time!BT23=1,BT49,0)-Inputs!$F$172*Time!BT35</f>
        <v/>
      </c>
      <c r="BU62" s="19">
        <f>IF(Time!BU23=1,BU49,0)-Inputs!$F$172*Time!BU35</f>
        <v/>
      </c>
      <c r="BV62" s="19">
        <f>IF(Time!BV23=1,BV49,0)-Inputs!$F$172*Time!BV35</f>
        <v/>
      </c>
      <c r="BW62" s="19">
        <f>IF(Time!BW23=1,BW49,0)-Inputs!$F$172*Time!BW35</f>
        <v/>
      </c>
      <c r="BX62" s="19">
        <f>IF(Time!BX23=1,BX49,0)-Inputs!$F$172*Time!BX35</f>
        <v/>
      </c>
      <c r="BY62" s="19">
        <f>IF(Time!BY23=1,BY49,0)-Inputs!$F$172*Time!BY35</f>
        <v/>
      </c>
      <c r="BZ62" s="19">
        <f>IF(Time!BZ23=1,BZ49,0)-Inputs!$F$172*Time!BZ35</f>
        <v/>
      </c>
      <c r="CA62" s="19">
        <f>IF(Time!CA23=1,CA49,0)-Inputs!$F$172*Time!CA35</f>
        <v/>
      </c>
      <c r="CB62" s="19">
        <f>IF(Time!CB23=1,CB49,0)-Inputs!$F$172*Time!CB35</f>
        <v/>
      </c>
      <c r="CC62" s="19">
        <f>IF(Time!CC23=1,CC49,0)-Inputs!$F$172*Time!CC35</f>
        <v/>
      </c>
      <c r="CD62" s="19">
        <f>IF(Time!CD23=1,CD49,0)-Inputs!$F$172*Time!CD35</f>
        <v/>
      </c>
      <c r="CE62" s="19">
        <f>IF(Time!CE23=1,CE49,0)-Inputs!$F$172*Time!CE35</f>
        <v/>
      </c>
      <c r="CF62" s="19">
        <f>IF(Time!CF23=1,CF49,0)-Inputs!$F$172*Time!CF35</f>
        <v/>
      </c>
      <c r="CG62" s="19">
        <f>IF(Time!CG23=1,CG49,0)-Inputs!$F$172*Time!CG35</f>
        <v/>
      </c>
      <c r="CH62" s="19">
        <f>IF(Time!CH23=1,CH49,0)-Inputs!$F$172*Time!CH35</f>
        <v/>
      </c>
      <c r="CI62" s="19">
        <f>IF(Time!CI23=1,CI49,0)-Inputs!$F$172*Time!CI35</f>
        <v/>
      </c>
      <c r="CJ62" s="19">
        <f>IF(Time!CJ23=1,CJ49,0)-Inputs!$F$172*Time!CJ35</f>
        <v/>
      </c>
      <c r="CK62" s="19">
        <f>IF(Time!CK23=1,CK49,0)-Inputs!$F$172*Time!CK35</f>
        <v/>
      </c>
      <c r="CL62" s="19">
        <f>IF(Time!CL23=1,CL49,0)-Inputs!$F$172*Time!CL35</f>
        <v/>
      </c>
      <c r="CM62" s="19">
        <f>IF(Time!CM23=1,CM49,0)-Inputs!$F$172*Time!CM35</f>
        <v/>
      </c>
      <c r="CN62" s="19">
        <f>IF(Time!CN23=1,CN49,0)-Inputs!$F$172*Time!CN35</f>
        <v/>
      </c>
      <c r="CO62" s="19">
        <f>IF(Time!CO23=1,CO49,0)-Inputs!$F$172*Time!CO35</f>
        <v/>
      </c>
      <c r="CP62" s="19">
        <f>IF(Time!CP23=1,CP49,0)-Inputs!$F$172*Time!CP35</f>
        <v/>
      </c>
      <c r="CQ62" s="19">
        <f>IF(Time!CQ23=1,CQ49,0)-Inputs!$F$172*Time!CQ35</f>
        <v/>
      </c>
      <c r="CR62" s="19">
        <f>IF(Time!CR23=1,CR49,0)-Inputs!$F$172*Time!CR35</f>
        <v/>
      </c>
      <c r="CS62" s="19">
        <f>IF(Time!CS23=1,CS49,0)-Inputs!$F$172*Time!CS35</f>
        <v/>
      </c>
      <c r="CT62" s="19">
        <f>IF(Time!CT23=1,CT49,0)-Inputs!$F$172*Time!CT35</f>
        <v/>
      </c>
      <c r="CU62" s="19">
        <f>IF(Time!CU23=1,CU49,0)-Inputs!$F$172*Time!CU35</f>
        <v/>
      </c>
      <c r="CV62" s="19">
        <f>IF(Time!CV23=1,CV49,0)-Inputs!$F$172*Time!CV35</f>
        <v/>
      </c>
      <c r="CW62" s="19">
        <f>IF(Time!CW23=1,CW49,0)-Inputs!$F$172*Time!CW35</f>
        <v/>
      </c>
      <c r="CX62" s="19">
        <f>IF(Time!CX23=1,CX49,0)-Inputs!$F$172*Time!CX35</f>
        <v/>
      </c>
      <c r="CY62" s="19">
        <f>IF(Time!CY23=1,CY49,0)-Inputs!$F$172*Time!CY35</f>
        <v/>
      </c>
      <c r="CZ62" s="19">
        <f>IF(Time!CZ23=1,CZ49,0)-Inputs!$F$172*Time!CZ35</f>
        <v/>
      </c>
      <c r="DA62" s="19">
        <f>IF(Time!DA23=1,DA49,0)-Inputs!$F$172*Time!DA35</f>
        <v/>
      </c>
      <c r="DB62" s="19">
        <f>IF(Time!DB23=1,DB49,0)-Inputs!$F$172*Time!DB35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D1:DB17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Financials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Income statement</t>
        </is>
      </c>
    </row>
    <row r="6">
      <c r="D6" t="inlineStr">
        <is>
          <t>Book amortization of the concession asset</t>
        </is>
      </c>
      <c r="E6" t="inlineStr">
        <is>
          <t>ARD m</t>
        </is>
      </c>
      <c r="G6" s="19">
        <f>SUM(J6:DB6)</f>
        <v/>
      </c>
      <c r="J6" s="19">
        <f>IF(Time!J29&gt;0,I7*Time!J25/Time!J29,0)</f>
        <v/>
      </c>
      <c r="K6" s="19">
        <f>IF(Time!K29&gt;0,J7*Time!K25/Time!K29,0)</f>
        <v/>
      </c>
      <c r="L6" s="19">
        <f>IF(Time!L29&gt;0,K7*Time!L25/Time!L29,0)</f>
        <v/>
      </c>
      <c r="M6" s="19">
        <f>IF(Time!M29&gt;0,L7*Time!M25/Time!M29,0)</f>
        <v/>
      </c>
      <c r="N6" s="19">
        <f>IF(Time!N29&gt;0,M7*Time!N25/Time!N29,0)</f>
        <v/>
      </c>
      <c r="O6" s="19">
        <f>IF(Time!O29&gt;0,N7*Time!O25/Time!O29,0)</f>
        <v/>
      </c>
      <c r="P6" s="19">
        <f>IF(Time!P29&gt;0,O7*Time!P25/Time!P29,0)</f>
        <v/>
      </c>
      <c r="Q6" s="19">
        <f>IF(Time!Q29&gt;0,P7*Time!Q25/Time!Q29,0)</f>
        <v/>
      </c>
      <c r="R6" s="19">
        <f>IF(Time!R29&gt;0,Q7*Time!R25/Time!R29,0)</f>
        <v/>
      </c>
      <c r="S6" s="19">
        <f>IF(Time!S29&gt;0,R7*Time!S25/Time!S29,0)</f>
        <v/>
      </c>
      <c r="T6" s="19">
        <f>IF(Time!T29&gt;0,S7*Time!T25/Time!T29,0)</f>
        <v/>
      </c>
      <c r="U6" s="19">
        <f>IF(Time!U29&gt;0,T7*Time!U25/Time!U29,0)</f>
        <v/>
      </c>
      <c r="V6" s="19">
        <f>IF(Time!V29&gt;0,U7*Time!V25/Time!V29,0)</f>
        <v/>
      </c>
      <c r="W6" s="19">
        <f>IF(Time!W29&gt;0,V7*Time!W25/Time!W29,0)</f>
        <v/>
      </c>
      <c r="X6" s="19">
        <f>IF(Time!X29&gt;0,W7*Time!X25/Time!X29,0)</f>
        <v/>
      </c>
      <c r="Y6" s="19">
        <f>IF(Time!Y29&gt;0,X7*Time!Y25/Time!Y29,0)</f>
        <v/>
      </c>
      <c r="Z6" s="19">
        <f>IF(Time!Z29&gt;0,Y7*Time!Z25/Time!Z29,0)</f>
        <v/>
      </c>
      <c r="AA6" s="19">
        <f>IF(Time!AA29&gt;0,Z7*Time!AA25/Time!AA29,0)</f>
        <v/>
      </c>
      <c r="AB6" s="19">
        <f>IF(Time!AB29&gt;0,AA7*Time!AB25/Time!AB29,0)</f>
        <v/>
      </c>
      <c r="AC6" s="19">
        <f>IF(Time!AC29&gt;0,AB7*Time!AC25/Time!AC29,0)</f>
        <v/>
      </c>
      <c r="AD6" s="19">
        <f>IF(Time!AD29&gt;0,AC7*Time!AD25/Time!AD29,0)</f>
        <v/>
      </c>
      <c r="AE6" s="19">
        <f>IF(Time!AE29&gt;0,AD7*Time!AE25/Time!AE29,0)</f>
        <v/>
      </c>
      <c r="AF6" s="19">
        <f>IF(Time!AF29&gt;0,AE7*Time!AF25/Time!AF29,0)</f>
        <v/>
      </c>
      <c r="AG6" s="19">
        <f>IF(Time!AG29&gt;0,AF7*Time!AG25/Time!AG29,0)</f>
        <v/>
      </c>
      <c r="AH6" s="19">
        <f>IF(Time!AH29&gt;0,AG7*Time!AH25/Time!AH29,0)</f>
        <v/>
      </c>
      <c r="AI6" s="19">
        <f>IF(Time!AI29&gt;0,AH7*Time!AI25/Time!AI29,0)</f>
        <v/>
      </c>
      <c r="AJ6" s="19">
        <f>IF(Time!AJ29&gt;0,AI7*Time!AJ25/Time!AJ29,0)</f>
        <v/>
      </c>
      <c r="AK6" s="19">
        <f>IF(Time!AK29&gt;0,AJ7*Time!AK25/Time!AK29,0)</f>
        <v/>
      </c>
      <c r="AL6" s="19">
        <f>IF(Time!AL29&gt;0,AK7*Time!AL25/Time!AL29,0)</f>
        <v/>
      </c>
      <c r="AM6" s="19">
        <f>IF(Time!AM29&gt;0,AL7*Time!AM25/Time!AM29,0)</f>
        <v/>
      </c>
      <c r="AN6" s="19">
        <f>IF(Time!AN29&gt;0,AM7*Time!AN25/Time!AN29,0)</f>
        <v/>
      </c>
      <c r="AO6" s="19">
        <f>IF(Time!AO29&gt;0,AN7*Time!AO25/Time!AO29,0)</f>
        <v/>
      </c>
      <c r="AP6" s="19">
        <f>IF(Time!AP29&gt;0,AO7*Time!AP25/Time!AP29,0)</f>
        <v/>
      </c>
      <c r="AQ6" s="19">
        <f>IF(Time!AQ29&gt;0,AP7*Time!AQ25/Time!AQ29,0)</f>
        <v/>
      </c>
      <c r="AR6" s="19">
        <f>IF(Time!AR29&gt;0,AQ7*Time!AR25/Time!AR29,0)</f>
        <v/>
      </c>
      <c r="AS6" s="19">
        <f>IF(Time!AS29&gt;0,AR7*Time!AS25/Time!AS29,0)</f>
        <v/>
      </c>
      <c r="AT6" s="19">
        <f>IF(Time!AT29&gt;0,AS7*Time!AT25/Time!AT29,0)</f>
        <v/>
      </c>
      <c r="AU6" s="19">
        <f>IF(Time!AU29&gt;0,AT7*Time!AU25/Time!AU29,0)</f>
        <v/>
      </c>
      <c r="AV6" s="19">
        <f>IF(Time!AV29&gt;0,AU7*Time!AV25/Time!AV29,0)</f>
        <v/>
      </c>
      <c r="AW6" s="19">
        <f>IF(Time!AW29&gt;0,AV7*Time!AW25/Time!AW29,0)</f>
        <v/>
      </c>
      <c r="AX6" s="19">
        <f>IF(Time!AX29&gt;0,AW7*Time!AX25/Time!AX29,0)</f>
        <v/>
      </c>
      <c r="AY6" s="19">
        <f>IF(Time!AY29&gt;0,AX7*Time!AY25/Time!AY29,0)</f>
        <v/>
      </c>
      <c r="AZ6" s="19">
        <f>IF(Time!AZ29&gt;0,AY7*Time!AZ25/Time!AZ29,0)</f>
        <v/>
      </c>
      <c r="BA6" s="19">
        <f>IF(Time!BA29&gt;0,AZ7*Time!BA25/Time!BA29,0)</f>
        <v/>
      </c>
      <c r="BB6" s="19">
        <f>IF(Time!BB29&gt;0,BA7*Time!BB25/Time!BB29,0)</f>
        <v/>
      </c>
      <c r="BC6" s="19">
        <f>IF(Time!BC29&gt;0,BB7*Time!BC25/Time!BC29,0)</f>
        <v/>
      </c>
      <c r="BD6" s="19">
        <f>IF(Time!BD29&gt;0,BC7*Time!BD25/Time!BD29,0)</f>
        <v/>
      </c>
      <c r="BE6" s="19">
        <f>IF(Time!BE29&gt;0,BD7*Time!BE25/Time!BE29,0)</f>
        <v/>
      </c>
      <c r="BF6" s="19">
        <f>IF(Time!BF29&gt;0,BE7*Time!BF25/Time!BF29,0)</f>
        <v/>
      </c>
      <c r="BG6" s="19">
        <f>IF(Time!BG29&gt;0,BF7*Time!BG25/Time!BG29,0)</f>
        <v/>
      </c>
      <c r="BH6" s="19">
        <f>IF(Time!BH29&gt;0,BG7*Time!BH25/Time!BH29,0)</f>
        <v/>
      </c>
      <c r="BI6" s="19">
        <f>IF(Time!BI29&gt;0,BH7*Time!BI25/Time!BI29,0)</f>
        <v/>
      </c>
      <c r="BJ6" s="19">
        <f>IF(Time!BJ29&gt;0,BI7*Time!BJ25/Time!BJ29,0)</f>
        <v/>
      </c>
      <c r="BK6" s="19">
        <f>IF(Time!BK29&gt;0,BJ7*Time!BK25/Time!BK29,0)</f>
        <v/>
      </c>
      <c r="BL6" s="19">
        <f>IF(Time!BL29&gt;0,BK7*Time!BL25/Time!BL29,0)</f>
        <v/>
      </c>
      <c r="BM6" s="19">
        <f>IF(Time!BM29&gt;0,BL7*Time!BM25/Time!BM29,0)</f>
        <v/>
      </c>
      <c r="BN6" s="19">
        <f>IF(Time!BN29&gt;0,BM7*Time!BN25/Time!BN29,0)</f>
        <v/>
      </c>
      <c r="BO6" s="19">
        <f>IF(Time!BO29&gt;0,BN7*Time!BO25/Time!BO29,0)</f>
        <v/>
      </c>
      <c r="BP6" s="19">
        <f>IF(Time!BP29&gt;0,BO7*Time!BP25/Time!BP29,0)</f>
        <v/>
      </c>
      <c r="BQ6" s="19">
        <f>IF(Time!BQ29&gt;0,BP7*Time!BQ25/Time!BQ29,0)</f>
        <v/>
      </c>
      <c r="BR6" s="19">
        <f>IF(Time!BR29&gt;0,BQ7*Time!BR25/Time!BR29,0)</f>
        <v/>
      </c>
      <c r="BS6" s="19">
        <f>IF(Time!BS29&gt;0,BR7*Time!BS25/Time!BS29,0)</f>
        <v/>
      </c>
      <c r="BT6" s="19">
        <f>IF(Time!BT29&gt;0,BS7*Time!BT25/Time!BT29,0)</f>
        <v/>
      </c>
      <c r="BU6" s="19">
        <f>IF(Time!BU29&gt;0,BT7*Time!BU25/Time!BU29,0)</f>
        <v/>
      </c>
      <c r="BV6" s="19">
        <f>IF(Time!BV29&gt;0,BU7*Time!BV25/Time!BV29,0)</f>
        <v/>
      </c>
      <c r="BW6" s="19">
        <f>IF(Time!BW29&gt;0,BV7*Time!BW25/Time!BW29,0)</f>
        <v/>
      </c>
      <c r="BX6" s="19">
        <f>IF(Time!BX29&gt;0,BW7*Time!BX25/Time!BX29,0)</f>
        <v/>
      </c>
      <c r="BY6" s="19">
        <f>IF(Time!BY29&gt;0,BX7*Time!BY25/Time!BY29,0)</f>
        <v/>
      </c>
      <c r="BZ6" s="19">
        <f>IF(Time!BZ29&gt;0,BY7*Time!BZ25/Time!BZ29,0)</f>
        <v/>
      </c>
      <c r="CA6" s="19">
        <f>IF(Time!CA29&gt;0,BZ7*Time!CA25/Time!CA29,0)</f>
        <v/>
      </c>
      <c r="CB6" s="19">
        <f>IF(Time!CB29&gt;0,CA7*Time!CB25/Time!CB29,0)</f>
        <v/>
      </c>
      <c r="CC6" s="19">
        <f>IF(Time!CC29&gt;0,CB7*Time!CC25/Time!CC29,0)</f>
        <v/>
      </c>
      <c r="CD6" s="19">
        <f>IF(Time!CD29&gt;0,CC7*Time!CD25/Time!CD29,0)</f>
        <v/>
      </c>
      <c r="CE6" s="19">
        <f>IF(Time!CE29&gt;0,CD7*Time!CE25/Time!CE29,0)</f>
        <v/>
      </c>
      <c r="CF6" s="19">
        <f>IF(Time!CF29&gt;0,CE7*Time!CF25/Time!CF29,0)</f>
        <v/>
      </c>
      <c r="CG6" s="19">
        <f>IF(Time!CG29&gt;0,CF7*Time!CG25/Time!CG29,0)</f>
        <v/>
      </c>
      <c r="CH6" s="19">
        <f>IF(Time!CH29&gt;0,CG7*Time!CH25/Time!CH29,0)</f>
        <v/>
      </c>
      <c r="CI6" s="19">
        <f>IF(Time!CI29&gt;0,CH7*Time!CI25/Time!CI29,0)</f>
        <v/>
      </c>
      <c r="CJ6" s="19">
        <f>IF(Time!CJ29&gt;0,CI7*Time!CJ25/Time!CJ29,0)</f>
        <v/>
      </c>
      <c r="CK6" s="19">
        <f>IF(Time!CK29&gt;0,CJ7*Time!CK25/Time!CK29,0)</f>
        <v/>
      </c>
      <c r="CL6" s="19">
        <f>IF(Time!CL29&gt;0,CK7*Time!CL25/Time!CL29,0)</f>
        <v/>
      </c>
      <c r="CM6" s="19">
        <f>IF(Time!CM29&gt;0,CL7*Time!CM25/Time!CM29,0)</f>
        <v/>
      </c>
      <c r="CN6" s="19">
        <f>IF(Time!CN29&gt;0,CM7*Time!CN25/Time!CN29,0)</f>
        <v/>
      </c>
      <c r="CO6" s="19">
        <f>IF(Time!CO29&gt;0,CN7*Time!CO25/Time!CO29,0)</f>
        <v/>
      </c>
      <c r="CP6" s="19">
        <f>IF(Time!CP29&gt;0,CO7*Time!CP25/Time!CP29,0)</f>
        <v/>
      </c>
      <c r="CQ6" s="19">
        <f>IF(Time!CQ29&gt;0,CP7*Time!CQ25/Time!CQ29,0)</f>
        <v/>
      </c>
      <c r="CR6" s="19">
        <f>IF(Time!CR29&gt;0,CQ7*Time!CR25/Time!CR29,0)</f>
        <v/>
      </c>
      <c r="CS6" s="19">
        <f>IF(Time!CS29&gt;0,CR7*Time!CS25/Time!CS29,0)</f>
        <v/>
      </c>
      <c r="CT6" s="19">
        <f>IF(Time!CT29&gt;0,CS7*Time!CT25/Time!CT29,0)</f>
        <v/>
      </c>
      <c r="CU6" s="19">
        <f>IF(Time!CU29&gt;0,CT7*Time!CU25/Time!CU29,0)</f>
        <v/>
      </c>
      <c r="CV6" s="19">
        <f>IF(Time!CV29&gt;0,CU7*Time!CV25/Time!CV29,0)</f>
        <v/>
      </c>
      <c r="CW6" s="19">
        <f>IF(Time!CW29&gt;0,CV7*Time!CW25/Time!CW29,0)</f>
        <v/>
      </c>
      <c r="CX6" s="19">
        <f>IF(Time!CX29&gt;0,CW7*Time!CX25/Time!CX29,0)</f>
        <v/>
      </c>
      <c r="CY6" s="19">
        <f>IF(Time!CY29&gt;0,CX7*Time!CY25/Time!CY29,0)</f>
        <v/>
      </c>
      <c r="CZ6" s="19">
        <f>IF(Time!CZ29&gt;0,CY7*Time!CZ25/Time!CZ29,0)</f>
        <v/>
      </c>
      <c r="DA6" s="19">
        <f>IF(Time!DA29&gt;0,CZ7*Time!DA25/Time!DA29,0)</f>
        <v/>
      </c>
      <c r="DB6" s="19">
        <f>IF(Time!DB29&gt;0,DA7*Time!DB25/Time!DB29,0)</f>
        <v/>
      </c>
    </row>
    <row r="7">
      <c r="D7" t="inlineStr">
        <is>
          <t>Concession intangible: net book value</t>
        </is>
      </c>
      <c r="E7" t="inlineStr">
        <is>
          <t>ARD m</t>
        </is>
      </c>
      <c r="J7" s="19">
        <f>I7+Tax!J7-J6</f>
        <v/>
      </c>
      <c r="K7" s="19">
        <f>J7+Tax!K7-K6</f>
        <v/>
      </c>
      <c r="L7" s="19">
        <f>K7+Tax!L7-L6</f>
        <v/>
      </c>
      <c r="M7" s="19">
        <f>L7+Tax!M7-M6</f>
        <v/>
      </c>
      <c r="N7" s="19">
        <f>M7+Tax!N7-N6</f>
        <v/>
      </c>
      <c r="O7" s="19">
        <f>N7+Tax!O7-O6</f>
        <v/>
      </c>
      <c r="P7" s="19">
        <f>O7+Tax!P7-P6</f>
        <v/>
      </c>
      <c r="Q7" s="19">
        <f>P7+Tax!Q7-Q6</f>
        <v/>
      </c>
      <c r="R7" s="19">
        <f>Q7+Tax!R7-R6</f>
        <v/>
      </c>
      <c r="S7" s="19">
        <f>R7+Tax!S7-S6</f>
        <v/>
      </c>
      <c r="T7" s="19">
        <f>S7+Tax!T7-T6</f>
        <v/>
      </c>
      <c r="U7" s="19">
        <f>T7+Tax!U7-U6</f>
        <v/>
      </c>
      <c r="V7" s="19">
        <f>U7+Tax!V7-V6</f>
        <v/>
      </c>
      <c r="W7" s="19">
        <f>V7+Tax!W7-W6</f>
        <v/>
      </c>
      <c r="X7" s="19">
        <f>W7+Tax!X7-X6</f>
        <v/>
      </c>
      <c r="Y7" s="19">
        <f>X7+Tax!Y7-Y6</f>
        <v/>
      </c>
      <c r="Z7" s="19">
        <f>Y7+Tax!Z7-Z6</f>
        <v/>
      </c>
      <c r="AA7" s="19">
        <f>Z7+Tax!AA7-AA6</f>
        <v/>
      </c>
      <c r="AB7" s="19">
        <f>AA7+Tax!AB7-AB6</f>
        <v/>
      </c>
      <c r="AC7" s="19">
        <f>AB7+Tax!AC7-AC6</f>
        <v/>
      </c>
      <c r="AD7" s="19">
        <f>AC7+Tax!AD7-AD6</f>
        <v/>
      </c>
      <c r="AE7" s="19">
        <f>AD7+Tax!AE7-AE6</f>
        <v/>
      </c>
      <c r="AF7" s="19">
        <f>AE7+Tax!AF7-AF6</f>
        <v/>
      </c>
      <c r="AG7" s="19">
        <f>AF7+Tax!AG7-AG6</f>
        <v/>
      </c>
      <c r="AH7" s="19">
        <f>AG7+Tax!AH7-AH6</f>
        <v/>
      </c>
      <c r="AI7" s="19">
        <f>AH7+Tax!AI7-AI6</f>
        <v/>
      </c>
      <c r="AJ7" s="19">
        <f>AI7+Tax!AJ7-AJ6</f>
        <v/>
      </c>
      <c r="AK7" s="19">
        <f>AJ7+Tax!AK7-AK6</f>
        <v/>
      </c>
      <c r="AL7" s="19">
        <f>AK7+Tax!AL7-AL6</f>
        <v/>
      </c>
      <c r="AM7" s="19">
        <f>AL7+Tax!AM7-AM6</f>
        <v/>
      </c>
      <c r="AN7" s="19">
        <f>AM7+Tax!AN7-AN6</f>
        <v/>
      </c>
      <c r="AO7" s="19">
        <f>AN7+Tax!AO7-AO6</f>
        <v/>
      </c>
      <c r="AP7" s="19">
        <f>AO7+Tax!AP7-AP6</f>
        <v/>
      </c>
      <c r="AQ7" s="19">
        <f>AP7+Tax!AQ7-AQ6</f>
        <v/>
      </c>
      <c r="AR7" s="19">
        <f>AQ7+Tax!AR7-AR6</f>
        <v/>
      </c>
      <c r="AS7" s="19">
        <f>AR7+Tax!AS7-AS6</f>
        <v/>
      </c>
      <c r="AT7" s="19">
        <f>AS7+Tax!AT7-AT6</f>
        <v/>
      </c>
      <c r="AU7" s="19">
        <f>AT7+Tax!AU7-AU6</f>
        <v/>
      </c>
      <c r="AV7" s="19">
        <f>AU7+Tax!AV7-AV6</f>
        <v/>
      </c>
      <c r="AW7" s="19">
        <f>AV7+Tax!AW7-AW6</f>
        <v/>
      </c>
      <c r="AX7" s="19">
        <f>AW7+Tax!AX7-AX6</f>
        <v/>
      </c>
      <c r="AY7" s="19">
        <f>AX7+Tax!AY7-AY6</f>
        <v/>
      </c>
      <c r="AZ7" s="19">
        <f>AY7+Tax!AZ7-AZ6</f>
        <v/>
      </c>
      <c r="BA7" s="19">
        <f>AZ7+Tax!BA7-BA6</f>
        <v/>
      </c>
      <c r="BB7" s="19">
        <f>BA7+Tax!BB7-BB6</f>
        <v/>
      </c>
      <c r="BC7" s="19">
        <f>BB7+Tax!BC7-BC6</f>
        <v/>
      </c>
      <c r="BD7" s="19">
        <f>BC7+Tax!BD7-BD6</f>
        <v/>
      </c>
      <c r="BE7" s="19">
        <f>BD7+Tax!BE7-BE6</f>
        <v/>
      </c>
      <c r="BF7" s="19">
        <f>BE7+Tax!BF7-BF6</f>
        <v/>
      </c>
      <c r="BG7" s="19">
        <f>BF7+Tax!BG7-BG6</f>
        <v/>
      </c>
      <c r="BH7" s="19">
        <f>BG7+Tax!BH7-BH6</f>
        <v/>
      </c>
      <c r="BI7" s="19">
        <f>BH7+Tax!BI7-BI6</f>
        <v/>
      </c>
      <c r="BJ7" s="19">
        <f>BI7+Tax!BJ7-BJ6</f>
        <v/>
      </c>
      <c r="BK7" s="19">
        <f>BJ7+Tax!BK7-BK6</f>
        <v/>
      </c>
      <c r="BL7" s="19">
        <f>BK7+Tax!BL7-BL6</f>
        <v/>
      </c>
      <c r="BM7" s="19">
        <f>BL7+Tax!BM7-BM6</f>
        <v/>
      </c>
      <c r="BN7" s="19">
        <f>BM7+Tax!BN7-BN6</f>
        <v/>
      </c>
      <c r="BO7" s="19">
        <f>BN7+Tax!BO7-BO6</f>
        <v/>
      </c>
      <c r="BP7" s="19">
        <f>BO7+Tax!BP7-BP6</f>
        <v/>
      </c>
      <c r="BQ7" s="19">
        <f>BP7+Tax!BQ7-BQ6</f>
        <v/>
      </c>
      <c r="BR7" s="19">
        <f>BQ7+Tax!BR7-BR6</f>
        <v/>
      </c>
      <c r="BS7" s="19">
        <f>BR7+Tax!BS7-BS6</f>
        <v/>
      </c>
      <c r="BT7" s="19">
        <f>BS7+Tax!BT7-BT6</f>
        <v/>
      </c>
      <c r="BU7" s="19">
        <f>BT7+Tax!BU7-BU6</f>
        <v/>
      </c>
      <c r="BV7" s="19">
        <f>BU7+Tax!BV7-BV6</f>
        <v/>
      </c>
      <c r="BW7" s="19">
        <f>BV7+Tax!BW7-BW6</f>
        <v/>
      </c>
      <c r="BX7" s="19">
        <f>BW7+Tax!BX7-BX6</f>
        <v/>
      </c>
      <c r="BY7" s="19">
        <f>BX7+Tax!BY7-BY6</f>
        <v/>
      </c>
      <c r="BZ7" s="19">
        <f>BY7+Tax!BZ7-BZ6</f>
        <v/>
      </c>
      <c r="CA7" s="19">
        <f>BZ7+Tax!CA7-CA6</f>
        <v/>
      </c>
      <c r="CB7" s="19">
        <f>CA7+Tax!CB7-CB6</f>
        <v/>
      </c>
      <c r="CC7" s="19">
        <f>CB7+Tax!CC7-CC6</f>
        <v/>
      </c>
      <c r="CD7" s="19">
        <f>CC7+Tax!CD7-CD6</f>
        <v/>
      </c>
      <c r="CE7" s="19">
        <f>CD7+Tax!CE7-CE6</f>
        <v/>
      </c>
      <c r="CF7" s="19">
        <f>CE7+Tax!CF7-CF6</f>
        <v/>
      </c>
      <c r="CG7" s="19">
        <f>CF7+Tax!CG7-CG6</f>
        <v/>
      </c>
      <c r="CH7" s="19">
        <f>CG7+Tax!CH7-CH6</f>
        <v/>
      </c>
      <c r="CI7" s="19">
        <f>CH7+Tax!CI7-CI6</f>
        <v/>
      </c>
      <c r="CJ7" s="19">
        <f>CI7+Tax!CJ7-CJ6</f>
        <v/>
      </c>
      <c r="CK7" s="19">
        <f>CJ7+Tax!CK7-CK6</f>
        <v/>
      </c>
      <c r="CL7" s="19">
        <f>CK7+Tax!CL7-CL6</f>
        <v/>
      </c>
      <c r="CM7" s="19">
        <f>CL7+Tax!CM7-CM6</f>
        <v/>
      </c>
      <c r="CN7" s="19">
        <f>CM7+Tax!CN7-CN6</f>
        <v/>
      </c>
      <c r="CO7" s="19">
        <f>CN7+Tax!CO7-CO6</f>
        <v/>
      </c>
      <c r="CP7" s="19">
        <f>CO7+Tax!CP7-CP6</f>
        <v/>
      </c>
      <c r="CQ7" s="19">
        <f>CP7+Tax!CQ7-CQ6</f>
        <v/>
      </c>
      <c r="CR7" s="19">
        <f>CQ7+Tax!CR7-CR6</f>
        <v/>
      </c>
      <c r="CS7" s="19">
        <f>CR7+Tax!CS7-CS6</f>
        <v/>
      </c>
      <c r="CT7" s="19">
        <f>CS7+Tax!CT7-CT6</f>
        <v/>
      </c>
      <c r="CU7" s="19">
        <f>CT7+Tax!CU7-CU6</f>
        <v/>
      </c>
      <c r="CV7" s="19">
        <f>CU7+Tax!CV7-CV6</f>
        <v/>
      </c>
      <c r="CW7" s="19">
        <f>CV7+Tax!CW7-CW6</f>
        <v/>
      </c>
      <c r="CX7" s="19">
        <f>CW7+Tax!CX7-CX6</f>
        <v/>
      </c>
      <c r="CY7" s="19">
        <f>CX7+Tax!CY7-CY6</f>
        <v/>
      </c>
      <c r="CZ7" s="19">
        <f>CY7+Tax!CZ7-CZ6</f>
        <v/>
      </c>
      <c r="DA7" s="19">
        <f>CZ7+Tax!DA7-DA6</f>
        <v/>
      </c>
      <c r="DB7" s="19">
        <f>DA7+Tax!DB7-DB6</f>
        <v/>
      </c>
    </row>
    <row r="8">
      <c r="D8" t="inlineStr">
        <is>
          <t>Restructuring gain (cancelled claims and swap termination)</t>
        </is>
      </c>
      <c r="E8" t="inlineStr">
        <is>
          <t>ARD m</t>
        </is>
      </c>
      <c r="G8" s="19">
        <f>SUM(J8:DB8)</f>
        <v/>
      </c>
      <c r="J8" s="19">
        <f>Debt!J79+Debt!J75</f>
        <v/>
      </c>
      <c r="K8" s="19">
        <f>Debt!K79+Debt!K75</f>
        <v/>
      </c>
      <c r="L8" s="19">
        <f>Debt!L79+Debt!L75</f>
        <v/>
      </c>
      <c r="M8" s="19">
        <f>Debt!M79+Debt!M75</f>
        <v/>
      </c>
      <c r="N8" s="19">
        <f>Debt!N79+Debt!N75</f>
        <v/>
      </c>
      <c r="O8" s="19">
        <f>Debt!O79+Debt!O75</f>
        <v/>
      </c>
      <c r="P8" s="19">
        <f>Debt!P79+Debt!P75</f>
        <v/>
      </c>
      <c r="Q8" s="19">
        <f>Debt!Q79+Debt!Q75</f>
        <v/>
      </c>
      <c r="R8" s="19">
        <f>Debt!R79+Debt!R75</f>
        <v/>
      </c>
      <c r="S8" s="19">
        <f>Debt!S79+Debt!S75</f>
        <v/>
      </c>
      <c r="T8" s="19">
        <f>Debt!T79+Debt!T75</f>
        <v/>
      </c>
      <c r="U8" s="19">
        <f>Debt!U79+Debt!U75</f>
        <v/>
      </c>
      <c r="V8" s="19">
        <f>Debt!V79+Debt!V75</f>
        <v/>
      </c>
      <c r="W8" s="19">
        <f>Debt!W79+Debt!W75</f>
        <v/>
      </c>
      <c r="X8" s="19">
        <f>Debt!X79+Debt!X75</f>
        <v/>
      </c>
      <c r="Y8" s="19">
        <f>Debt!Y79+Debt!Y75</f>
        <v/>
      </c>
      <c r="Z8" s="19">
        <f>Debt!Z79+Debt!Z75</f>
        <v/>
      </c>
      <c r="AA8" s="19">
        <f>Debt!AA79+Debt!AA75</f>
        <v/>
      </c>
      <c r="AB8" s="19">
        <f>Debt!AB79+Debt!AB75</f>
        <v/>
      </c>
      <c r="AC8" s="19">
        <f>Debt!AC79+Debt!AC75</f>
        <v/>
      </c>
      <c r="AD8" s="19">
        <f>Debt!AD79+Debt!AD75</f>
        <v/>
      </c>
      <c r="AE8" s="19">
        <f>Debt!AE79+Debt!AE75</f>
        <v/>
      </c>
      <c r="AF8" s="19">
        <f>Debt!AF79+Debt!AF75</f>
        <v/>
      </c>
      <c r="AG8" s="19">
        <f>Debt!AG79+Debt!AG75</f>
        <v/>
      </c>
      <c r="AH8" s="19">
        <f>Debt!AH79+Debt!AH75</f>
        <v/>
      </c>
      <c r="AI8" s="19">
        <f>Debt!AI79+Debt!AI75</f>
        <v/>
      </c>
      <c r="AJ8" s="19">
        <f>Debt!AJ79+Debt!AJ75</f>
        <v/>
      </c>
      <c r="AK8" s="19">
        <f>Debt!AK79+Debt!AK75</f>
        <v/>
      </c>
      <c r="AL8" s="19">
        <f>Debt!AL79+Debt!AL75</f>
        <v/>
      </c>
      <c r="AM8" s="19">
        <f>Debt!AM79+Debt!AM75</f>
        <v/>
      </c>
      <c r="AN8" s="19">
        <f>Debt!AN79+Debt!AN75</f>
        <v/>
      </c>
      <c r="AO8" s="19">
        <f>Debt!AO79+Debt!AO75</f>
        <v/>
      </c>
      <c r="AP8" s="19">
        <f>Debt!AP79+Debt!AP75</f>
        <v/>
      </c>
      <c r="AQ8" s="19">
        <f>Debt!AQ79+Debt!AQ75</f>
        <v/>
      </c>
      <c r="AR8" s="19">
        <f>Debt!AR79+Debt!AR75</f>
        <v/>
      </c>
      <c r="AS8" s="19">
        <f>Debt!AS79+Debt!AS75</f>
        <v/>
      </c>
      <c r="AT8" s="19">
        <f>Debt!AT79+Debt!AT75</f>
        <v/>
      </c>
      <c r="AU8" s="19">
        <f>Debt!AU79+Debt!AU75</f>
        <v/>
      </c>
      <c r="AV8" s="19">
        <f>Debt!AV79+Debt!AV75</f>
        <v/>
      </c>
      <c r="AW8" s="19">
        <f>Debt!AW79+Debt!AW75</f>
        <v/>
      </c>
      <c r="AX8" s="19">
        <f>Debt!AX79+Debt!AX75</f>
        <v/>
      </c>
      <c r="AY8" s="19">
        <f>Debt!AY79+Debt!AY75</f>
        <v/>
      </c>
      <c r="AZ8" s="19">
        <f>Debt!AZ79+Debt!AZ75</f>
        <v/>
      </c>
      <c r="BA8" s="19">
        <f>Debt!BA79+Debt!BA75</f>
        <v/>
      </c>
      <c r="BB8" s="19">
        <f>Debt!BB79+Debt!BB75</f>
        <v/>
      </c>
      <c r="BC8" s="19">
        <f>Debt!BC79+Debt!BC75</f>
        <v/>
      </c>
      <c r="BD8" s="19">
        <f>Debt!BD79+Debt!BD75</f>
        <v/>
      </c>
      <c r="BE8" s="19">
        <f>Debt!BE79+Debt!BE75</f>
        <v/>
      </c>
      <c r="BF8" s="19">
        <f>Debt!BF79+Debt!BF75</f>
        <v/>
      </c>
      <c r="BG8" s="19">
        <f>Debt!BG79+Debt!BG75</f>
        <v/>
      </c>
      <c r="BH8" s="19">
        <f>Debt!BH79+Debt!BH75</f>
        <v/>
      </c>
      <c r="BI8" s="19">
        <f>Debt!BI79+Debt!BI75</f>
        <v/>
      </c>
      <c r="BJ8" s="19">
        <f>Debt!BJ79+Debt!BJ75</f>
        <v/>
      </c>
      <c r="BK8" s="19">
        <f>Debt!BK79+Debt!BK75</f>
        <v/>
      </c>
      <c r="BL8" s="19">
        <f>Debt!BL79+Debt!BL75</f>
        <v/>
      </c>
      <c r="BM8" s="19">
        <f>Debt!BM79+Debt!BM75</f>
        <v/>
      </c>
      <c r="BN8" s="19">
        <f>Debt!BN79+Debt!BN75</f>
        <v/>
      </c>
      <c r="BO8" s="19">
        <f>Debt!BO79+Debt!BO75</f>
        <v/>
      </c>
      <c r="BP8" s="19">
        <f>Debt!BP79+Debt!BP75</f>
        <v/>
      </c>
      <c r="BQ8" s="19">
        <f>Debt!BQ79+Debt!BQ75</f>
        <v/>
      </c>
      <c r="BR8" s="19">
        <f>Debt!BR79+Debt!BR75</f>
        <v/>
      </c>
      <c r="BS8" s="19">
        <f>Debt!BS79+Debt!BS75</f>
        <v/>
      </c>
      <c r="BT8" s="19">
        <f>Debt!BT79+Debt!BT75</f>
        <v/>
      </c>
      <c r="BU8" s="19">
        <f>Debt!BU79+Debt!BU75</f>
        <v/>
      </c>
      <c r="BV8" s="19">
        <f>Debt!BV79+Debt!BV75</f>
        <v/>
      </c>
      <c r="BW8" s="19">
        <f>Debt!BW79+Debt!BW75</f>
        <v/>
      </c>
      <c r="BX8" s="19">
        <f>Debt!BX79+Debt!BX75</f>
        <v/>
      </c>
      <c r="BY8" s="19">
        <f>Debt!BY79+Debt!BY75</f>
        <v/>
      </c>
      <c r="BZ8" s="19">
        <f>Debt!BZ79+Debt!BZ75</f>
        <v/>
      </c>
      <c r="CA8" s="19">
        <f>Debt!CA79+Debt!CA75</f>
        <v/>
      </c>
      <c r="CB8" s="19">
        <f>Debt!CB79+Debt!CB75</f>
        <v/>
      </c>
      <c r="CC8" s="19">
        <f>Debt!CC79+Debt!CC75</f>
        <v/>
      </c>
      <c r="CD8" s="19">
        <f>Debt!CD79+Debt!CD75</f>
        <v/>
      </c>
      <c r="CE8" s="19">
        <f>Debt!CE79+Debt!CE75</f>
        <v/>
      </c>
      <c r="CF8" s="19">
        <f>Debt!CF79+Debt!CF75</f>
        <v/>
      </c>
      <c r="CG8" s="19">
        <f>Debt!CG79+Debt!CG75</f>
        <v/>
      </c>
      <c r="CH8" s="19">
        <f>Debt!CH79+Debt!CH75</f>
        <v/>
      </c>
      <c r="CI8" s="19">
        <f>Debt!CI79+Debt!CI75</f>
        <v/>
      </c>
      <c r="CJ8" s="19">
        <f>Debt!CJ79+Debt!CJ75</f>
        <v/>
      </c>
      <c r="CK8" s="19">
        <f>Debt!CK79+Debt!CK75</f>
        <v/>
      </c>
      <c r="CL8" s="19">
        <f>Debt!CL79+Debt!CL75</f>
        <v/>
      </c>
      <c r="CM8" s="19">
        <f>Debt!CM79+Debt!CM75</f>
        <v/>
      </c>
      <c r="CN8" s="19">
        <f>Debt!CN79+Debt!CN75</f>
        <v/>
      </c>
      <c r="CO8" s="19">
        <f>Debt!CO79+Debt!CO75</f>
        <v/>
      </c>
      <c r="CP8" s="19">
        <f>Debt!CP79+Debt!CP75</f>
        <v/>
      </c>
      <c r="CQ8" s="19">
        <f>Debt!CQ79+Debt!CQ75</f>
        <v/>
      </c>
      <c r="CR8" s="19">
        <f>Debt!CR79+Debt!CR75</f>
        <v/>
      </c>
      <c r="CS8" s="19">
        <f>Debt!CS79+Debt!CS75</f>
        <v/>
      </c>
      <c r="CT8" s="19">
        <f>Debt!CT79+Debt!CT75</f>
        <v/>
      </c>
      <c r="CU8" s="19">
        <f>Debt!CU79+Debt!CU75</f>
        <v/>
      </c>
      <c r="CV8" s="19">
        <f>Debt!CV79+Debt!CV75</f>
        <v/>
      </c>
      <c r="CW8" s="19">
        <f>Debt!CW79+Debt!CW75</f>
        <v/>
      </c>
      <c r="CX8" s="19">
        <f>Debt!CX79+Debt!CX75</f>
        <v/>
      </c>
      <c r="CY8" s="19">
        <f>Debt!CY79+Debt!CY75</f>
        <v/>
      </c>
      <c r="CZ8" s="19">
        <f>Debt!CZ79+Debt!CZ75</f>
        <v/>
      </c>
      <c r="DA8" s="19">
        <f>Debt!DA79+Debt!DA75</f>
        <v/>
      </c>
      <c r="DB8" s="19">
        <f>Debt!DB79+Debt!DB75</f>
        <v/>
      </c>
    </row>
    <row r="9">
      <c r="D9" t="inlineStr">
        <is>
          <t>Net income</t>
        </is>
      </c>
      <c r="E9" t="inlineStr">
        <is>
          <t>ARD m</t>
        </is>
      </c>
      <c r="G9" s="19">
        <f>SUM(J9:DB9)</f>
        <v/>
      </c>
      <c r="J9" s="19">
        <f>(Operations!J33-Operations!J37-Reserves!J22-J6-Debt!J64-Tax!J13-Tax!J14-Debt!J65-Tax!J23)*(1-Time!J20)+J8</f>
        <v/>
      </c>
      <c r="K9" s="19">
        <f>(Operations!K33-Operations!K37-Reserves!K22-K6-Debt!K64-Tax!K13-Tax!K14-Debt!K65-Tax!K23)*(1-Time!K20)+K8</f>
        <v/>
      </c>
      <c r="L9" s="19">
        <f>(Operations!L33-Operations!L37-Reserves!L22-L6-Debt!L64-Tax!L13-Tax!L14-Debt!L65-Tax!L23)*(1-Time!L20)+L8</f>
        <v/>
      </c>
      <c r="M9" s="19">
        <f>(Operations!M33-Operations!M37-Reserves!M22-M6-Debt!M64-Tax!M13-Tax!M14-Debt!M65-Tax!M23)*(1-Time!M20)+M8</f>
        <v/>
      </c>
      <c r="N9" s="19">
        <f>(Operations!N33-Operations!N37-Reserves!N22-N6-Debt!N64-Tax!N13-Tax!N14-Debt!N65-Tax!N23)*(1-Time!N20)+N8</f>
        <v/>
      </c>
      <c r="O9" s="19">
        <f>(Operations!O33-Operations!O37-Reserves!O22-O6-Debt!O64-Tax!O13-Tax!O14-Debt!O65-Tax!O23)*(1-Time!O20)+O8</f>
        <v/>
      </c>
      <c r="P9" s="19">
        <f>(Operations!P33-Operations!P37-Reserves!P22-P6-Debt!P64-Tax!P13-Tax!P14-Debt!P65-Tax!P23)*(1-Time!P20)+P8</f>
        <v/>
      </c>
      <c r="Q9" s="19">
        <f>(Operations!Q33-Operations!Q37-Reserves!Q22-Q6-Debt!Q64-Tax!Q13-Tax!Q14-Debt!Q65-Tax!Q23)*(1-Time!Q20)+Q8</f>
        <v/>
      </c>
      <c r="R9" s="19">
        <f>(Operations!R33-Operations!R37-Reserves!R22-R6-Debt!R64-Tax!R13-Tax!R14-Debt!R65-Tax!R23)*(1-Time!R20)+R8</f>
        <v/>
      </c>
      <c r="S9" s="19">
        <f>(Operations!S33-Operations!S37-Reserves!S22-S6-Debt!S64-Tax!S13-Tax!S14-Debt!S65-Tax!S23)*(1-Time!S20)+S8</f>
        <v/>
      </c>
      <c r="T9" s="19">
        <f>(Operations!T33-Operations!T37-Reserves!T22-T6-Debt!T64-Tax!T13-Tax!T14-Debt!T65-Tax!T23)*(1-Time!T20)+T8</f>
        <v/>
      </c>
      <c r="U9" s="19">
        <f>(Operations!U33-Operations!U37-Reserves!U22-U6-Debt!U64-Tax!U13-Tax!U14-Debt!U65-Tax!U23)*(1-Time!U20)+U8</f>
        <v/>
      </c>
      <c r="V9" s="19">
        <f>(Operations!V33-Operations!V37-Reserves!V22-V6-Debt!V64-Tax!V13-Tax!V14-Debt!V65-Tax!V23)*(1-Time!V20)+V8</f>
        <v/>
      </c>
      <c r="W9" s="19">
        <f>(Operations!W33-Operations!W37-Reserves!W22-W6-Debt!W64-Tax!W13-Tax!W14-Debt!W65-Tax!W23)*(1-Time!W20)+W8</f>
        <v/>
      </c>
      <c r="X9" s="19">
        <f>(Operations!X33-Operations!X37-Reserves!X22-X6-Debt!X64-Tax!X13-Tax!X14-Debt!X65-Tax!X23)*(1-Time!X20)+X8</f>
        <v/>
      </c>
      <c r="Y9" s="19">
        <f>(Operations!Y33-Operations!Y37-Reserves!Y22-Y6-Debt!Y64-Tax!Y13-Tax!Y14-Debt!Y65-Tax!Y23)*(1-Time!Y20)+Y8</f>
        <v/>
      </c>
      <c r="Z9" s="19">
        <f>(Operations!Z33-Operations!Z37-Reserves!Z22-Z6-Debt!Z64-Tax!Z13-Tax!Z14-Debt!Z65-Tax!Z23)*(1-Time!Z20)+Z8</f>
        <v/>
      </c>
      <c r="AA9" s="19">
        <f>(Operations!AA33-Operations!AA37-Reserves!AA22-AA6-Debt!AA64-Tax!AA13-Tax!AA14-Debt!AA65-Tax!AA23)*(1-Time!AA20)+AA8</f>
        <v/>
      </c>
      <c r="AB9" s="19">
        <f>(Operations!AB33-Operations!AB37-Reserves!AB22-AB6-Debt!AB64-Tax!AB13-Tax!AB14-Debt!AB65-Tax!AB23)*(1-Time!AB20)+AB8</f>
        <v/>
      </c>
      <c r="AC9" s="19">
        <f>(Operations!AC33-Operations!AC37-Reserves!AC22-AC6-Debt!AC64-Tax!AC13-Tax!AC14-Debt!AC65-Tax!AC23)*(1-Time!AC20)+AC8</f>
        <v/>
      </c>
      <c r="AD9" s="19">
        <f>(Operations!AD33-Operations!AD37-Reserves!AD22-AD6-Debt!AD64-Tax!AD13-Tax!AD14-Debt!AD65-Tax!AD23)*(1-Time!AD20)+AD8</f>
        <v/>
      </c>
      <c r="AE9" s="19">
        <f>(Operations!AE33-Operations!AE37-Reserves!AE22-AE6-Debt!AE64-Tax!AE13-Tax!AE14-Debt!AE65-Tax!AE23)*(1-Time!AE20)+AE8</f>
        <v/>
      </c>
      <c r="AF9" s="19">
        <f>(Operations!AF33-Operations!AF37-Reserves!AF22-AF6-Debt!AF64-Tax!AF13-Tax!AF14-Debt!AF65-Tax!AF23)*(1-Time!AF20)+AF8</f>
        <v/>
      </c>
      <c r="AG9" s="19">
        <f>(Operations!AG33-Operations!AG37-Reserves!AG22-AG6-Debt!AG64-Tax!AG13-Tax!AG14-Debt!AG65-Tax!AG23)*(1-Time!AG20)+AG8</f>
        <v/>
      </c>
      <c r="AH9" s="19">
        <f>(Operations!AH33-Operations!AH37-Reserves!AH22-AH6-Debt!AH64-Tax!AH13-Tax!AH14-Debt!AH65-Tax!AH23)*(1-Time!AH20)+AH8</f>
        <v/>
      </c>
      <c r="AI9" s="19">
        <f>(Operations!AI33-Operations!AI37-Reserves!AI22-AI6-Debt!AI64-Tax!AI13-Tax!AI14-Debt!AI65-Tax!AI23)*(1-Time!AI20)+AI8</f>
        <v/>
      </c>
      <c r="AJ9" s="19">
        <f>(Operations!AJ33-Operations!AJ37-Reserves!AJ22-AJ6-Debt!AJ64-Tax!AJ13-Tax!AJ14-Debt!AJ65-Tax!AJ23)*(1-Time!AJ20)+AJ8</f>
        <v/>
      </c>
      <c r="AK9" s="19">
        <f>(Operations!AK33-Operations!AK37-Reserves!AK22-AK6-Debt!AK64-Tax!AK13-Tax!AK14-Debt!AK65-Tax!AK23)*(1-Time!AK20)+AK8</f>
        <v/>
      </c>
      <c r="AL9" s="19">
        <f>(Operations!AL33-Operations!AL37-Reserves!AL22-AL6-Debt!AL64-Tax!AL13-Tax!AL14-Debt!AL65-Tax!AL23)*(1-Time!AL20)+AL8</f>
        <v/>
      </c>
      <c r="AM9" s="19">
        <f>(Operations!AM33-Operations!AM37-Reserves!AM22-AM6-Debt!AM64-Tax!AM13-Tax!AM14-Debt!AM65-Tax!AM23)*(1-Time!AM20)+AM8</f>
        <v/>
      </c>
      <c r="AN9" s="19">
        <f>(Operations!AN33-Operations!AN37-Reserves!AN22-AN6-Debt!AN64-Tax!AN13-Tax!AN14-Debt!AN65-Tax!AN23)*(1-Time!AN20)+AN8</f>
        <v/>
      </c>
      <c r="AO9" s="19">
        <f>(Operations!AO33-Operations!AO37-Reserves!AO22-AO6-Debt!AO64-Tax!AO13-Tax!AO14-Debt!AO65-Tax!AO23)*(1-Time!AO20)+AO8</f>
        <v/>
      </c>
      <c r="AP9" s="19">
        <f>(Operations!AP33-Operations!AP37-Reserves!AP22-AP6-Debt!AP64-Tax!AP13-Tax!AP14-Debt!AP65-Tax!AP23)*(1-Time!AP20)+AP8</f>
        <v/>
      </c>
      <c r="AQ9" s="19">
        <f>(Operations!AQ33-Operations!AQ37-Reserves!AQ22-AQ6-Debt!AQ64-Tax!AQ13-Tax!AQ14-Debt!AQ65-Tax!AQ23)*(1-Time!AQ20)+AQ8</f>
        <v/>
      </c>
      <c r="AR9" s="19">
        <f>(Operations!AR33-Operations!AR37-Reserves!AR22-AR6-Debt!AR64-Tax!AR13-Tax!AR14-Debt!AR65-Tax!AR23)*(1-Time!AR20)+AR8</f>
        <v/>
      </c>
      <c r="AS9" s="19">
        <f>(Operations!AS33-Operations!AS37-Reserves!AS22-AS6-Debt!AS64-Tax!AS13-Tax!AS14-Debt!AS65-Tax!AS23)*(1-Time!AS20)+AS8</f>
        <v/>
      </c>
      <c r="AT9" s="19">
        <f>(Operations!AT33-Operations!AT37-Reserves!AT22-AT6-Debt!AT64-Tax!AT13-Tax!AT14-Debt!AT65-Tax!AT23)*(1-Time!AT20)+AT8</f>
        <v/>
      </c>
      <c r="AU9" s="19">
        <f>(Operations!AU33-Operations!AU37-Reserves!AU22-AU6-Debt!AU64-Tax!AU13-Tax!AU14-Debt!AU65-Tax!AU23)*(1-Time!AU20)+AU8</f>
        <v/>
      </c>
      <c r="AV9" s="19">
        <f>(Operations!AV33-Operations!AV37-Reserves!AV22-AV6-Debt!AV64-Tax!AV13-Tax!AV14-Debt!AV65-Tax!AV23)*(1-Time!AV20)+AV8</f>
        <v/>
      </c>
      <c r="AW9" s="19">
        <f>(Operations!AW33-Operations!AW37-Reserves!AW22-AW6-Debt!AW64-Tax!AW13-Tax!AW14-Debt!AW65-Tax!AW23)*(1-Time!AW20)+AW8</f>
        <v/>
      </c>
      <c r="AX9" s="19">
        <f>(Operations!AX33-Operations!AX37-Reserves!AX22-AX6-Debt!AX64-Tax!AX13-Tax!AX14-Debt!AX65-Tax!AX23)*(1-Time!AX20)+AX8</f>
        <v/>
      </c>
      <c r="AY9" s="19">
        <f>(Operations!AY33-Operations!AY37-Reserves!AY22-AY6-Debt!AY64-Tax!AY13-Tax!AY14-Debt!AY65-Tax!AY23)*(1-Time!AY20)+AY8</f>
        <v/>
      </c>
      <c r="AZ9" s="19">
        <f>(Operations!AZ33-Operations!AZ37-Reserves!AZ22-AZ6-Debt!AZ64-Tax!AZ13-Tax!AZ14-Debt!AZ65-Tax!AZ23)*(1-Time!AZ20)+AZ8</f>
        <v/>
      </c>
      <c r="BA9" s="19">
        <f>(Operations!BA33-Operations!BA37-Reserves!BA22-BA6-Debt!BA64-Tax!BA13-Tax!BA14-Debt!BA65-Tax!BA23)*(1-Time!BA20)+BA8</f>
        <v/>
      </c>
      <c r="BB9" s="19">
        <f>(Operations!BB33-Operations!BB37-Reserves!BB22-BB6-Debt!BB64-Tax!BB13-Tax!BB14-Debt!BB65-Tax!BB23)*(1-Time!BB20)+BB8</f>
        <v/>
      </c>
      <c r="BC9" s="19">
        <f>(Operations!BC33-Operations!BC37-Reserves!BC22-BC6-Debt!BC64-Tax!BC13-Tax!BC14-Debt!BC65-Tax!BC23)*(1-Time!BC20)+BC8</f>
        <v/>
      </c>
      <c r="BD9" s="19">
        <f>(Operations!BD33-Operations!BD37-Reserves!BD22-BD6-Debt!BD64-Tax!BD13-Tax!BD14-Debt!BD65-Tax!BD23)*(1-Time!BD20)+BD8</f>
        <v/>
      </c>
      <c r="BE9" s="19">
        <f>(Operations!BE33-Operations!BE37-Reserves!BE22-BE6-Debt!BE64-Tax!BE13-Tax!BE14-Debt!BE65-Tax!BE23)*(1-Time!BE20)+BE8</f>
        <v/>
      </c>
      <c r="BF9" s="19">
        <f>(Operations!BF33-Operations!BF37-Reserves!BF22-BF6-Debt!BF64-Tax!BF13-Tax!BF14-Debt!BF65-Tax!BF23)*(1-Time!BF20)+BF8</f>
        <v/>
      </c>
      <c r="BG9" s="19">
        <f>(Operations!BG33-Operations!BG37-Reserves!BG22-BG6-Debt!BG64-Tax!BG13-Tax!BG14-Debt!BG65-Tax!BG23)*(1-Time!BG20)+BG8</f>
        <v/>
      </c>
      <c r="BH9" s="19">
        <f>(Operations!BH33-Operations!BH37-Reserves!BH22-BH6-Debt!BH64-Tax!BH13-Tax!BH14-Debt!BH65-Tax!BH23)*(1-Time!BH20)+BH8</f>
        <v/>
      </c>
      <c r="BI9" s="19">
        <f>(Operations!BI33-Operations!BI37-Reserves!BI22-BI6-Debt!BI64-Tax!BI13-Tax!BI14-Debt!BI65-Tax!BI23)*(1-Time!BI20)+BI8</f>
        <v/>
      </c>
      <c r="BJ9" s="19">
        <f>(Operations!BJ33-Operations!BJ37-Reserves!BJ22-BJ6-Debt!BJ64-Tax!BJ13-Tax!BJ14-Debt!BJ65-Tax!BJ23)*(1-Time!BJ20)+BJ8</f>
        <v/>
      </c>
      <c r="BK9" s="19">
        <f>(Operations!BK33-Operations!BK37-Reserves!BK22-BK6-Debt!BK64-Tax!BK13-Tax!BK14-Debt!BK65-Tax!BK23)*(1-Time!BK20)+BK8</f>
        <v/>
      </c>
      <c r="BL9" s="19">
        <f>(Operations!BL33-Operations!BL37-Reserves!BL22-BL6-Debt!BL64-Tax!BL13-Tax!BL14-Debt!BL65-Tax!BL23)*(1-Time!BL20)+BL8</f>
        <v/>
      </c>
      <c r="BM9" s="19">
        <f>(Operations!BM33-Operations!BM37-Reserves!BM22-BM6-Debt!BM64-Tax!BM13-Tax!BM14-Debt!BM65-Tax!BM23)*(1-Time!BM20)+BM8</f>
        <v/>
      </c>
      <c r="BN9" s="19">
        <f>(Operations!BN33-Operations!BN37-Reserves!BN22-BN6-Debt!BN64-Tax!BN13-Tax!BN14-Debt!BN65-Tax!BN23)*(1-Time!BN20)+BN8</f>
        <v/>
      </c>
      <c r="BO9" s="19">
        <f>(Operations!BO33-Operations!BO37-Reserves!BO22-BO6-Debt!BO64-Tax!BO13-Tax!BO14-Debt!BO65-Tax!BO23)*(1-Time!BO20)+BO8</f>
        <v/>
      </c>
      <c r="BP9" s="19">
        <f>(Operations!BP33-Operations!BP37-Reserves!BP22-BP6-Debt!BP64-Tax!BP13-Tax!BP14-Debt!BP65-Tax!BP23)*(1-Time!BP20)+BP8</f>
        <v/>
      </c>
      <c r="BQ9" s="19">
        <f>(Operations!BQ33-Operations!BQ37-Reserves!BQ22-BQ6-Debt!BQ64-Tax!BQ13-Tax!BQ14-Debt!BQ65-Tax!BQ23)*(1-Time!BQ20)+BQ8</f>
        <v/>
      </c>
      <c r="BR9" s="19">
        <f>(Operations!BR33-Operations!BR37-Reserves!BR22-BR6-Debt!BR64-Tax!BR13-Tax!BR14-Debt!BR65-Tax!BR23)*(1-Time!BR20)+BR8</f>
        <v/>
      </c>
      <c r="BS9" s="19">
        <f>(Operations!BS33-Operations!BS37-Reserves!BS22-BS6-Debt!BS64-Tax!BS13-Tax!BS14-Debt!BS65-Tax!BS23)*(1-Time!BS20)+BS8</f>
        <v/>
      </c>
      <c r="BT9" s="19">
        <f>(Operations!BT33-Operations!BT37-Reserves!BT22-BT6-Debt!BT64-Tax!BT13-Tax!BT14-Debt!BT65-Tax!BT23)*(1-Time!BT20)+BT8</f>
        <v/>
      </c>
      <c r="BU9" s="19">
        <f>(Operations!BU33-Operations!BU37-Reserves!BU22-BU6-Debt!BU64-Tax!BU13-Tax!BU14-Debt!BU65-Tax!BU23)*(1-Time!BU20)+BU8</f>
        <v/>
      </c>
      <c r="BV9" s="19">
        <f>(Operations!BV33-Operations!BV37-Reserves!BV22-BV6-Debt!BV64-Tax!BV13-Tax!BV14-Debt!BV65-Tax!BV23)*(1-Time!BV20)+BV8</f>
        <v/>
      </c>
      <c r="BW9" s="19">
        <f>(Operations!BW33-Operations!BW37-Reserves!BW22-BW6-Debt!BW64-Tax!BW13-Tax!BW14-Debt!BW65-Tax!BW23)*(1-Time!BW20)+BW8</f>
        <v/>
      </c>
      <c r="BX9" s="19">
        <f>(Operations!BX33-Operations!BX37-Reserves!BX22-BX6-Debt!BX64-Tax!BX13-Tax!BX14-Debt!BX65-Tax!BX23)*(1-Time!BX20)+BX8</f>
        <v/>
      </c>
      <c r="BY9" s="19">
        <f>(Operations!BY33-Operations!BY37-Reserves!BY22-BY6-Debt!BY64-Tax!BY13-Tax!BY14-Debt!BY65-Tax!BY23)*(1-Time!BY20)+BY8</f>
        <v/>
      </c>
      <c r="BZ9" s="19">
        <f>(Operations!BZ33-Operations!BZ37-Reserves!BZ22-BZ6-Debt!BZ64-Tax!BZ13-Tax!BZ14-Debt!BZ65-Tax!BZ23)*(1-Time!BZ20)+BZ8</f>
        <v/>
      </c>
      <c r="CA9" s="19">
        <f>(Operations!CA33-Operations!CA37-Reserves!CA22-CA6-Debt!CA64-Tax!CA13-Tax!CA14-Debt!CA65-Tax!CA23)*(1-Time!CA20)+CA8</f>
        <v/>
      </c>
      <c r="CB9" s="19">
        <f>(Operations!CB33-Operations!CB37-Reserves!CB22-CB6-Debt!CB64-Tax!CB13-Tax!CB14-Debt!CB65-Tax!CB23)*(1-Time!CB20)+CB8</f>
        <v/>
      </c>
      <c r="CC9" s="19">
        <f>(Operations!CC33-Operations!CC37-Reserves!CC22-CC6-Debt!CC64-Tax!CC13-Tax!CC14-Debt!CC65-Tax!CC23)*(1-Time!CC20)+CC8</f>
        <v/>
      </c>
      <c r="CD9" s="19">
        <f>(Operations!CD33-Operations!CD37-Reserves!CD22-CD6-Debt!CD64-Tax!CD13-Tax!CD14-Debt!CD65-Tax!CD23)*(1-Time!CD20)+CD8</f>
        <v/>
      </c>
      <c r="CE9" s="19">
        <f>(Operations!CE33-Operations!CE37-Reserves!CE22-CE6-Debt!CE64-Tax!CE13-Tax!CE14-Debt!CE65-Tax!CE23)*(1-Time!CE20)+CE8</f>
        <v/>
      </c>
      <c r="CF9" s="19">
        <f>(Operations!CF33-Operations!CF37-Reserves!CF22-CF6-Debt!CF64-Tax!CF13-Tax!CF14-Debt!CF65-Tax!CF23)*(1-Time!CF20)+CF8</f>
        <v/>
      </c>
      <c r="CG9" s="19">
        <f>(Operations!CG33-Operations!CG37-Reserves!CG22-CG6-Debt!CG64-Tax!CG13-Tax!CG14-Debt!CG65-Tax!CG23)*(1-Time!CG20)+CG8</f>
        <v/>
      </c>
      <c r="CH9" s="19">
        <f>(Operations!CH33-Operations!CH37-Reserves!CH22-CH6-Debt!CH64-Tax!CH13-Tax!CH14-Debt!CH65-Tax!CH23)*(1-Time!CH20)+CH8</f>
        <v/>
      </c>
      <c r="CI9" s="19">
        <f>(Operations!CI33-Operations!CI37-Reserves!CI22-CI6-Debt!CI64-Tax!CI13-Tax!CI14-Debt!CI65-Tax!CI23)*(1-Time!CI20)+CI8</f>
        <v/>
      </c>
      <c r="CJ9" s="19">
        <f>(Operations!CJ33-Operations!CJ37-Reserves!CJ22-CJ6-Debt!CJ64-Tax!CJ13-Tax!CJ14-Debt!CJ65-Tax!CJ23)*(1-Time!CJ20)+CJ8</f>
        <v/>
      </c>
      <c r="CK9" s="19">
        <f>(Operations!CK33-Operations!CK37-Reserves!CK22-CK6-Debt!CK64-Tax!CK13-Tax!CK14-Debt!CK65-Tax!CK23)*(1-Time!CK20)+CK8</f>
        <v/>
      </c>
      <c r="CL9" s="19">
        <f>(Operations!CL33-Operations!CL37-Reserves!CL22-CL6-Debt!CL64-Tax!CL13-Tax!CL14-Debt!CL65-Tax!CL23)*(1-Time!CL20)+CL8</f>
        <v/>
      </c>
      <c r="CM9" s="19">
        <f>(Operations!CM33-Operations!CM37-Reserves!CM22-CM6-Debt!CM64-Tax!CM13-Tax!CM14-Debt!CM65-Tax!CM23)*(1-Time!CM20)+CM8</f>
        <v/>
      </c>
      <c r="CN9" s="19">
        <f>(Operations!CN33-Operations!CN37-Reserves!CN22-CN6-Debt!CN64-Tax!CN13-Tax!CN14-Debt!CN65-Tax!CN23)*(1-Time!CN20)+CN8</f>
        <v/>
      </c>
      <c r="CO9" s="19">
        <f>(Operations!CO33-Operations!CO37-Reserves!CO22-CO6-Debt!CO64-Tax!CO13-Tax!CO14-Debt!CO65-Tax!CO23)*(1-Time!CO20)+CO8</f>
        <v/>
      </c>
      <c r="CP9" s="19">
        <f>(Operations!CP33-Operations!CP37-Reserves!CP22-CP6-Debt!CP64-Tax!CP13-Tax!CP14-Debt!CP65-Tax!CP23)*(1-Time!CP20)+CP8</f>
        <v/>
      </c>
      <c r="CQ9" s="19">
        <f>(Operations!CQ33-Operations!CQ37-Reserves!CQ22-CQ6-Debt!CQ64-Tax!CQ13-Tax!CQ14-Debt!CQ65-Tax!CQ23)*(1-Time!CQ20)+CQ8</f>
        <v/>
      </c>
      <c r="CR9" s="19">
        <f>(Operations!CR33-Operations!CR37-Reserves!CR22-CR6-Debt!CR64-Tax!CR13-Tax!CR14-Debt!CR65-Tax!CR23)*(1-Time!CR20)+CR8</f>
        <v/>
      </c>
      <c r="CS9" s="19">
        <f>(Operations!CS33-Operations!CS37-Reserves!CS22-CS6-Debt!CS64-Tax!CS13-Tax!CS14-Debt!CS65-Tax!CS23)*(1-Time!CS20)+CS8</f>
        <v/>
      </c>
      <c r="CT9" s="19">
        <f>(Operations!CT33-Operations!CT37-Reserves!CT22-CT6-Debt!CT64-Tax!CT13-Tax!CT14-Debt!CT65-Tax!CT23)*(1-Time!CT20)+CT8</f>
        <v/>
      </c>
      <c r="CU9" s="19">
        <f>(Operations!CU33-Operations!CU37-Reserves!CU22-CU6-Debt!CU64-Tax!CU13-Tax!CU14-Debt!CU65-Tax!CU23)*(1-Time!CU20)+CU8</f>
        <v/>
      </c>
      <c r="CV9" s="19">
        <f>(Operations!CV33-Operations!CV37-Reserves!CV22-CV6-Debt!CV64-Tax!CV13-Tax!CV14-Debt!CV65-Tax!CV23)*(1-Time!CV20)+CV8</f>
        <v/>
      </c>
      <c r="CW9" s="19">
        <f>(Operations!CW33-Operations!CW37-Reserves!CW22-CW6-Debt!CW64-Tax!CW13-Tax!CW14-Debt!CW65-Tax!CW23)*(1-Time!CW20)+CW8</f>
        <v/>
      </c>
      <c r="CX9" s="19">
        <f>(Operations!CX33-Operations!CX37-Reserves!CX22-CX6-Debt!CX64-Tax!CX13-Tax!CX14-Debt!CX65-Tax!CX23)*(1-Time!CX20)+CX8</f>
        <v/>
      </c>
      <c r="CY9" s="19">
        <f>(Operations!CY33-Operations!CY37-Reserves!CY22-CY6-Debt!CY64-Tax!CY13-Tax!CY14-Debt!CY65-Tax!CY23)*(1-Time!CY20)+CY8</f>
        <v/>
      </c>
      <c r="CZ9" s="19">
        <f>(Operations!CZ33-Operations!CZ37-Reserves!CZ22-CZ6-Debt!CZ64-Tax!CZ13-Tax!CZ14-Debt!CZ65-Tax!CZ23)*(1-Time!CZ20)+CZ8</f>
        <v/>
      </c>
      <c r="DA9" s="19">
        <f>(Operations!DA33-Operations!DA37-Reserves!DA22-DA6-Debt!DA64-Tax!DA13-Tax!DA14-Debt!DA65-Tax!DA23)*(1-Time!DA20)+DA8</f>
        <v/>
      </c>
      <c r="DB9" s="19">
        <f>(Operations!DB33-Operations!DB37-Reserves!DB22-DB6-Debt!DB64-Tax!DB13-Tax!DB14-Debt!DB65-Tax!DB23)*(1-Time!DB20)+DB8</f>
        <v/>
      </c>
    </row>
    <row r="10">
      <c r="D10" s="3" t="inlineStr">
        <is>
          <t>Balance sheet</t>
        </is>
      </c>
    </row>
    <row r="11">
      <c r="D11" t="inlineStr">
        <is>
          <t>Total assets</t>
        </is>
      </c>
      <c r="E11" t="inlineStr">
        <is>
          <t>ARD m</t>
        </is>
      </c>
      <c r="J11" s="19">
        <f>J7+Operations!J42+Funding!J16+Reserves!J13+Reserves!J16+Reserves!J19+Reserves!J23+Reserves!J27+Reserves!J30+Waterfall!J51</f>
        <v/>
      </c>
      <c r="K11" s="19">
        <f>K7+Operations!K42+Funding!K16+Reserves!K13+Reserves!K16+Reserves!K19+Reserves!K23+Reserves!K27+Reserves!K30+Waterfall!K51</f>
        <v/>
      </c>
      <c r="L11" s="19">
        <f>L7+Operations!L42+Funding!L16+Reserves!L13+Reserves!L16+Reserves!L19+Reserves!L23+Reserves!L27+Reserves!L30+Waterfall!L51</f>
        <v/>
      </c>
      <c r="M11" s="19">
        <f>M7+Operations!M42+Funding!M16+Reserves!M13+Reserves!M16+Reserves!M19+Reserves!M23+Reserves!M27+Reserves!M30+Waterfall!M51</f>
        <v/>
      </c>
      <c r="N11" s="19">
        <f>N7+Operations!N42+Funding!N16+Reserves!N13+Reserves!N16+Reserves!N19+Reserves!N23+Reserves!N27+Reserves!N30+Waterfall!N51</f>
        <v/>
      </c>
      <c r="O11" s="19">
        <f>O7+Operations!O42+Funding!O16+Reserves!O13+Reserves!O16+Reserves!O19+Reserves!O23+Reserves!O27+Reserves!O30+Waterfall!O51</f>
        <v/>
      </c>
      <c r="P11" s="19">
        <f>P7+Operations!P42+Funding!P16+Reserves!P13+Reserves!P16+Reserves!P19+Reserves!P23+Reserves!P27+Reserves!P30+Waterfall!P51</f>
        <v/>
      </c>
      <c r="Q11" s="19">
        <f>Q7+Operations!Q42+Funding!Q16+Reserves!Q13+Reserves!Q16+Reserves!Q19+Reserves!Q23+Reserves!Q27+Reserves!Q30+Waterfall!Q51</f>
        <v/>
      </c>
      <c r="R11" s="19">
        <f>R7+Operations!R42+Funding!R16+Reserves!R13+Reserves!R16+Reserves!R19+Reserves!R23+Reserves!R27+Reserves!R30+Waterfall!R51</f>
        <v/>
      </c>
      <c r="S11" s="19">
        <f>S7+Operations!S42+Funding!S16+Reserves!S13+Reserves!S16+Reserves!S19+Reserves!S23+Reserves!S27+Reserves!S30+Waterfall!S51</f>
        <v/>
      </c>
      <c r="T11" s="19">
        <f>T7+Operations!T42+Funding!T16+Reserves!T13+Reserves!T16+Reserves!T19+Reserves!T23+Reserves!T27+Reserves!T30+Waterfall!T51</f>
        <v/>
      </c>
      <c r="U11" s="19">
        <f>U7+Operations!U42+Funding!U16+Reserves!U13+Reserves!U16+Reserves!U19+Reserves!U23+Reserves!U27+Reserves!U30+Waterfall!U51</f>
        <v/>
      </c>
      <c r="V11" s="19">
        <f>V7+Operations!V42+Funding!V16+Reserves!V13+Reserves!V16+Reserves!V19+Reserves!V23+Reserves!V27+Reserves!V30+Waterfall!V51</f>
        <v/>
      </c>
      <c r="W11" s="19">
        <f>W7+Operations!W42+Funding!W16+Reserves!W13+Reserves!W16+Reserves!W19+Reserves!W23+Reserves!W27+Reserves!W30+Waterfall!W51</f>
        <v/>
      </c>
      <c r="X11" s="19">
        <f>X7+Operations!X42+Funding!X16+Reserves!X13+Reserves!X16+Reserves!X19+Reserves!X23+Reserves!X27+Reserves!X30+Waterfall!X51</f>
        <v/>
      </c>
      <c r="Y11" s="19">
        <f>Y7+Operations!Y42+Funding!Y16+Reserves!Y13+Reserves!Y16+Reserves!Y19+Reserves!Y23+Reserves!Y27+Reserves!Y30+Waterfall!Y51</f>
        <v/>
      </c>
      <c r="Z11" s="19">
        <f>Z7+Operations!Z42+Funding!Z16+Reserves!Z13+Reserves!Z16+Reserves!Z19+Reserves!Z23+Reserves!Z27+Reserves!Z30+Waterfall!Z51</f>
        <v/>
      </c>
      <c r="AA11" s="19">
        <f>AA7+Operations!AA42+Funding!AA16+Reserves!AA13+Reserves!AA16+Reserves!AA19+Reserves!AA23+Reserves!AA27+Reserves!AA30+Waterfall!AA51</f>
        <v/>
      </c>
      <c r="AB11" s="19">
        <f>AB7+Operations!AB42+Funding!AB16+Reserves!AB13+Reserves!AB16+Reserves!AB19+Reserves!AB23+Reserves!AB27+Reserves!AB30+Waterfall!AB51</f>
        <v/>
      </c>
      <c r="AC11" s="19">
        <f>AC7+Operations!AC42+Funding!AC16+Reserves!AC13+Reserves!AC16+Reserves!AC19+Reserves!AC23+Reserves!AC27+Reserves!AC30+Waterfall!AC51</f>
        <v/>
      </c>
      <c r="AD11" s="19">
        <f>AD7+Operations!AD42+Funding!AD16+Reserves!AD13+Reserves!AD16+Reserves!AD19+Reserves!AD23+Reserves!AD27+Reserves!AD30+Waterfall!AD51</f>
        <v/>
      </c>
      <c r="AE11" s="19">
        <f>AE7+Operations!AE42+Funding!AE16+Reserves!AE13+Reserves!AE16+Reserves!AE19+Reserves!AE23+Reserves!AE27+Reserves!AE30+Waterfall!AE51</f>
        <v/>
      </c>
      <c r="AF11" s="19">
        <f>AF7+Operations!AF42+Funding!AF16+Reserves!AF13+Reserves!AF16+Reserves!AF19+Reserves!AF23+Reserves!AF27+Reserves!AF30+Waterfall!AF51</f>
        <v/>
      </c>
      <c r="AG11" s="19">
        <f>AG7+Operations!AG42+Funding!AG16+Reserves!AG13+Reserves!AG16+Reserves!AG19+Reserves!AG23+Reserves!AG27+Reserves!AG30+Waterfall!AG51</f>
        <v/>
      </c>
      <c r="AH11" s="19">
        <f>AH7+Operations!AH42+Funding!AH16+Reserves!AH13+Reserves!AH16+Reserves!AH19+Reserves!AH23+Reserves!AH27+Reserves!AH30+Waterfall!AH51</f>
        <v/>
      </c>
      <c r="AI11" s="19">
        <f>AI7+Operations!AI42+Funding!AI16+Reserves!AI13+Reserves!AI16+Reserves!AI19+Reserves!AI23+Reserves!AI27+Reserves!AI30+Waterfall!AI51</f>
        <v/>
      </c>
      <c r="AJ11" s="19">
        <f>AJ7+Operations!AJ42+Funding!AJ16+Reserves!AJ13+Reserves!AJ16+Reserves!AJ19+Reserves!AJ23+Reserves!AJ27+Reserves!AJ30+Waterfall!AJ51</f>
        <v/>
      </c>
      <c r="AK11" s="19">
        <f>AK7+Operations!AK42+Funding!AK16+Reserves!AK13+Reserves!AK16+Reserves!AK19+Reserves!AK23+Reserves!AK27+Reserves!AK30+Waterfall!AK51</f>
        <v/>
      </c>
      <c r="AL11" s="19">
        <f>AL7+Operations!AL42+Funding!AL16+Reserves!AL13+Reserves!AL16+Reserves!AL19+Reserves!AL23+Reserves!AL27+Reserves!AL30+Waterfall!AL51</f>
        <v/>
      </c>
      <c r="AM11" s="19">
        <f>AM7+Operations!AM42+Funding!AM16+Reserves!AM13+Reserves!AM16+Reserves!AM19+Reserves!AM23+Reserves!AM27+Reserves!AM30+Waterfall!AM51</f>
        <v/>
      </c>
      <c r="AN11" s="19">
        <f>AN7+Operations!AN42+Funding!AN16+Reserves!AN13+Reserves!AN16+Reserves!AN19+Reserves!AN23+Reserves!AN27+Reserves!AN30+Waterfall!AN51</f>
        <v/>
      </c>
      <c r="AO11" s="19">
        <f>AO7+Operations!AO42+Funding!AO16+Reserves!AO13+Reserves!AO16+Reserves!AO19+Reserves!AO23+Reserves!AO27+Reserves!AO30+Waterfall!AO51</f>
        <v/>
      </c>
      <c r="AP11" s="19">
        <f>AP7+Operations!AP42+Funding!AP16+Reserves!AP13+Reserves!AP16+Reserves!AP19+Reserves!AP23+Reserves!AP27+Reserves!AP30+Waterfall!AP51</f>
        <v/>
      </c>
      <c r="AQ11" s="19">
        <f>AQ7+Operations!AQ42+Funding!AQ16+Reserves!AQ13+Reserves!AQ16+Reserves!AQ19+Reserves!AQ23+Reserves!AQ27+Reserves!AQ30+Waterfall!AQ51</f>
        <v/>
      </c>
      <c r="AR11" s="19">
        <f>AR7+Operations!AR42+Funding!AR16+Reserves!AR13+Reserves!AR16+Reserves!AR19+Reserves!AR23+Reserves!AR27+Reserves!AR30+Waterfall!AR51</f>
        <v/>
      </c>
      <c r="AS11" s="19">
        <f>AS7+Operations!AS42+Funding!AS16+Reserves!AS13+Reserves!AS16+Reserves!AS19+Reserves!AS23+Reserves!AS27+Reserves!AS30+Waterfall!AS51</f>
        <v/>
      </c>
      <c r="AT11" s="19">
        <f>AT7+Operations!AT42+Funding!AT16+Reserves!AT13+Reserves!AT16+Reserves!AT19+Reserves!AT23+Reserves!AT27+Reserves!AT30+Waterfall!AT51</f>
        <v/>
      </c>
      <c r="AU11" s="19">
        <f>AU7+Operations!AU42+Funding!AU16+Reserves!AU13+Reserves!AU16+Reserves!AU19+Reserves!AU23+Reserves!AU27+Reserves!AU30+Waterfall!AU51</f>
        <v/>
      </c>
      <c r="AV11" s="19">
        <f>AV7+Operations!AV42+Funding!AV16+Reserves!AV13+Reserves!AV16+Reserves!AV19+Reserves!AV23+Reserves!AV27+Reserves!AV30+Waterfall!AV51</f>
        <v/>
      </c>
      <c r="AW11" s="19">
        <f>AW7+Operations!AW42+Funding!AW16+Reserves!AW13+Reserves!AW16+Reserves!AW19+Reserves!AW23+Reserves!AW27+Reserves!AW30+Waterfall!AW51</f>
        <v/>
      </c>
      <c r="AX11" s="19">
        <f>AX7+Operations!AX42+Funding!AX16+Reserves!AX13+Reserves!AX16+Reserves!AX19+Reserves!AX23+Reserves!AX27+Reserves!AX30+Waterfall!AX51</f>
        <v/>
      </c>
      <c r="AY11" s="19">
        <f>AY7+Operations!AY42+Funding!AY16+Reserves!AY13+Reserves!AY16+Reserves!AY19+Reserves!AY23+Reserves!AY27+Reserves!AY30+Waterfall!AY51</f>
        <v/>
      </c>
      <c r="AZ11" s="19">
        <f>AZ7+Operations!AZ42+Funding!AZ16+Reserves!AZ13+Reserves!AZ16+Reserves!AZ19+Reserves!AZ23+Reserves!AZ27+Reserves!AZ30+Waterfall!AZ51</f>
        <v/>
      </c>
      <c r="BA11" s="19">
        <f>BA7+Operations!BA42+Funding!BA16+Reserves!BA13+Reserves!BA16+Reserves!BA19+Reserves!BA23+Reserves!BA27+Reserves!BA30+Waterfall!BA51</f>
        <v/>
      </c>
      <c r="BB11" s="19">
        <f>BB7+Operations!BB42+Funding!BB16+Reserves!BB13+Reserves!BB16+Reserves!BB19+Reserves!BB23+Reserves!BB27+Reserves!BB30+Waterfall!BB51</f>
        <v/>
      </c>
      <c r="BC11" s="19">
        <f>BC7+Operations!BC42+Funding!BC16+Reserves!BC13+Reserves!BC16+Reserves!BC19+Reserves!BC23+Reserves!BC27+Reserves!BC30+Waterfall!BC51</f>
        <v/>
      </c>
      <c r="BD11" s="19">
        <f>BD7+Operations!BD42+Funding!BD16+Reserves!BD13+Reserves!BD16+Reserves!BD19+Reserves!BD23+Reserves!BD27+Reserves!BD30+Waterfall!BD51</f>
        <v/>
      </c>
      <c r="BE11" s="19">
        <f>BE7+Operations!BE42+Funding!BE16+Reserves!BE13+Reserves!BE16+Reserves!BE19+Reserves!BE23+Reserves!BE27+Reserves!BE30+Waterfall!BE51</f>
        <v/>
      </c>
      <c r="BF11" s="19">
        <f>BF7+Operations!BF42+Funding!BF16+Reserves!BF13+Reserves!BF16+Reserves!BF19+Reserves!BF23+Reserves!BF27+Reserves!BF30+Waterfall!BF51</f>
        <v/>
      </c>
      <c r="BG11" s="19">
        <f>BG7+Operations!BG42+Funding!BG16+Reserves!BG13+Reserves!BG16+Reserves!BG19+Reserves!BG23+Reserves!BG27+Reserves!BG30+Waterfall!BG51</f>
        <v/>
      </c>
      <c r="BH11" s="19">
        <f>BH7+Operations!BH42+Funding!BH16+Reserves!BH13+Reserves!BH16+Reserves!BH19+Reserves!BH23+Reserves!BH27+Reserves!BH30+Waterfall!BH51</f>
        <v/>
      </c>
      <c r="BI11" s="19">
        <f>BI7+Operations!BI42+Funding!BI16+Reserves!BI13+Reserves!BI16+Reserves!BI19+Reserves!BI23+Reserves!BI27+Reserves!BI30+Waterfall!BI51</f>
        <v/>
      </c>
      <c r="BJ11" s="19">
        <f>BJ7+Operations!BJ42+Funding!BJ16+Reserves!BJ13+Reserves!BJ16+Reserves!BJ19+Reserves!BJ23+Reserves!BJ27+Reserves!BJ30+Waterfall!BJ51</f>
        <v/>
      </c>
      <c r="BK11" s="19">
        <f>BK7+Operations!BK42+Funding!BK16+Reserves!BK13+Reserves!BK16+Reserves!BK19+Reserves!BK23+Reserves!BK27+Reserves!BK30+Waterfall!BK51</f>
        <v/>
      </c>
      <c r="BL11" s="19">
        <f>BL7+Operations!BL42+Funding!BL16+Reserves!BL13+Reserves!BL16+Reserves!BL19+Reserves!BL23+Reserves!BL27+Reserves!BL30+Waterfall!BL51</f>
        <v/>
      </c>
      <c r="BM11" s="19">
        <f>BM7+Operations!BM42+Funding!BM16+Reserves!BM13+Reserves!BM16+Reserves!BM19+Reserves!BM23+Reserves!BM27+Reserves!BM30+Waterfall!BM51</f>
        <v/>
      </c>
      <c r="BN11" s="19">
        <f>BN7+Operations!BN42+Funding!BN16+Reserves!BN13+Reserves!BN16+Reserves!BN19+Reserves!BN23+Reserves!BN27+Reserves!BN30+Waterfall!BN51</f>
        <v/>
      </c>
      <c r="BO11" s="19">
        <f>BO7+Operations!BO42+Funding!BO16+Reserves!BO13+Reserves!BO16+Reserves!BO19+Reserves!BO23+Reserves!BO27+Reserves!BO30+Waterfall!BO51</f>
        <v/>
      </c>
      <c r="BP11" s="19">
        <f>BP7+Operations!BP42+Funding!BP16+Reserves!BP13+Reserves!BP16+Reserves!BP19+Reserves!BP23+Reserves!BP27+Reserves!BP30+Waterfall!BP51</f>
        <v/>
      </c>
      <c r="BQ11" s="19">
        <f>BQ7+Operations!BQ42+Funding!BQ16+Reserves!BQ13+Reserves!BQ16+Reserves!BQ19+Reserves!BQ23+Reserves!BQ27+Reserves!BQ30+Waterfall!BQ51</f>
        <v/>
      </c>
      <c r="BR11" s="19">
        <f>BR7+Operations!BR42+Funding!BR16+Reserves!BR13+Reserves!BR16+Reserves!BR19+Reserves!BR23+Reserves!BR27+Reserves!BR30+Waterfall!BR51</f>
        <v/>
      </c>
      <c r="BS11" s="19">
        <f>BS7+Operations!BS42+Funding!BS16+Reserves!BS13+Reserves!BS16+Reserves!BS19+Reserves!BS23+Reserves!BS27+Reserves!BS30+Waterfall!BS51</f>
        <v/>
      </c>
      <c r="BT11" s="19">
        <f>BT7+Operations!BT42+Funding!BT16+Reserves!BT13+Reserves!BT16+Reserves!BT19+Reserves!BT23+Reserves!BT27+Reserves!BT30+Waterfall!BT51</f>
        <v/>
      </c>
      <c r="BU11" s="19">
        <f>BU7+Operations!BU42+Funding!BU16+Reserves!BU13+Reserves!BU16+Reserves!BU19+Reserves!BU23+Reserves!BU27+Reserves!BU30+Waterfall!BU51</f>
        <v/>
      </c>
      <c r="BV11" s="19">
        <f>BV7+Operations!BV42+Funding!BV16+Reserves!BV13+Reserves!BV16+Reserves!BV19+Reserves!BV23+Reserves!BV27+Reserves!BV30+Waterfall!BV51</f>
        <v/>
      </c>
      <c r="BW11" s="19">
        <f>BW7+Operations!BW42+Funding!BW16+Reserves!BW13+Reserves!BW16+Reserves!BW19+Reserves!BW23+Reserves!BW27+Reserves!BW30+Waterfall!BW51</f>
        <v/>
      </c>
      <c r="BX11" s="19">
        <f>BX7+Operations!BX42+Funding!BX16+Reserves!BX13+Reserves!BX16+Reserves!BX19+Reserves!BX23+Reserves!BX27+Reserves!BX30+Waterfall!BX51</f>
        <v/>
      </c>
      <c r="BY11" s="19">
        <f>BY7+Operations!BY42+Funding!BY16+Reserves!BY13+Reserves!BY16+Reserves!BY19+Reserves!BY23+Reserves!BY27+Reserves!BY30+Waterfall!BY51</f>
        <v/>
      </c>
      <c r="BZ11" s="19">
        <f>BZ7+Operations!BZ42+Funding!BZ16+Reserves!BZ13+Reserves!BZ16+Reserves!BZ19+Reserves!BZ23+Reserves!BZ27+Reserves!BZ30+Waterfall!BZ51</f>
        <v/>
      </c>
      <c r="CA11" s="19">
        <f>CA7+Operations!CA42+Funding!CA16+Reserves!CA13+Reserves!CA16+Reserves!CA19+Reserves!CA23+Reserves!CA27+Reserves!CA30+Waterfall!CA51</f>
        <v/>
      </c>
      <c r="CB11" s="19">
        <f>CB7+Operations!CB42+Funding!CB16+Reserves!CB13+Reserves!CB16+Reserves!CB19+Reserves!CB23+Reserves!CB27+Reserves!CB30+Waterfall!CB51</f>
        <v/>
      </c>
      <c r="CC11" s="19">
        <f>CC7+Operations!CC42+Funding!CC16+Reserves!CC13+Reserves!CC16+Reserves!CC19+Reserves!CC23+Reserves!CC27+Reserves!CC30+Waterfall!CC51</f>
        <v/>
      </c>
      <c r="CD11" s="19">
        <f>CD7+Operations!CD42+Funding!CD16+Reserves!CD13+Reserves!CD16+Reserves!CD19+Reserves!CD23+Reserves!CD27+Reserves!CD30+Waterfall!CD51</f>
        <v/>
      </c>
      <c r="CE11" s="19">
        <f>CE7+Operations!CE42+Funding!CE16+Reserves!CE13+Reserves!CE16+Reserves!CE19+Reserves!CE23+Reserves!CE27+Reserves!CE30+Waterfall!CE51</f>
        <v/>
      </c>
      <c r="CF11" s="19">
        <f>CF7+Operations!CF42+Funding!CF16+Reserves!CF13+Reserves!CF16+Reserves!CF19+Reserves!CF23+Reserves!CF27+Reserves!CF30+Waterfall!CF51</f>
        <v/>
      </c>
      <c r="CG11" s="19">
        <f>CG7+Operations!CG42+Funding!CG16+Reserves!CG13+Reserves!CG16+Reserves!CG19+Reserves!CG23+Reserves!CG27+Reserves!CG30+Waterfall!CG51</f>
        <v/>
      </c>
      <c r="CH11" s="19">
        <f>CH7+Operations!CH42+Funding!CH16+Reserves!CH13+Reserves!CH16+Reserves!CH19+Reserves!CH23+Reserves!CH27+Reserves!CH30+Waterfall!CH51</f>
        <v/>
      </c>
      <c r="CI11" s="19">
        <f>CI7+Operations!CI42+Funding!CI16+Reserves!CI13+Reserves!CI16+Reserves!CI19+Reserves!CI23+Reserves!CI27+Reserves!CI30+Waterfall!CI51</f>
        <v/>
      </c>
      <c r="CJ11" s="19">
        <f>CJ7+Operations!CJ42+Funding!CJ16+Reserves!CJ13+Reserves!CJ16+Reserves!CJ19+Reserves!CJ23+Reserves!CJ27+Reserves!CJ30+Waterfall!CJ51</f>
        <v/>
      </c>
      <c r="CK11" s="19">
        <f>CK7+Operations!CK42+Funding!CK16+Reserves!CK13+Reserves!CK16+Reserves!CK19+Reserves!CK23+Reserves!CK27+Reserves!CK30+Waterfall!CK51</f>
        <v/>
      </c>
      <c r="CL11" s="19">
        <f>CL7+Operations!CL42+Funding!CL16+Reserves!CL13+Reserves!CL16+Reserves!CL19+Reserves!CL23+Reserves!CL27+Reserves!CL30+Waterfall!CL51</f>
        <v/>
      </c>
      <c r="CM11" s="19">
        <f>CM7+Operations!CM42+Funding!CM16+Reserves!CM13+Reserves!CM16+Reserves!CM19+Reserves!CM23+Reserves!CM27+Reserves!CM30+Waterfall!CM51</f>
        <v/>
      </c>
      <c r="CN11" s="19">
        <f>CN7+Operations!CN42+Funding!CN16+Reserves!CN13+Reserves!CN16+Reserves!CN19+Reserves!CN23+Reserves!CN27+Reserves!CN30+Waterfall!CN51</f>
        <v/>
      </c>
      <c r="CO11" s="19">
        <f>CO7+Operations!CO42+Funding!CO16+Reserves!CO13+Reserves!CO16+Reserves!CO19+Reserves!CO23+Reserves!CO27+Reserves!CO30+Waterfall!CO51</f>
        <v/>
      </c>
      <c r="CP11" s="19">
        <f>CP7+Operations!CP42+Funding!CP16+Reserves!CP13+Reserves!CP16+Reserves!CP19+Reserves!CP23+Reserves!CP27+Reserves!CP30+Waterfall!CP51</f>
        <v/>
      </c>
      <c r="CQ11" s="19">
        <f>CQ7+Operations!CQ42+Funding!CQ16+Reserves!CQ13+Reserves!CQ16+Reserves!CQ19+Reserves!CQ23+Reserves!CQ27+Reserves!CQ30+Waterfall!CQ51</f>
        <v/>
      </c>
      <c r="CR11" s="19">
        <f>CR7+Operations!CR42+Funding!CR16+Reserves!CR13+Reserves!CR16+Reserves!CR19+Reserves!CR23+Reserves!CR27+Reserves!CR30+Waterfall!CR51</f>
        <v/>
      </c>
      <c r="CS11" s="19">
        <f>CS7+Operations!CS42+Funding!CS16+Reserves!CS13+Reserves!CS16+Reserves!CS19+Reserves!CS23+Reserves!CS27+Reserves!CS30+Waterfall!CS51</f>
        <v/>
      </c>
      <c r="CT11" s="19">
        <f>CT7+Operations!CT42+Funding!CT16+Reserves!CT13+Reserves!CT16+Reserves!CT19+Reserves!CT23+Reserves!CT27+Reserves!CT30+Waterfall!CT51</f>
        <v/>
      </c>
      <c r="CU11" s="19">
        <f>CU7+Operations!CU42+Funding!CU16+Reserves!CU13+Reserves!CU16+Reserves!CU19+Reserves!CU23+Reserves!CU27+Reserves!CU30+Waterfall!CU51</f>
        <v/>
      </c>
      <c r="CV11" s="19">
        <f>CV7+Operations!CV42+Funding!CV16+Reserves!CV13+Reserves!CV16+Reserves!CV19+Reserves!CV23+Reserves!CV27+Reserves!CV30+Waterfall!CV51</f>
        <v/>
      </c>
      <c r="CW11" s="19">
        <f>CW7+Operations!CW42+Funding!CW16+Reserves!CW13+Reserves!CW16+Reserves!CW19+Reserves!CW23+Reserves!CW27+Reserves!CW30+Waterfall!CW51</f>
        <v/>
      </c>
      <c r="CX11" s="19">
        <f>CX7+Operations!CX42+Funding!CX16+Reserves!CX13+Reserves!CX16+Reserves!CX19+Reserves!CX23+Reserves!CX27+Reserves!CX30+Waterfall!CX51</f>
        <v/>
      </c>
      <c r="CY11" s="19">
        <f>CY7+Operations!CY42+Funding!CY16+Reserves!CY13+Reserves!CY16+Reserves!CY19+Reserves!CY23+Reserves!CY27+Reserves!CY30+Waterfall!CY51</f>
        <v/>
      </c>
      <c r="CZ11" s="19">
        <f>CZ7+Operations!CZ42+Funding!CZ16+Reserves!CZ13+Reserves!CZ16+Reserves!CZ19+Reserves!CZ23+Reserves!CZ27+Reserves!CZ30+Waterfall!CZ51</f>
        <v/>
      </c>
      <c r="DA11" s="19">
        <f>DA7+Operations!DA42+Funding!DA16+Reserves!DA13+Reserves!DA16+Reserves!DA19+Reserves!DA23+Reserves!DA27+Reserves!DA30+Waterfall!DA51</f>
        <v/>
      </c>
      <c r="DB11" s="19">
        <f>DB7+Operations!DB42+Funding!DB16+Reserves!DB13+Reserves!DB16+Reserves!DB19+Reserves!DB23+Reserves!DB27+Reserves!DB30+Waterfall!DB51</f>
        <v/>
      </c>
    </row>
    <row r="12">
      <c r="D12" t="inlineStr">
        <is>
          <t>Total liabilities</t>
        </is>
      </c>
      <c r="E12" t="inlineStr">
        <is>
          <t>ARD m</t>
        </is>
      </c>
      <c r="J12" s="19">
        <f>Debt!J47+Debt!J54+Debt!J60+Debt!J61+Debt!J94+Debt!J102+Funding!J40+Operations!J43+Waterfall!J59+Reserves!J27</f>
        <v/>
      </c>
      <c r="K12" s="19">
        <f>Debt!K47+Debt!K54+Debt!K60+Debt!K61+Debt!K94+Debt!K102+Funding!K40+Operations!K43+Waterfall!K59+Reserves!K27</f>
        <v/>
      </c>
      <c r="L12" s="19">
        <f>Debt!L47+Debt!L54+Debt!L60+Debt!L61+Debt!L94+Debt!L102+Funding!L40+Operations!L43+Waterfall!L59+Reserves!L27</f>
        <v/>
      </c>
      <c r="M12" s="19">
        <f>Debt!M47+Debt!M54+Debt!M60+Debt!M61+Debt!M94+Debt!M102+Funding!M40+Operations!M43+Waterfall!M59+Reserves!M27</f>
        <v/>
      </c>
      <c r="N12" s="19">
        <f>Debt!N47+Debt!N54+Debt!N60+Debt!N61+Debt!N94+Debt!N102+Funding!N40+Operations!N43+Waterfall!N59+Reserves!N27</f>
        <v/>
      </c>
      <c r="O12" s="19">
        <f>Debt!O47+Debt!O54+Debt!O60+Debt!O61+Debt!O94+Debt!O102+Funding!O40+Operations!O43+Waterfall!O59+Reserves!O27</f>
        <v/>
      </c>
      <c r="P12" s="19">
        <f>Debt!P47+Debt!P54+Debt!P60+Debt!P61+Debt!P94+Debt!P102+Funding!P40+Operations!P43+Waterfall!P59+Reserves!P27</f>
        <v/>
      </c>
      <c r="Q12" s="19">
        <f>Debt!Q47+Debt!Q54+Debt!Q60+Debt!Q61+Debt!Q94+Debt!Q102+Funding!Q40+Operations!Q43+Waterfall!Q59+Reserves!Q27</f>
        <v/>
      </c>
      <c r="R12" s="19">
        <f>Debt!R47+Debt!R54+Debt!R60+Debt!R61+Debt!R94+Debt!R102+Funding!R40+Operations!R43+Waterfall!R59+Reserves!R27</f>
        <v/>
      </c>
      <c r="S12" s="19">
        <f>Debt!S47+Debt!S54+Debt!S60+Debt!S61+Debt!S94+Debt!S102+Funding!S40+Operations!S43+Waterfall!S59+Reserves!S27</f>
        <v/>
      </c>
      <c r="T12" s="19">
        <f>Debt!T47+Debt!T54+Debt!T60+Debt!T61+Debt!T94+Debt!T102+Funding!T40+Operations!T43+Waterfall!T59+Reserves!T27</f>
        <v/>
      </c>
      <c r="U12" s="19">
        <f>Debt!U47+Debt!U54+Debt!U60+Debt!U61+Debt!U94+Debt!U102+Funding!U40+Operations!U43+Waterfall!U59+Reserves!U27</f>
        <v/>
      </c>
      <c r="V12" s="19">
        <f>Debt!V47+Debt!V54+Debt!V60+Debt!V61+Debt!V94+Debt!V102+Funding!V40+Operations!V43+Waterfall!V59+Reserves!V27</f>
        <v/>
      </c>
      <c r="W12" s="19">
        <f>Debt!W47+Debt!W54+Debt!W60+Debt!W61+Debt!W94+Debt!W102+Funding!W40+Operations!W43+Waterfall!W59+Reserves!W27</f>
        <v/>
      </c>
      <c r="X12" s="19">
        <f>Debt!X47+Debt!X54+Debt!X60+Debt!X61+Debt!X94+Debt!X102+Funding!X40+Operations!X43+Waterfall!X59+Reserves!X27</f>
        <v/>
      </c>
      <c r="Y12" s="19">
        <f>Debt!Y47+Debt!Y54+Debt!Y60+Debt!Y61+Debt!Y94+Debt!Y102+Funding!Y40+Operations!Y43+Waterfall!Y59+Reserves!Y27</f>
        <v/>
      </c>
      <c r="Z12" s="19">
        <f>Debt!Z47+Debt!Z54+Debt!Z60+Debt!Z61+Debt!Z94+Debt!Z102+Funding!Z40+Operations!Z43+Waterfall!Z59+Reserves!Z27</f>
        <v/>
      </c>
      <c r="AA12" s="19">
        <f>Debt!AA47+Debt!AA54+Debt!AA60+Debt!AA61+Debt!AA94+Debt!AA102+Funding!AA40+Operations!AA43+Waterfall!AA59+Reserves!AA27</f>
        <v/>
      </c>
      <c r="AB12" s="19">
        <f>Debt!AB47+Debt!AB54+Debt!AB60+Debt!AB61+Debt!AB94+Debt!AB102+Funding!AB40+Operations!AB43+Waterfall!AB59+Reserves!AB27</f>
        <v/>
      </c>
      <c r="AC12" s="19">
        <f>Debt!AC47+Debt!AC54+Debt!AC60+Debt!AC61+Debt!AC94+Debt!AC102+Funding!AC40+Operations!AC43+Waterfall!AC59+Reserves!AC27</f>
        <v/>
      </c>
      <c r="AD12" s="19">
        <f>Debt!AD47+Debt!AD54+Debt!AD60+Debt!AD61+Debt!AD94+Debt!AD102+Funding!AD40+Operations!AD43+Waterfall!AD59+Reserves!AD27</f>
        <v/>
      </c>
      <c r="AE12" s="19">
        <f>Debt!AE47+Debt!AE54+Debt!AE60+Debt!AE61+Debt!AE94+Debt!AE102+Funding!AE40+Operations!AE43+Waterfall!AE59+Reserves!AE27</f>
        <v/>
      </c>
      <c r="AF12" s="19">
        <f>Debt!AF47+Debt!AF54+Debt!AF60+Debt!AF61+Debt!AF94+Debt!AF102+Funding!AF40+Operations!AF43+Waterfall!AF59+Reserves!AF27</f>
        <v/>
      </c>
      <c r="AG12" s="19">
        <f>Debt!AG47+Debt!AG54+Debt!AG60+Debt!AG61+Debt!AG94+Debt!AG102+Funding!AG40+Operations!AG43+Waterfall!AG59+Reserves!AG27</f>
        <v/>
      </c>
      <c r="AH12" s="19">
        <f>Debt!AH47+Debt!AH54+Debt!AH60+Debt!AH61+Debt!AH94+Debt!AH102+Funding!AH40+Operations!AH43+Waterfall!AH59+Reserves!AH27</f>
        <v/>
      </c>
      <c r="AI12" s="19">
        <f>Debt!AI47+Debt!AI54+Debt!AI60+Debt!AI61+Debt!AI94+Debt!AI102+Funding!AI40+Operations!AI43+Waterfall!AI59+Reserves!AI27</f>
        <v/>
      </c>
      <c r="AJ12" s="19">
        <f>Debt!AJ47+Debt!AJ54+Debt!AJ60+Debt!AJ61+Debt!AJ94+Debt!AJ102+Funding!AJ40+Operations!AJ43+Waterfall!AJ59+Reserves!AJ27</f>
        <v/>
      </c>
      <c r="AK12" s="19">
        <f>Debt!AK47+Debt!AK54+Debt!AK60+Debt!AK61+Debt!AK94+Debt!AK102+Funding!AK40+Operations!AK43+Waterfall!AK59+Reserves!AK27</f>
        <v/>
      </c>
      <c r="AL12" s="19">
        <f>Debt!AL47+Debt!AL54+Debt!AL60+Debt!AL61+Debt!AL94+Debt!AL102+Funding!AL40+Operations!AL43+Waterfall!AL59+Reserves!AL27</f>
        <v/>
      </c>
      <c r="AM12" s="19">
        <f>Debt!AM47+Debt!AM54+Debt!AM60+Debt!AM61+Debt!AM94+Debt!AM102+Funding!AM40+Operations!AM43+Waterfall!AM59+Reserves!AM27</f>
        <v/>
      </c>
      <c r="AN12" s="19">
        <f>Debt!AN47+Debt!AN54+Debt!AN60+Debt!AN61+Debt!AN94+Debt!AN102+Funding!AN40+Operations!AN43+Waterfall!AN59+Reserves!AN27</f>
        <v/>
      </c>
      <c r="AO12" s="19">
        <f>Debt!AO47+Debt!AO54+Debt!AO60+Debt!AO61+Debt!AO94+Debt!AO102+Funding!AO40+Operations!AO43+Waterfall!AO59+Reserves!AO27</f>
        <v/>
      </c>
      <c r="AP12" s="19">
        <f>Debt!AP47+Debt!AP54+Debt!AP60+Debt!AP61+Debt!AP94+Debt!AP102+Funding!AP40+Operations!AP43+Waterfall!AP59+Reserves!AP27</f>
        <v/>
      </c>
      <c r="AQ12" s="19">
        <f>Debt!AQ47+Debt!AQ54+Debt!AQ60+Debt!AQ61+Debt!AQ94+Debt!AQ102+Funding!AQ40+Operations!AQ43+Waterfall!AQ59+Reserves!AQ27</f>
        <v/>
      </c>
      <c r="AR12" s="19">
        <f>Debt!AR47+Debt!AR54+Debt!AR60+Debt!AR61+Debt!AR94+Debt!AR102+Funding!AR40+Operations!AR43+Waterfall!AR59+Reserves!AR27</f>
        <v/>
      </c>
      <c r="AS12" s="19">
        <f>Debt!AS47+Debt!AS54+Debt!AS60+Debt!AS61+Debt!AS94+Debt!AS102+Funding!AS40+Operations!AS43+Waterfall!AS59+Reserves!AS27</f>
        <v/>
      </c>
      <c r="AT12" s="19">
        <f>Debt!AT47+Debt!AT54+Debt!AT60+Debt!AT61+Debt!AT94+Debt!AT102+Funding!AT40+Operations!AT43+Waterfall!AT59+Reserves!AT27</f>
        <v/>
      </c>
      <c r="AU12" s="19">
        <f>Debt!AU47+Debt!AU54+Debt!AU60+Debt!AU61+Debt!AU94+Debt!AU102+Funding!AU40+Operations!AU43+Waterfall!AU59+Reserves!AU27</f>
        <v/>
      </c>
      <c r="AV12" s="19">
        <f>Debt!AV47+Debt!AV54+Debt!AV60+Debt!AV61+Debt!AV94+Debt!AV102+Funding!AV40+Operations!AV43+Waterfall!AV59+Reserves!AV27</f>
        <v/>
      </c>
      <c r="AW12" s="19">
        <f>Debt!AW47+Debt!AW54+Debt!AW60+Debt!AW61+Debt!AW94+Debt!AW102+Funding!AW40+Operations!AW43+Waterfall!AW59+Reserves!AW27</f>
        <v/>
      </c>
      <c r="AX12" s="19">
        <f>Debt!AX47+Debt!AX54+Debt!AX60+Debt!AX61+Debt!AX94+Debt!AX102+Funding!AX40+Operations!AX43+Waterfall!AX59+Reserves!AX27</f>
        <v/>
      </c>
      <c r="AY12" s="19">
        <f>Debt!AY47+Debt!AY54+Debt!AY60+Debt!AY61+Debt!AY94+Debt!AY102+Funding!AY40+Operations!AY43+Waterfall!AY59+Reserves!AY27</f>
        <v/>
      </c>
      <c r="AZ12" s="19">
        <f>Debt!AZ47+Debt!AZ54+Debt!AZ60+Debt!AZ61+Debt!AZ94+Debt!AZ102+Funding!AZ40+Operations!AZ43+Waterfall!AZ59+Reserves!AZ27</f>
        <v/>
      </c>
      <c r="BA12" s="19">
        <f>Debt!BA47+Debt!BA54+Debt!BA60+Debt!BA61+Debt!BA94+Debt!BA102+Funding!BA40+Operations!BA43+Waterfall!BA59+Reserves!BA27</f>
        <v/>
      </c>
      <c r="BB12" s="19">
        <f>Debt!BB47+Debt!BB54+Debt!BB60+Debt!BB61+Debt!BB94+Debt!BB102+Funding!BB40+Operations!BB43+Waterfall!BB59+Reserves!BB27</f>
        <v/>
      </c>
      <c r="BC12" s="19">
        <f>Debt!BC47+Debt!BC54+Debt!BC60+Debt!BC61+Debt!BC94+Debt!BC102+Funding!BC40+Operations!BC43+Waterfall!BC59+Reserves!BC27</f>
        <v/>
      </c>
      <c r="BD12" s="19">
        <f>Debt!BD47+Debt!BD54+Debt!BD60+Debt!BD61+Debt!BD94+Debt!BD102+Funding!BD40+Operations!BD43+Waterfall!BD59+Reserves!BD27</f>
        <v/>
      </c>
      <c r="BE12" s="19">
        <f>Debt!BE47+Debt!BE54+Debt!BE60+Debt!BE61+Debt!BE94+Debt!BE102+Funding!BE40+Operations!BE43+Waterfall!BE59+Reserves!BE27</f>
        <v/>
      </c>
      <c r="BF12" s="19">
        <f>Debt!BF47+Debt!BF54+Debt!BF60+Debt!BF61+Debt!BF94+Debt!BF102+Funding!BF40+Operations!BF43+Waterfall!BF59+Reserves!BF27</f>
        <v/>
      </c>
      <c r="BG12" s="19">
        <f>Debt!BG47+Debt!BG54+Debt!BG60+Debt!BG61+Debt!BG94+Debt!BG102+Funding!BG40+Operations!BG43+Waterfall!BG59+Reserves!BG27</f>
        <v/>
      </c>
      <c r="BH12" s="19">
        <f>Debt!BH47+Debt!BH54+Debt!BH60+Debt!BH61+Debt!BH94+Debt!BH102+Funding!BH40+Operations!BH43+Waterfall!BH59+Reserves!BH27</f>
        <v/>
      </c>
      <c r="BI12" s="19">
        <f>Debt!BI47+Debt!BI54+Debt!BI60+Debt!BI61+Debt!BI94+Debt!BI102+Funding!BI40+Operations!BI43+Waterfall!BI59+Reserves!BI27</f>
        <v/>
      </c>
      <c r="BJ12" s="19">
        <f>Debt!BJ47+Debt!BJ54+Debt!BJ60+Debt!BJ61+Debt!BJ94+Debt!BJ102+Funding!BJ40+Operations!BJ43+Waterfall!BJ59+Reserves!BJ27</f>
        <v/>
      </c>
      <c r="BK12" s="19">
        <f>Debt!BK47+Debt!BK54+Debt!BK60+Debt!BK61+Debt!BK94+Debt!BK102+Funding!BK40+Operations!BK43+Waterfall!BK59+Reserves!BK27</f>
        <v/>
      </c>
      <c r="BL12" s="19">
        <f>Debt!BL47+Debt!BL54+Debt!BL60+Debt!BL61+Debt!BL94+Debt!BL102+Funding!BL40+Operations!BL43+Waterfall!BL59+Reserves!BL27</f>
        <v/>
      </c>
      <c r="BM12" s="19">
        <f>Debt!BM47+Debt!BM54+Debt!BM60+Debt!BM61+Debt!BM94+Debt!BM102+Funding!BM40+Operations!BM43+Waterfall!BM59+Reserves!BM27</f>
        <v/>
      </c>
      <c r="BN12" s="19">
        <f>Debt!BN47+Debt!BN54+Debt!BN60+Debt!BN61+Debt!BN94+Debt!BN102+Funding!BN40+Operations!BN43+Waterfall!BN59+Reserves!BN27</f>
        <v/>
      </c>
      <c r="BO12" s="19">
        <f>Debt!BO47+Debt!BO54+Debt!BO60+Debt!BO61+Debt!BO94+Debt!BO102+Funding!BO40+Operations!BO43+Waterfall!BO59+Reserves!BO27</f>
        <v/>
      </c>
      <c r="BP12" s="19">
        <f>Debt!BP47+Debt!BP54+Debt!BP60+Debt!BP61+Debt!BP94+Debt!BP102+Funding!BP40+Operations!BP43+Waterfall!BP59+Reserves!BP27</f>
        <v/>
      </c>
      <c r="BQ12" s="19">
        <f>Debt!BQ47+Debt!BQ54+Debt!BQ60+Debt!BQ61+Debt!BQ94+Debt!BQ102+Funding!BQ40+Operations!BQ43+Waterfall!BQ59+Reserves!BQ27</f>
        <v/>
      </c>
      <c r="BR12" s="19">
        <f>Debt!BR47+Debt!BR54+Debt!BR60+Debt!BR61+Debt!BR94+Debt!BR102+Funding!BR40+Operations!BR43+Waterfall!BR59+Reserves!BR27</f>
        <v/>
      </c>
      <c r="BS12" s="19">
        <f>Debt!BS47+Debt!BS54+Debt!BS60+Debt!BS61+Debt!BS94+Debt!BS102+Funding!BS40+Operations!BS43+Waterfall!BS59+Reserves!BS27</f>
        <v/>
      </c>
      <c r="BT12" s="19">
        <f>Debt!BT47+Debt!BT54+Debt!BT60+Debt!BT61+Debt!BT94+Debt!BT102+Funding!BT40+Operations!BT43+Waterfall!BT59+Reserves!BT27</f>
        <v/>
      </c>
      <c r="BU12" s="19">
        <f>Debt!BU47+Debt!BU54+Debt!BU60+Debt!BU61+Debt!BU94+Debt!BU102+Funding!BU40+Operations!BU43+Waterfall!BU59+Reserves!BU27</f>
        <v/>
      </c>
      <c r="BV12" s="19">
        <f>Debt!BV47+Debt!BV54+Debt!BV60+Debt!BV61+Debt!BV94+Debt!BV102+Funding!BV40+Operations!BV43+Waterfall!BV59+Reserves!BV27</f>
        <v/>
      </c>
      <c r="BW12" s="19">
        <f>Debt!BW47+Debt!BW54+Debt!BW60+Debt!BW61+Debt!BW94+Debt!BW102+Funding!BW40+Operations!BW43+Waterfall!BW59+Reserves!BW27</f>
        <v/>
      </c>
      <c r="BX12" s="19">
        <f>Debt!BX47+Debt!BX54+Debt!BX60+Debt!BX61+Debt!BX94+Debt!BX102+Funding!BX40+Operations!BX43+Waterfall!BX59+Reserves!BX27</f>
        <v/>
      </c>
      <c r="BY12" s="19">
        <f>Debt!BY47+Debt!BY54+Debt!BY60+Debt!BY61+Debt!BY94+Debt!BY102+Funding!BY40+Operations!BY43+Waterfall!BY59+Reserves!BY27</f>
        <v/>
      </c>
      <c r="BZ12" s="19">
        <f>Debt!BZ47+Debt!BZ54+Debt!BZ60+Debt!BZ61+Debt!BZ94+Debt!BZ102+Funding!BZ40+Operations!BZ43+Waterfall!BZ59+Reserves!BZ27</f>
        <v/>
      </c>
      <c r="CA12" s="19">
        <f>Debt!CA47+Debt!CA54+Debt!CA60+Debt!CA61+Debt!CA94+Debt!CA102+Funding!CA40+Operations!CA43+Waterfall!CA59+Reserves!CA27</f>
        <v/>
      </c>
      <c r="CB12" s="19">
        <f>Debt!CB47+Debt!CB54+Debt!CB60+Debt!CB61+Debt!CB94+Debt!CB102+Funding!CB40+Operations!CB43+Waterfall!CB59+Reserves!CB27</f>
        <v/>
      </c>
      <c r="CC12" s="19">
        <f>Debt!CC47+Debt!CC54+Debt!CC60+Debt!CC61+Debt!CC94+Debt!CC102+Funding!CC40+Operations!CC43+Waterfall!CC59+Reserves!CC27</f>
        <v/>
      </c>
      <c r="CD12" s="19">
        <f>Debt!CD47+Debt!CD54+Debt!CD60+Debt!CD61+Debt!CD94+Debt!CD102+Funding!CD40+Operations!CD43+Waterfall!CD59+Reserves!CD27</f>
        <v/>
      </c>
      <c r="CE12" s="19">
        <f>Debt!CE47+Debt!CE54+Debt!CE60+Debt!CE61+Debt!CE94+Debt!CE102+Funding!CE40+Operations!CE43+Waterfall!CE59+Reserves!CE27</f>
        <v/>
      </c>
      <c r="CF12" s="19">
        <f>Debt!CF47+Debt!CF54+Debt!CF60+Debt!CF61+Debt!CF94+Debt!CF102+Funding!CF40+Operations!CF43+Waterfall!CF59+Reserves!CF27</f>
        <v/>
      </c>
      <c r="CG12" s="19">
        <f>Debt!CG47+Debt!CG54+Debt!CG60+Debt!CG61+Debt!CG94+Debt!CG102+Funding!CG40+Operations!CG43+Waterfall!CG59+Reserves!CG27</f>
        <v/>
      </c>
      <c r="CH12" s="19">
        <f>Debt!CH47+Debt!CH54+Debt!CH60+Debt!CH61+Debt!CH94+Debt!CH102+Funding!CH40+Operations!CH43+Waterfall!CH59+Reserves!CH27</f>
        <v/>
      </c>
      <c r="CI12" s="19">
        <f>Debt!CI47+Debt!CI54+Debt!CI60+Debt!CI61+Debt!CI94+Debt!CI102+Funding!CI40+Operations!CI43+Waterfall!CI59+Reserves!CI27</f>
        <v/>
      </c>
      <c r="CJ12" s="19">
        <f>Debt!CJ47+Debt!CJ54+Debt!CJ60+Debt!CJ61+Debt!CJ94+Debt!CJ102+Funding!CJ40+Operations!CJ43+Waterfall!CJ59+Reserves!CJ27</f>
        <v/>
      </c>
      <c r="CK12" s="19">
        <f>Debt!CK47+Debt!CK54+Debt!CK60+Debt!CK61+Debt!CK94+Debt!CK102+Funding!CK40+Operations!CK43+Waterfall!CK59+Reserves!CK27</f>
        <v/>
      </c>
      <c r="CL12" s="19">
        <f>Debt!CL47+Debt!CL54+Debt!CL60+Debt!CL61+Debt!CL94+Debt!CL102+Funding!CL40+Operations!CL43+Waterfall!CL59+Reserves!CL27</f>
        <v/>
      </c>
      <c r="CM12" s="19">
        <f>Debt!CM47+Debt!CM54+Debt!CM60+Debt!CM61+Debt!CM94+Debt!CM102+Funding!CM40+Operations!CM43+Waterfall!CM59+Reserves!CM27</f>
        <v/>
      </c>
      <c r="CN12" s="19">
        <f>Debt!CN47+Debt!CN54+Debt!CN60+Debt!CN61+Debt!CN94+Debt!CN102+Funding!CN40+Operations!CN43+Waterfall!CN59+Reserves!CN27</f>
        <v/>
      </c>
      <c r="CO12" s="19">
        <f>Debt!CO47+Debt!CO54+Debt!CO60+Debt!CO61+Debt!CO94+Debt!CO102+Funding!CO40+Operations!CO43+Waterfall!CO59+Reserves!CO27</f>
        <v/>
      </c>
      <c r="CP12" s="19">
        <f>Debt!CP47+Debt!CP54+Debt!CP60+Debt!CP61+Debt!CP94+Debt!CP102+Funding!CP40+Operations!CP43+Waterfall!CP59+Reserves!CP27</f>
        <v/>
      </c>
      <c r="CQ12" s="19">
        <f>Debt!CQ47+Debt!CQ54+Debt!CQ60+Debt!CQ61+Debt!CQ94+Debt!CQ102+Funding!CQ40+Operations!CQ43+Waterfall!CQ59+Reserves!CQ27</f>
        <v/>
      </c>
      <c r="CR12" s="19">
        <f>Debt!CR47+Debt!CR54+Debt!CR60+Debt!CR61+Debt!CR94+Debt!CR102+Funding!CR40+Operations!CR43+Waterfall!CR59+Reserves!CR27</f>
        <v/>
      </c>
      <c r="CS12" s="19">
        <f>Debt!CS47+Debt!CS54+Debt!CS60+Debt!CS61+Debt!CS94+Debt!CS102+Funding!CS40+Operations!CS43+Waterfall!CS59+Reserves!CS27</f>
        <v/>
      </c>
      <c r="CT12" s="19">
        <f>Debt!CT47+Debt!CT54+Debt!CT60+Debt!CT61+Debt!CT94+Debt!CT102+Funding!CT40+Operations!CT43+Waterfall!CT59+Reserves!CT27</f>
        <v/>
      </c>
      <c r="CU12" s="19">
        <f>Debt!CU47+Debt!CU54+Debt!CU60+Debt!CU61+Debt!CU94+Debt!CU102+Funding!CU40+Operations!CU43+Waterfall!CU59+Reserves!CU27</f>
        <v/>
      </c>
      <c r="CV12" s="19">
        <f>Debt!CV47+Debt!CV54+Debt!CV60+Debt!CV61+Debt!CV94+Debt!CV102+Funding!CV40+Operations!CV43+Waterfall!CV59+Reserves!CV27</f>
        <v/>
      </c>
      <c r="CW12" s="19">
        <f>Debt!CW47+Debt!CW54+Debt!CW60+Debt!CW61+Debt!CW94+Debt!CW102+Funding!CW40+Operations!CW43+Waterfall!CW59+Reserves!CW27</f>
        <v/>
      </c>
      <c r="CX12" s="19">
        <f>Debt!CX47+Debt!CX54+Debt!CX60+Debt!CX61+Debt!CX94+Debt!CX102+Funding!CX40+Operations!CX43+Waterfall!CX59+Reserves!CX27</f>
        <v/>
      </c>
      <c r="CY12" s="19">
        <f>Debt!CY47+Debt!CY54+Debt!CY60+Debt!CY61+Debt!CY94+Debt!CY102+Funding!CY40+Operations!CY43+Waterfall!CY59+Reserves!CY27</f>
        <v/>
      </c>
      <c r="CZ12" s="19">
        <f>Debt!CZ47+Debt!CZ54+Debt!CZ60+Debt!CZ61+Debt!CZ94+Debt!CZ102+Funding!CZ40+Operations!CZ43+Waterfall!CZ59+Reserves!CZ27</f>
        <v/>
      </c>
      <c r="DA12" s="19">
        <f>Debt!DA47+Debt!DA54+Debt!DA60+Debt!DA61+Debt!DA94+Debt!DA102+Funding!DA40+Operations!DA43+Waterfall!DA59+Reserves!DA27</f>
        <v/>
      </c>
      <c r="DB12" s="19">
        <f>Debt!DB47+Debt!DB54+Debt!DB60+Debt!DB61+Debt!DB94+Debt!DB102+Funding!DB40+Operations!DB43+Waterfall!DB59+Reserves!DB27</f>
        <v/>
      </c>
    </row>
    <row r="13">
      <c r="D13" t="inlineStr">
        <is>
          <t>Share capital</t>
        </is>
      </c>
      <c r="E13" t="inlineStr">
        <is>
          <t>ARD m</t>
        </is>
      </c>
      <c r="J13" s="19">
        <f>I13+Funding!J37+Debt!J78+Inputs!$F$172*Time!J35</f>
        <v/>
      </c>
      <c r="K13" s="19">
        <f>J13+Funding!K37+Debt!K78+Inputs!$F$172*Time!K35</f>
        <v/>
      </c>
      <c r="L13" s="19">
        <f>K13+Funding!L37+Debt!L78+Inputs!$F$172*Time!L35</f>
        <v/>
      </c>
      <c r="M13" s="19">
        <f>L13+Funding!M37+Debt!M78+Inputs!$F$172*Time!M35</f>
        <v/>
      </c>
      <c r="N13" s="19">
        <f>M13+Funding!N37+Debt!N78+Inputs!$F$172*Time!N35</f>
        <v/>
      </c>
      <c r="O13" s="19">
        <f>N13+Funding!O37+Debt!O78+Inputs!$F$172*Time!O35</f>
        <v/>
      </c>
      <c r="P13" s="19">
        <f>O13+Funding!P37+Debt!P78+Inputs!$F$172*Time!P35</f>
        <v/>
      </c>
      <c r="Q13" s="19">
        <f>P13+Funding!Q37+Debt!Q78+Inputs!$F$172*Time!Q35</f>
        <v/>
      </c>
      <c r="R13" s="19">
        <f>Q13+Funding!R37+Debt!R78+Inputs!$F$172*Time!R35</f>
        <v/>
      </c>
      <c r="S13" s="19">
        <f>R13+Funding!S37+Debt!S78+Inputs!$F$172*Time!S35</f>
        <v/>
      </c>
      <c r="T13" s="19">
        <f>S13+Funding!T37+Debt!T78+Inputs!$F$172*Time!T35</f>
        <v/>
      </c>
      <c r="U13" s="19">
        <f>T13+Funding!U37+Debt!U78+Inputs!$F$172*Time!U35</f>
        <v/>
      </c>
      <c r="V13" s="19">
        <f>U13+Funding!V37+Debt!V78+Inputs!$F$172*Time!V35</f>
        <v/>
      </c>
      <c r="W13" s="19">
        <f>V13+Funding!W37+Debt!W78+Inputs!$F$172*Time!W35</f>
        <v/>
      </c>
      <c r="X13" s="19">
        <f>W13+Funding!X37+Debt!X78+Inputs!$F$172*Time!X35</f>
        <v/>
      </c>
      <c r="Y13" s="19">
        <f>X13+Funding!Y37+Debt!Y78+Inputs!$F$172*Time!Y35</f>
        <v/>
      </c>
      <c r="Z13" s="19">
        <f>Y13+Funding!Z37+Debt!Z78+Inputs!$F$172*Time!Z35</f>
        <v/>
      </c>
      <c r="AA13" s="19">
        <f>Z13+Funding!AA37+Debt!AA78+Inputs!$F$172*Time!AA35</f>
        <v/>
      </c>
      <c r="AB13" s="19">
        <f>AA13+Funding!AB37+Debt!AB78+Inputs!$F$172*Time!AB35</f>
        <v/>
      </c>
      <c r="AC13" s="19">
        <f>AB13+Funding!AC37+Debt!AC78+Inputs!$F$172*Time!AC35</f>
        <v/>
      </c>
      <c r="AD13" s="19">
        <f>AC13+Funding!AD37+Debt!AD78+Inputs!$F$172*Time!AD35</f>
        <v/>
      </c>
      <c r="AE13" s="19">
        <f>AD13+Funding!AE37+Debt!AE78+Inputs!$F$172*Time!AE35</f>
        <v/>
      </c>
      <c r="AF13" s="19">
        <f>AE13+Funding!AF37+Debt!AF78+Inputs!$F$172*Time!AF35</f>
        <v/>
      </c>
      <c r="AG13" s="19">
        <f>AF13+Funding!AG37+Debt!AG78+Inputs!$F$172*Time!AG35</f>
        <v/>
      </c>
      <c r="AH13" s="19">
        <f>AG13+Funding!AH37+Debt!AH78+Inputs!$F$172*Time!AH35</f>
        <v/>
      </c>
      <c r="AI13" s="19">
        <f>AH13+Funding!AI37+Debt!AI78+Inputs!$F$172*Time!AI35</f>
        <v/>
      </c>
      <c r="AJ13" s="19">
        <f>AI13+Funding!AJ37+Debt!AJ78+Inputs!$F$172*Time!AJ35</f>
        <v/>
      </c>
      <c r="AK13" s="19">
        <f>AJ13+Funding!AK37+Debt!AK78+Inputs!$F$172*Time!AK35</f>
        <v/>
      </c>
      <c r="AL13" s="19">
        <f>AK13+Funding!AL37+Debt!AL78+Inputs!$F$172*Time!AL35</f>
        <v/>
      </c>
      <c r="AM13" s="19">
        <f>AL13+Funding!AM37+Debt!AM78+Inputs!$F$172*Time!AM35</f>
        <v/>
      </c>
      <c r="AN13" s="19">
        <f>AM13+Funding!AN37+Debt!AN78+Inputs!$F$172*Time!AN35</f>
        <v/>
      </c>
      <c r="AO13" s="19">
        <f>AN13+Funding!AO37+Debt!AO78+Inputs!$F$172*Time!AO35</f>
        <v/>
      </c>
      <c r="AP13" s="19">
        <f>AO13+Funding!AP37+Debt!AP78+Inputs!$F$172*Time!AP35</f>
        <v/>
      </c>
      <c r="AQ13" s="19">
        <f>AP13+Funding!AQ37+Debt!AQ78+Inputs!$F$172*Time!AQ35</f>
        <v/>
      </c>
      <c r="AR13" s="19">
        <f>AQ13+Funding!AR37+Debt!AR78+Inputs!$F$172*Time!AR35</f>
        <v/>
      </c>
      <c r="AS13" s="19">
        <f>AR13+Funding!AS37+Debt!AS78+Inputs!$F$172*Time!AS35</f>
        <v/>
      </c>
      <c r="AT13" s="19">
        <f>AS13+Funding!AT37+Debt!AT78+Inputs!$F$172*Time!AT35</f>
        <v/>
      </c>
      <c r="AU13" s="19">
        <f>AT13+Funding!AU37+Debt!AU78+Inputs!$F$172*Time!AU35</f>
        <v/>
      </c>
      <c r="AV13" s="19">
        <f>AU13+Funding!AV37+Debt!AV78+Inputs!$F$172*Time!AV35</f>
        <v/>
      </c>
      <c r="AW13" s="19">
        <f>AV13+Funding!AW37+Debt!AW78+Inputs!$F$172*Time!AW35</f>
        <v/>
      </c>
      <c r="AX13" s="19">
        <f>AW13+Funding!AX37+Debt!AX78+Inputs!$F$172*Time!AX35</f>
        <v/>
      </c>
      <c r="AY13" s="19">
        <f>AX13+Funding!AY37+Debt!AY78+Inputs!$F$172*Time!AY35</f>
        <v/>
      </c>
      <c r="AZ13" s="19">
        <f>AY13+Funding!AZ37+Debt!AZ78+Inputs!$F$172*Time!AZ35</f>
        <v/>
      </c>
      <c r="BA13" s="19">
        <f>AZ13+Funding!BA37+Debt!BA78+Inputs!$F$172*Time!BA35</f>
        <v/>
      </c>
      <c r="BB13" s="19">
        <f>BA13+Funding!BB37+Debt!BB78+Inputs!$F$172*Time!BB35</f>
        <v/>
      </c>
      <c r="BC13" s="19">
        <f>BB13+Funding!BC37+Debt!BC78+Inputs!$F$172*Time!BC35</f>
        <v/>
      </c>
      <c r="BD13" s="19">
        <f>BC13+Funding!BD37+Debt!BD78+Inputs!$F$172*Time!BD35</f>
        <v/>
      </c>
      <c r="BE13" s="19">
        <f>BD13+Funding!BE37+Debt!BE78+Inputs!$F$172*Time!BE35</f>
        <v/>
      </c>
      <c r="BF13" s="19">
        <f>BE13+Funding!BF37+Debt!BF78+Inputs!$F$172*Time!BF35</f>
        <v/>
      </c>
      <c r="BG13" s="19">
        <f>BF13+Funding!BG37+Debt!BG78+Inputs!$F$172*Time!BG35</f>
        <v/>
      </c>
      <c r="BH13" s="19">
        <f>BG13+Funding!BH37+Debt!BH78+Inputs!$F$172*Time!BH35</f>
        <v/>
      </c>
      <c r="BI13" s="19">
        <f>BH13+Funding!BI37+Debt!BI78+Inputs!$F$172*Time!BI35</f>
        <v/>
      </c>
      <c r="BJ13" s="19">
        <f>BI13+Funding!BJ37+Debt!BJ78+Inputs!$F$172*Time!BJ35</f>
        <v/>
      </c>
      <c r="BK13" s="19">
        <f>BJ13+Funding!BK37+Debt!BK78+Inputs!$F$172*Time!BK35</f>
        <v/>
      </c>
      <c r="BL13" s="19">
        <f>BK13+Funding!BL37+Debt!BL78+Inputs!$F$172*Time!BL35</f>
        <v/>
      </c>
      <c r="BM13" s="19">
        <f>BL13+Funding!BM37+Debt!BM78+Inputs!$F$172*Time!BM35</f>
        <v/>
      </c>
      <c r="BN13" s="19">
        <f>BM13+Funding!BN37+Debt!BN78+Inputs!$F$172*Time!BN35</f>
        <v/>
      </c>
      <c r="BO13" s="19">
        <f>BN13+Funding!BO37+Debt!BO78+Inputs!$F$172*Time!BO35</f>
        <v/>
      </c>
      <c r="BP13" s="19">
        <f>BO13+Funding!BP37+Debt!BP78+Inputs!$F$172*Time!BP35</f>
        <v/>
      </c>
      <c r="BQ13" s="19">
        <f>BP13+Funding!BQ37+Debt!BQ78+Inputs!$F$172*Time!BQ35</f>
        <v/>
      </c>
      <c r="BR13" s="19">
        <f>BQ13+Funding!BR37+Debt!BR78+Inputs!$F$172*Time!BR35</f>
        <v/>
      </c>
      <c r="BS13" s="19">
        <f>BR13+Funding!BS37+Debt!BS78+Inputs!$F$172*Time!BS35</f>
        <v/>
      </c>
      <c r="BT13" s="19">
        <f>BS13+Funding!BT37+Debt!BT78+Inputs!$F$172*Time!BT35</f>
        <v/>
      </c>
      <c r="BU13" s="19">
        <f>BT13+Funding!BU37+Debt!BU78+Inputs!$F$172*Time!BU35</f>
        <v/>
      </c>
      <c r="BV13" s="19">
        <f>BU13+Funding!BV37+Debt!BV78+Inputs!$F$172*Time!BV35</f>
        <v/>
      </c>
      <c r="BW13" s="19">
        <f>BV13+Funding!BW37+Debt!BW78+Inputs!$F$172*Time!BW35</f>
        <v/>
      </c>
      <c r="BX13" s="19">
        <f>BW13+Funding!BX37+Debt!BX78+Inputs!$F$172*Time!BX35</f>
        <v/>
      </c>
      <c r="BY13" s="19">
        <f>BX13+Funding!BY37+Debt!BY78+Inputs!$F$172*Time!BY35</f>
        <v/>
      </c>
      <c r="BZ13" s="19">
        <f>BY13+Funding!BZ37+Debt!BZ78+Inputs!$F$172*Time!BZ35</f>
        <v/>
      </c>
      <c r="CA13" s="19">
        <f>BZ13+Funding!CA37+Debt!CA78+Inputs!$F$172*Time!CA35</f>
        <v/>
      </c>
      <c r="CB13" s="19">
        <f>CA13+Funding!CB37+Debt!CB78+Inputs!$F$172*Time!CB35</f>
        <v/>
      </c>
      <c r="CC13" s="19">
        <f>CB13+Funding!CC37+Debt!CC78+Inputs!$F$172*Time!CC35</f>
        <v/>
      </c>
      <c r="CD13" s="19">
        <f>CC13+Funding!CD37+Debt!CD78+Inputs!$F$172*Time!CD35</f>
        <v/>
      </c>
      <c r="CE13" s="19">
        <f>CD13+Funding!CE37+Debt!CE78+Inputs!$F$172*Time!CE35</f>
        <v/>
      </c>
      <c r="CF13" s="19">
        <f>CE13+Funding!CF37+Debt!CF78+Inputs!$F$172*Time!CF35</f>
        <v/>
      </c>
      <c r="CG13" s="19">
        <f>CF13+Funding!CG37+Debt!CG78+Inputs!$F$172*Time!CG35</f>
        <v/>
      </c>
      <c r="CH13" s="19">
        <f>CG13+Funding!CH37+Debt!CH78+Inputs!$F$172*Time!CH35</f>
        <v/>
      </c>
      <c r="CI13" s="19">
        <f>CH13+Funding!CI37+Debt!CI78+Inputs!$F$172*Time!CI35</f>
        <v/>
      </c>
      <c r="CJ13" s="19">
        <f>CI13+Funding!CJ37+Debt!CJ78+Inputs!$F$172*Time!CJ35</f>
        <v/>
      </c>
      <c r="CK13" s="19">
        <f>CJ13+Funding!CK37+Debt!CK78+Inputs!$F$172*Time!CK35</f>
        <v/>
      </c>
      <c r="CL13" s="19">
        <f>CK13+Funding!CL37+Debt!CL78+Inputs!$F$172*Time!CL35</f>
        <v/>
      </c>
      <c r="CM13" s="19">
        <f>CL13+Funding!CM37+Debt!CM78+Inputs!$F$172*Time!CM35</f>
        <v/>
      </c>
      <c r="CN13" s="19">
        <f>CM13+Funding!CN37+Debt!CN78+Inputs!$F$172*Time!CN35</f>
        <v/>
      </c>
      <c r="CO13" s="19">
        <f>CN13+Funding!CO37+Debt!CO78+Inputs!$F$172*Time!CO35</f>
        <v/>
      </c>
      <c r="CP13" s="19">
        <f>CO13+Funding!CP37+Debt!CP78+Inputs!$F$172*Time!CP35</f>
        <v/>
      </c>
      <c r="CQ13" s="19">
        <f>CP13+Funding!CQ37+Debt!CQ78+Inputs!$F$172*Time!CQ35</f>
        <v/>
      </c>
      <c r="CR13" s="19">
        <f>CQ13+Funding!CR37+Debt!CR78+Inputs!$F$172*Time!CR35</f>
        <v/>
      </c>
      <c r="CS13" s="19">
        <f>CR13+Funding!CS37+Debt!CS78+Inputs!$F$172*Time!CS35</f>
        <v/>
      </c>
      <c r="CT13" s="19">
        <f>CS13+Funding!CT37+Debt!CT78+Inputs!$F$172*Time!CT35</f>
        <v/>
      </c>
      <c r="CU13" s="19">
        <f>CT13+Funding!CU37+Debt!CU78+Inputs!$F$172*Time!CU35</f>
        <v/>
      </c>
      <c r="CV13" s="19">
        <f>CU13+Funding!CV37+Debt!CV78+Inputs!$F$172*Time!CV35</f>
        <v/>
      </c>
      <c r="CW13" s="19">
        <f>CV13+Funding!CW37+Debt!CW78+Inputs!$F$172*Time!CW35</f>
        <v/>
      </c>
      <c r="CX13" s="19">
        <f>CW13+Funding!CX37+Debt!CX78+Inputs!$F$172*Time!CX35</f>
        <v/>
      </c>
      <c r="CY13" s="19">
        <f>CX13+Funding!CY37+Debt!CY78+Inputs!$F$172*Time!CY35</f>
        <v/>
      </c>
      <c r="CZ13" s="19">
        <f>CY13+Funding!CZ37+Debt!CZ78+Inputs!$F$172*Time!CZ35</f>
        <v/>
      </c>
      <c r="DA13" s="19">
        <f>CZ13+Funding!DA37+Debt!DA78+Inputs!$F$172*Time!DA35</f>
        <v/>
      </c>
      <c r="DB13" s="19">
        <f>DA13+Funding!DB37+Debt!DB78+Inputs!$F$172*Time!DB35</f>
        <v/>
      </c>
    </row>
    <row r="14">
      <c r="D14" t="inlineStr">
        <is>
          <t>Shareholder loans forgiven (equity reserve)</t>
        </is>
      </c>
      <c r="E14" t="inlineStr">
        <is>
          <t>ARD m</t>
        </is>
      </c>
      <c r="J14" s="19">
        <f>I14+Debt!J80</f>
        <v/>
      </c>
      <c r="K14" s="19">
        <f>J14+Debt!K80</f>
        <v/>
      </c>
      <c r="L14" s="19">
        <f>K14+Debt!L80</f>
        <v/>
      </c>
      <c r="M14" s="19">
        <f>L14+Debt!M80</f>
        <v/>
      </c>
      <c r="N14" s="19">
        <f>M14+Debt!N80</f>
        <v/>
      </c>
      <c r="O14" s="19">
        <f>N14+Debt!O80</f>
        <v/>
      </c>
      <c r="P14" s="19">
        <f>O14+Debt!P80</f>
        <v/>
      </c>
      <c r="Q14" s="19">
        <f>P14+Debt!Q80</f>
        <v/>
      </c>
      <c r="R14" s="19">
        <f>Q14+Debt!R80</f>
        <v/>
      </c>
      <c r="S14" s="19">
        <f>R14+Debt!S80</f>
        <v/>
      </c>
      <c r="T14" s="19">
        <f>S14+Debt!T80</f>
        <v/>
      </c>
      <c r="U14" s="19">
        <f>T14+Debt!U80</f>
        <v/>
      </c>
      <c r="V14" s="19">
        <f>U14+Debt!V80</f>
        <v/>
      </c>
      <c r="W14" s="19">
        <f>V14+Debt!W80</f>
        <v/>
      </c>
      <c r="X14" s="19">
        <f>W14+Debt!X80</f>
        <v/>
      </c>
      <c r="Y14" s="19">
        <f>X14+Debt!Y80</f>
        <v/>
      </c>
      <c r="Z14" s="19">
        <f>Y14+Debt!Z80</f>
        <v/>
      </c>
      <c r="AA14" s="19">
        <f>Z14+Debt!AA80</f>
        <v/>
      </c>
      <c r="AB14" s="19">
        <f>AA14+Debt!AB80</f>
        <v/>
      </c>
      <c r="AC14" s="19">
        <f>AB14+Debt!AC80</f>
        <v/>
      </c>
      <c r="AD14" s="19">
        <f>AC14+Debt!AD80</f>
        <v/>
      </c>
      <c r="AE14" s="19">
        <f>AD14+Debt!AE80</f>
        <v/>
      </c>
      <c r="AF14" s="19">
        <f>AE14+Debt!AF80</f>
        <v/>
      </c>
      <c r="AG14" s="19">
        <f>AF14+Debt!AG80</f>
        <v/>
      </c>
      <c r="AH14" s="19">
        <f>AG14+Debt!AH80</f>
        <v/>
      </c>
      <c r="AI14" s="19">
        <f>AH14+Debt!AI80</f>
        <v/>
      </c>
      <c r="AJ14" s="19">
        <f>AI14+Debt!AJ80</f>
        <v/>
      </c>
      <c r="AK14" s="19">
        <f>AJ14+Debt!AK80</f>
        <v/>
      </c>
      <c r="AL14" s="19">
        <f>AK14+Debt!AL80</f>
        <v/>
      </c>
      <c r="AM14" s="19">
        <f>AL14+Debt!AM80</f>
        <v/>
      </c>
      <c r="AN14" s="19">
        <f>AM14+Debt!AN80</f>
        <v/>
      </c>
      <c r="AO14" s="19">
        <f>AN14+Debt!AO80</f>
        <v/>
      </c>
      <c r="AP14" s="19">
        <f>AO14+Debt!AP80</f>
        <v/>
      </c>
      <c r="AQ14" s="19">
        <f>AP14+Debt!AQ80</f>
        <v/>
      </c>
      <c r="AR14" s="19">
        <f>AQ14+Debt!AR80</f>
        <v/>
      </c>
      <c r="AS14" s="19">
        <f>AR14+Debt!AS80</f>
        <v/>
      </c>
      <c r="AT14" s="19">
        <f>AS14+Debt!AT80</f>
        <v/>
      </c>
      <c r="AU14" s="19">
        <f>AT14+Debt!AU80</f>
        <v/>
      </c>
      <c r="AV14" s="19">
        <f>AU14+Debt!AV80</f>
        <v/>
      </c>
      <c r="AW14" s="19">
        <f>AV14+Debt!AW80</f>
        <v/>
      </c>
      <c r="AX14" s="19">
        <f>AW14+Debt!AX80</f>
        <v/>
      </c>
      <c r="AY14" s="19">
        <f>AX14+Debt!AY80</f>
        <v/>
      </c>
      <c r="AZ14" s="19">
        <f>AY14+Debt!AZ80</f>
        <v/>
      </c>
      <c r="BA14" s="19">
        <f>AZ14+Debt!BA80</f>
        <v/>
      </c>
      <c r="BB14" s="19">
        <f>BA14+Debt!BB80</f>
        <v/>
      </c>
      <c r="BC14" s="19">
        <f>BB14+Debt!BC80</f>
        <v/>
      </c>
      <c r="BD14" s="19">
        <f>BC14+Debt!BD80</f>
        <v/>
      </c>
      <c r="BE14" s="19">
        <f>BD14+Debt!BE80</f>
        <v/>
      </c>
      <c r="BF14" s="19">
        <f>BE14+Debt!BF80</f>
        <v/>
      </c>
      <c r="BG14" s="19">
        <f>BF14+Debt!BG80</f>
        <v/>
      </c>
      <c r="BH14" s="19">
        <f>BG14+Debt!BH80</f>
        <v/>
      </c>
      <c r="BI14" s="19">
        <f>BH14+Debt!BI80</f>
        <v/>
      </c>
      <c r="BJ14" s="19">
        <f>BI14+Debt!BJ80</f>
        <v/>
      </c>
      <c r="BK14" s="19">
        <f>BJ14+Debt!BK80</f>
        <v/>
      </c>
      <c r="BL14" s="19">
        <f>BK14+Debt!BL80</f>
        <v/>
      </c>
      <c r="BM14" s="19">
        <f>BL14+Debt!BM80</f>
        <v/>
      </c>
      <c r="BN14" s="19">
        <f>BM14+Debt!BN80</f>
        <v/>
      </c>
      <c r="BO14" s="19">
        <f>BN14+Debt!BO80</f>
        <v/>
      </c>
      <c r="BP14" s="19">
        <f>BO14+Debt!BP80</f>
        <v/>
      </c>
      <c r="BQ14" s="19">
        <f>BP14+Debt!BQ80</f>
        <v/>
      </c>
      <c r="BR14" s="19">
        <f>BQ14+Debt!BR80</f>
        <v/>
      </c>
      <c r="BS14" s="19">
        <f>BR14+Debt!BS80</f>
        <v/>
      </c>
      <c r="BT14" s="19">
        <f>BS14+Debt!BT80</f>
        <v/>
      </c>
      <c r="BU14" s="19">
        <f>BT14+Debt!BU80</f>
        <v/>
      </c>
      <c r="BV14" s="19">
        <f>BU14+Debt!BV80</f>
        <v/>
      </c>
      <c r="BW14" s="19">
        <f>BV14+Debt!BW80</f>
        <v/>
      </c>
      <c r="BX14" s="19">
        <f>BW14+Debt!BX80</f>
        <v/>
      </c>
      <c r="BY14" s="19">
        <f>BX14+Debt!BY80</f>
        <v/>
      </c>
      <c r="BZ14" s="19">
        <f>BY14+Debt!BZ80</f>
        <v/>
      </c>
      <c r="CA14" s="19">
        <f>BZ14+Debt!CA80</f>
        <v/>
      </c>
      <c r="CB14" s="19">
        <f>CA14+Debt!CB80</f>
        <v/>
      </c>
      <c r="CC14" s="19">
        <f>CB14+Debt!CC80</f>
        <v/>
      </c>
      <c r="CD14" s="19">
        <f>CC14+Debt!CD80</f>
        <v/>
      </c>
      <c r="CE14" s="19">
        <f>CD14+Debt!CE80</f>
        <v/>
      </c>
      <c r="CF14" s="19">
        <f>CE14+Debt!CF80</f>
        <v/>
      </c>
      <c r="CG14" s="19">
        <f>CF14+Debt!CG80</f>
        <v/>
      </c>
      <c r="CH14" s="19">
        <f>CG14+Debt!CH80</f>
        <v/>
      </c>
      <c r="CI14" s="19">
        <f>CH14+Debt!CI80</f>
        <v/>
      </c>
      <c r="CJ14" s="19">
        <f>CI14+Debt!CJ80</f>
        <v/>
      </c>
      <c r="CK14" s="19">
        <f>CJ14+Debt!CK80</f>
        <v/>
      </c>
      <c r="CL14" s="19">
        <f>CK14+Debt!CL80</f>
        <v/>
      </c>
      <c r="CM14" s="19">
        <f>CL14+Debt!CM80</f>
        <v/>
      </c>
      <c r="CN14" s="19">
        <f>CM14+Debt!CN80</f>
        <v/>
      </c>
      <c r="CO14" s="19">
        <f>CN14+Debt!CO80</f>
        <v/>
      </c>
      <c r="CP14" s="19">
        <f>CO14+Debt!CP80</f>
        <v/>
      </c>
      <c r="CQ14" s="19">
        <f>CP14+Debt!CQ80</f>
        <v/>
      </c>
      <c r="CR14" s="19">
        <f>CQ14+Debt!CR80</f>
        <v/>
      </c>
      <c r="CS14" s="19">
        <f>CR14+Debt!CS80</f>
        <v/>
      </c>
      <c r="CT14" s="19">
        <f>CS14+Debt!CT80</f>
        <v/>
      </c>
      <c r="CU14" s="19">
        <f>CT14+Debt!CU80</f>
        <v/>
      </c>
      <c r="CV14" s="19">
        <f>CU14+Debt!CV80</f>
        <v/>
      </c>
      <c r="CW14" s="19">
        <f>CV14+Debt!CW80</f>
        <v/>
      </c>
      <c r="CX14" s="19">
        <f>CW14+Debt!CX80</f>
        <v/>
      </c>
      <c r="CY14" s="19">
        <f>CX14+Debt!CY80</f>
        <v/>
      </c>
      <c r="CZ14" s="19">
        <f>CY14+Debt!CZ80</f>
        <v/>
      </c>
      <c r="DA14" s="19">
        <f>CZ14+Debt!DA80</f>
        <v/>
      </c>
      <c r="DB14" s="19">
        <f>DA14+Debt!DB80</f>
        <v/>
      </c>
    </row>
    <row r="15">
      <c r="D15" t="inlineStr">
        <is>
          <t>Retained earnings</t>
        </is>
      </c>
      <c r="E15" t="inlineStr">
        <is>
          <t>ARD m</t>
        </is>
      </c>
      <c r="J15" s="19">
        <f>I15+J9-Waterfall!J57</f>
        <v/>
      </c>
      <c r="K15" s="19">
        <f>J15+K9-Waterfall!K57</f>
        <v/>
      </c>
      <c r="L15" s="19">
        <f>K15+L9-Waterfall!L57</f>
        <v/>
      </c>
      <c r="M15" s="19">
        <f>L15+M9-Waterfall!M57</f>
        <v/>
      </c>
      <c r="N15" s="19">
        <f>M15+N9-Waterfall!N57</f>
        <v/>
      </c>
      <c r="O15" s="19">
        <f>N15+O9-Waterfall!O57</f>
        <v/>
      </c>
      <c r="P15" s="19">
        <f>O15+P9-Waterfall!P57</f>
        <v/>
      </c>
      <c r="Q15" s="19">
        <f>P15+Q9-Waterfall!Q57</f>
        <v/>
      </c>
      <c r="R15" s="19">
        <f>Q15+R9-Waterfall!R57</f>
        <v/>
      </c>
      <c r="S15" s="19">
        <f>R15+S9-Waterfall!S57</f>
        <v/>
      </c>
      <c r="T15" s="19">
        <f>S15+T9-Waterfall!T57</f>
        <v/>
      </c>
      <c r="U15" s="19">
        <f>T15+U9-Waterfall!U57</f>
        <v/>
      </c>
      <c r="V15" s="19">
        <f>U15+V9-Waterfall!V57</f>
        <v/>
      </c>
      <c r="W15" s="19">
        <f>V15+W9-Waterfall!W57</f>
        <v/>
      </c>
      <c r="X15" s="19">
        <f>W15+X9-Waterfall!X57</f>
        <v/>
      </c>
      <c r="Y15" s="19">
        <f>X15+Y9-Waterfall!Y57</f>
        <v/>
      </c>
      <c r="Z15" s="19">
        <f>Y15+Z9-Waterfall!Z57</f>
        <v/>
      </c>
      <c r="AA15" s="19">
        <f>Z15+AA9-Waterfall!AA57</f>
        <v/>
      </c>
      <c r="AB15" s="19">
        <f>AA15+AB9-Waterfall!AB57</f>
        <v/>
      </c>
      <c r="AC15" s="19">
        <f>AB15+AC9-Waterfall!AC57</f>
        <v/>
      </c>
      <c r="AD15" s="19">
        <f>AC15+AD9-Waterfall!AD57</f>
        <v/>
      </c>
      <c r="AE15" s="19">
        <f>AD15+AE9-Waterfall!AE57</f>
        <v/>
      </c>
      <c r="AF15" s="19">
        <f>AE15+AF9-Waterfall!AF57</f>
        <v/>
      </c>
      <c r="AG15" s="19">
        <f>AF15+AG9-Waterfall!AG57</f>
        <v/>
      </c>
      <c r="AH15" s="19">
        <f>AG15+AH9-Waterfall!AH57</f>
        <v/>
      </c>
      <c r="AI15" s="19">
        <f>AH15+AI9-Waterfall!AI57</f>
        <v/>
      </c>
      <c r="AJ15" s="19">
        <f>AI15+AJ9-Waterfall!AJ57</f>
        <v/>
      </c>
      <c r="AK15" s="19">
        <f>AJ15+AK9-Waterfall!AK57</f>
        <v/>
      </c>
      <c r="AL15" s="19">
        <f>AK15+AL9-Waterfall!AL57</f>
        <v/>
      </c>
      <c r="AM15" s="19">
        <f>AL15+AM9-Waterfall!AM57</f>
        <v/>
      </c>
      <c r="AN15" s="19">
        <f>AM15+AN9-Waterfall!AN57</f>
        <v/>
      </c>
      <c r="AO15" s="19">
        <f>AN15+AO9-Waterfall!AO57</f>
        <v/>
      </c>
      <c r="AP15" s="19">
        <f>AO15+AP9-Waterfall!AP57</f>
        <v/>
      </c>
      <c r="AQ15" s="19">
        <f>AP15+AQ9-Waterfall!AQ57</f>
        <v/>
      </c>
      <c r="AR15" s="19">
        <f>AQ15+AR9-Waterfall!AR57</f>
        <v/>
      </c>
      <c r="AS15" s="19">
        <f>AR15+AS9-Waterfall!AS57</f>
        <v/>
      </c>
      <c r="AT15" s="19">
        <f>AS15+AT9-Waterfall!AT57</f>
        <v/>
      </c>
      <c r="AU15" s="19">
        <f>AT15+AU9-Waterfall!AU57</f>
        <v/>
      </c>
      <c r="AV15" s="19">
        <f>AU15+AV9-Waterfall!AV57</f>
        <v/>
      </c>
      <c r="AW15" s="19">
        <f>AV15+AW9-Waterfall!AW57</f>
        <v/>
      </c>
      <c r="AX15" s="19">
        <f>AW15+AX9-Waterfall!AX57</f>
        <v/>
      </c>
      <c r="AY15" s="19">
        <f>AX15+AY9-Waterfall!AY57</f>
        <v/>
      </c>
      <c r="AZ15" s="19">
        <f>AY15+AZ9-Waterfall!AZ57</f>
        <v/>
      </c>
      <c r="BA15" s="19">
        <f>AZ15+BA9-Waterfall!BA57</f>
        <v/>
      </c>
      <c r="BB15" s="19">
        <f>BA15+BB9-Waterfall!BB57</f>
        <v/>
      </c>
      <c r="BC15" s="19">
        <f>BB15+BC9-Waterfall!BC57</f>
        <v/>
      </c>
      <c r="BD15" s="19">
        <f>BC15+BD9-Waterfall!BD57</f>
        <v/>
      </c>
      <c r="BE15" s="19">
        <f>BD15+BE9-Waterfall!BE57</f>
        <v/>
      </c>
      <c r="BF15" s="19">
        <f>BE15+BF9-Waterfall!BF57</f>
        <v/>
      </c>
      <c r="BG15" s="19">
        <f>BF15+BG9-Waterfall!BG57</f>
        <v/>
      </c>
      <c r="BH15" s="19">
        <f>BG15+BH9-Waterfall!BH57</f>
        <v/>
      </c>
      <c r="BI15" s="19">
        <f>BH15+BI9-Waterfall!BI57</f>
        <v/>
      </c>
      <c r="BJ15" s="19">
        <f>BI15+BJ9-Waterfall!BJ57</f>
        <v/>
      </c>
      <c r="BK15" s="19">
        <f>BJ15+BK9-Waterfall!BK57</f>
        <v/>
      </c>
      <c r="BL15" s="19">
        <f>BK15+BL9-Waterfall!BL57</f>
        <v/>
      </c>
      <c r="BM15" s="19">
        <f>BL15+BM9-Waterfall!BM57</f>
        <v/>
      </c>
      <c r="BN15" s="19">
        <f>BM15+BN9-Waterfall!BN57</f>
        <v/>
      </c>
      <c r="BO15" s="19">
        <f>BN15+BO9-Waterfall!BO57</f>
        <v/>
      </c>
      <c r="BP15" s="19">
        <f>BO15+BP9-Waterfall!BP57</f>
        <v/>
      </c>
      <c r="BQ15" s="19">
        <f>BP15+BQ9-Waterfall!BQ57</f>
        <v/>
      </c>
      <c r="BR15" s="19">
        <f>BQ15+BR9-Waterfall!BR57</f>
        <v/>
      </c>
      <c r="BS15" s="19">
        <f>BR15+BS9-Waterfall!BS57</f>
        <v/>
      </c>
      <c r="BT15" s="19">
        <f>BS15+BT9-Waterfall!BT57</f>
        <v/>
      </c>
      <c r="BU15" s="19">
        <f>BT15+BU9-Waterfall!BU57</f>
        <v/>
      </c>
      <c r="BV15" s="19">
        <f>BU15+BV9-Waterfall!BV57</f>
        <v/>
      </c>
      <c r="BW15" s="19">
        <f>BV15+BW9-Waterfall!BW57</f>
        <v/>
      </c>
      <c r="BX15" s="19">
        <f>BW15+BX9-Waterfall!BX57</f>
        <v/>
      </c>
      <c r="BY15" s="19">
        <f>BX15+BY9-Waterfall!BY57</f>
        <v/>
      </c>
      <c r="BZ15" s="19">
        <f>BY15+BZ9-Waterfall!BZ57</f>
        <v/>
      </c>
      <c r="CA15" s="19">
        <f>BZ15+CA9-Waterfall!CA57</f>
        <v/>
      </c>
      <c r="CB15" s="19">
        <f>CA15+CB9-Waterfall!CB57</f>
        <v/>
      </c>
      <c r="CC15" s="19">
        <f>CB15+CC9-Waterfall!CC57</f>
        <v/>
      </c>
      <c r="CD15" s="19">
        <f>CC15+CD9-Waterfall!CD57</f>
        <v/>
      </c>
      <c r="CE15" s="19">
        <f>CD15+CE9-Waterfall!CE57</f>
        <v/>
      </c>
      <c r="CF15" s="19">
        <f>CE15+CF9-Waterfall!CF57</f>
        <v/>
      </c>
      <c r="CG15" s="19">
        <f>CF15+CG9-Waterfall!CG57</f>
        <v/>
      </c>
      <c r="CH15" s="19">
        <f>CG15+CH9-Waterfall!CH57</f>
        <v/>
      </c>
      <c r="CI15" s="19">
        <f>CH15+CI9-Waterfall!CI57</f>
        <v/>
      </c>
      <c r="CJ15" s="19">
        <f>CI15+CJ9-Waterfall!CJ57</f>
        <v/>
      </c>
      <c r="CK15" s="19">
        <f>CJ15+CK9-Waterfall!CK57</f>
        <v/>
      </c>
      <c r="CL15" s="19">
        <f>CK15+CL9-Waterfall!CL57</f>
        <v/>
      </c>
      <c r="CM15" s="19">
        <f>CL15+CM9-Waterfall!CM57</f>
        <v/>
      </c>
      <c r="CN15" s="19">
        <f>CM15+CN9-Waterfall!CN57</f>
        <v/>
      </c>
      <c r="CO15" s="19">
        <f>CN15+CO9-Waterfall!CO57</f>
        <v/>
      </c>
      <c r="CP15" s="19">
        <f>CO15+CP9-Waterfall!CP57</f>
        <v/>
      </c>
      <c r="CQ15" s="19">
        <f>CP15+CQ9-Waterfall!CQ57</f>
        <v/>
      </c>
      <c r="CR15" s="19">
        <f>CQ15+CR9-Waterfall!CR57</f>
        <v/>
      </c>
      <c r="CS15" s="19">
        <f>CR15+CS9-Waterfall!CS57</f>
        <v/>
      </c>
      <c r="CT15" s="19">
        <f>CS15+CT9-Waterfall!CT57</f>
        <v/>
      </c>
      <c r="CU15" s="19">
        <f>CT15+CU9-Waterfall!CU57</f>
        <v/>
      </c>
      <c r="CV15" s="19">
        <f>CU15+CV9-Waterfall!CV57</f>
        <v/>
      </c>
      <c r="CW15" s="19">
        <f>CV15+CW9-Waterfall!CW57</f>
        <v/>
      </c>
      <c r="CX15" s="19">
        <f>CW15+CX9-Waterfall!CX57</f>
        <v/>
      </c>
      <c r="CY15" s="19">
        <f>CX15+CY9-Waterfall!CY57</f>
        <v/>
      </c>
      <c r="CZ15" s="19">
        <f>CY15+CZ9-Waterfall!CZ57</f>
        <v/>
      </c>
      <c r="DA15" s="19">
        <f>CZ15+DA9-Waterfall!DA57</f>
        <v/>
      </c>
      <c r="DB15" s="19">
        <f>DA15+DB9-Waterfall!DB57</f>
        <v/>
      </c>
    </row>
    <row r="16">
      <c r="D16" t="inlineStr">
        <is>
          <t>Total equity</t>
        </is>
      </c>
      <c r="E16" t="inlineStr">
        <is>
          <t>ARD m</t>
        </is>
      </c>
      <c r="J16" s="19">
        <f>J13+J14+J15</f>
        <v/>
      </c>
      <c r="K16" s="19">
        <f>K13+K14+K15</f>
        <v/>
      </c>
      <c r="L16" s="19">
        <f>L13+L14+L15</f>
        <v/>
      </c>
      <c r="M16" s="19">
        <f>M13+M14+M15</f>
        <v/>
      </c>
      <c r="N16" s="19">
        <f>N13+N14+N15</f>
        <v/>
      </c>
      <c r="O16" s="19">
        <f>O13+O14+O15</f>
        <v/>
      </c>
      <c r="P16" s="19">
        <f>P13+P14+P15</f>
        <v/>
      </c>
      <c r="Q16" s="19">
        <f>Q13+Q14+Q15</f>
        <v/>
      </c>
      <c r="R16" s="19">
        <f>R13+R14+R15</f>
        <v/>
      </c>
      <c r="S16" s="19">
        <f>S13+S14+S15</f>
        <v/>
      </c>
      <c r="T16" s="19">
        <f>T13+T14+T15</f>
        <v/>
      </c>
      <c r="U16" s="19">
        <f>U13+U14+U15</f>
        <v/>
      </c>
      <c r="V16" s="19">
        <f>V13+V14+V15</f>
        <v/>
      </c>
      <c r="W16" s="19">
        <f>W13+W14+W15</f>
        <v/>
      </c>
      <c r="X16" s="19">
        <f>X13+X14+X15</f>
        <v/>
      </c>
      <c r="Y16" s="19">
        <f>Y13+Y14+Y15</f>
        <v/>
      </c>
      <c r="Z16" s="19">
        <f>Z13+Z14+Z15</f>
        <v/>
      </c>
      <c r="AA16" s="19">
        <f>AA13+AA14+AA15</f>
        <v/>
      </c>
      <c r="AB16" s="19">
        <f>AB13+AB14+AB15</f>
        <v/>
      </c>
      <c r="AC16" s="19">
        <f>AC13+AC14+AC15</f>
        <v/>
      </c>
      <c r="AD16" s="19">
        <f>AD13+AD14+AD15</f>
        <v/>
      </c>
      <c r="AE16" s="19">
        <f>AE13+AE14+AE15</f>
        <v/>
      </c>
      <c r="AF16" s="19">
        <f>AF13+AF14+AF15</f>
        <v/>
      </c>
      <c r="AG16" s="19">
        <f>AG13+AG14+AG15</f>
        <v/>
      </c>
      <c r="AH16" s="19">
        <f>AH13+AH14+AH15</f>
        <v/>
      </c>
      <c r="AI16" s="19">
        <f>AI13+AI14+AI15</f>
        <v/>
      </c>
      <c r="AJ16" s="19">
        <f>AJ13+AJ14+AJ15</f>
        <v/>
      </c>
      <c r="AK16" s="19">
        <f>AK13+AK14+AK15</f>
        <v/>
      </c>
      <c r="AL16" s="19">
        <f>AL13+AL14+AL15</f>
        <v/>
      </c>
      <c r="AM16" s="19">
        <f>AM13+AM14+AM15</f>
        <v/>
      </c>
      <c r="AN16" s="19">
        <f>AN13+AN14+AN15</f>
        <v/>
      </c>
      <c r="AO16" s="19">
        <f>AO13+AO14+AO15</f>
        <v/>
      </c>
      <c r="AP16" s="19">
        <f>AP13+AP14+AP15</f>
        <v/>
      </c>
      <c r="AQ16" s="19">
        <f>AQ13+AQ14+AQ15</f>
        <v/>
      </c>
      <c r="AR16" s="19">
        <f>AR13+AR14+AR15</f>
        <v/>
      </c>
      <c r="AS16" s="19">
        <f>AS13+AS14+AS15</f>
        <v/>
      </c>
      <c r="AT16" s="19">
        <f>AT13+AT14+AT15</f>
        <v/>
      </c>
      <c r="AU16" s="19">
        <f>AU13+AU14+AU15</f>
        <v/>
      </c>
      <c r="AV16" s="19">
        <f>AV13+AV14+AV15</f>
        <v/>
      </c>
      <c r="AW16" s="19">
        <f>AW13+AW14+AW15</f>
        <v/>
      </c>
      <c r="AX16" s="19">
        <f>AX13+AX14+AX15</f>
        <v/>
      </c>
      <c r="AY16" s="19">
        <f>AY13+AY14+AY15</f>
        <v/>
      </c>
      <c r="AZ16" s="19">
        <f>AZ13+AZ14+AZ15</f>
        <v/>
      </c>
      <c r="BA16" s="19">
        <f>BA13+BA14+BA15</f>
        <v/>
      </c>
      <c r="BB16" s="19">
        <f>BB13+BB14+BB15</f>
        <v/>
      </c>
      <c r="BC16" s="19">
        <f>BC13+BC14+BC15</f>
        <v/>
      </c>
      <c r="BD16" s="19">
        <f>BD13+BD14+BD15</f>
        <v/>
      </c>
      <c r="BE16" s="19">
        <f>BE13+BE14+BE15</f>
        <v/>
      </c>
      <c r="BF16" s="19">
        <f>BF13+BF14+BF15</f>
        <v/>
      </c>
      <c r="BG16" s="19">
        <f>BG13+BG14+BG15</f>
        <v/>
      </c>
      <c r="BH16" s="19">
        <f>BH13+BH14+BH15</f>
        <v/>
      </c>
      <c r="BI16" s="19">
        <f>BI13+BI14+BI15</f>
        <v/>
      </c>
      <c r="BJ16" s="19">
        <f>BJ13+BJ14+BJ15</f>
        <v/>
      </c>
      <c r="BK16" s="19">
        <f>BK13+BK14+BK15</f>
        <v/>
      </c>
      <c r="BL16" s="19">
        <f>BL13+BL14+BL15</f>
        <v/>
      </c>
      <c r="BM16" s="19">
        <f>BM13+BM14+BM15</f>
        <v/>
      </c>
      <c r="BN16" s="19">
        <f>BN13+BN14+BN15</f>
        <v/>
      </c>
      <c r="BO16" s="19">
        <f>BO13+BO14+BO15</f>
        <v/>
      </c>
      <c r="BP16" s="19">
        <f>BP13+BP14+BP15</f>
        <v/>
      </c>
      <c r="BQ16" s="19">
        <f>BQ13+BQ14+BQ15</f>
        <v/>
      </c>
      <c r="BR16" s="19">
        <f>BR13+BR14+BR15</f>
        <v/>
      </c>
      <c r="BS16" s="19">
        <f>BS13+BS14+BS15</f>
        <v/>
      </c>
      <c r="BT16" s="19">
        <f>BT13+BT14+BT15</f>
        <v/>
      </c>
      <c r="BU16" s="19">
        <f>BU13+BU14+BU15</f>
        <v/>
      </c>
      <c r="BV16" s="19">
        <f>BV13+BV14+BV15</f>
        <v/>
      </c>
      <c r="BW16" s="19">
        <f>BW13+BW14+BW15</f>
        <v/>
      </c>
      <c r="BX16" s="19">
        <f>BX13+BX14+BX15</f>
        <v/>
      </c>
      <c r="BY16" s="19">
        <f>BY13+BY14+BY15</f>
        <v/>
      </c>
      <c r="BZ16" s="19">
        <f>BZ13+BZ14+BZ15</f>
        <v/>
      </c>
      <c r="CA16" s="19">
        <f>CA13+CA14+CA15</f>
        <v/>
      </c>
      <c r="CB16" s="19">
        <f>CB13+CB14+CB15</f>
        <v/>
      </c>
      <c r="CC16" s="19">
        <f>CC13+CC14+CC15</f>
        <v/>
      </c>
      <c r="CD16" s="19">
        <f>CD13+CD14+CD15</f>
        <v/>
      </c>
      <c r="CE16" s="19">
        <f>CE13+CE14+CE15</f>
        <v/>
      </c>
      <c r="CF16" s="19">
        <f>CF13+CF14+CF15</f>
        <v/>
      </c>
      <c r="CG16" s="19">
        <f>CG13+CG14+CG15</f>
        <v/>
      </c>
      <c r="CH16" s="19">
        <f>CH13+CH14+CH15</f>
        <v/>
      </c>
      <c r="CI16" s="19">
        <f>CI13+CI14+CI15</f>
        <v/>
      </c>
      <c r="CJ16" s="19">
        <f>CJ13+CJ14+CJ15</f>
        <v/>
      </c>
      <c r="CK16" s="19">
        <f>CK13+CK14+CK15</f>
        <v/>
      </c>
      <c r="CL16" s="19">
        <f>CL13+CL14+CL15</f>
        <v/>
      </c>
      <c r="CM16" s="19">
        <f>CM13+CM14+CM15</f>
        <v/>
      </c>
      <c r="CN16" s="19">
        <f>CN13+CN14+CN15</f>
        <v/>
      </c>
      <c r="CO16" s="19">
        <f>CO13+CO14+CO15</f>
        <v/>
      </c>
      <c r="CP16" s="19">
        <f>CP13+CP14+CP15</f>
        <v/>
      </c>
      <c r="CQ16" s="19">
        <f>CQ13+CQ14+CQ15</f>
        <v/>
      </c>
      <c r="CR16" s="19">
        <f>CR13+CR14+CR15</f>
        <v/>
      </c>
      <c r="CS16" s="19">
        <f>CS13+CS14+CS15</f>
        <v/>
      </c>
      <c r="CT16" s="19">
        <f>CT13+CT14+CT15</f>
        <v/>
      </c>
      <c r="CU16" s="19">
        <f>CU13+CU14+CU15</f>
        <v/>
      </c>
      <c r="CV16" s="19">
        <f>CV13+CV14+CV15</f>
        <v/>
      </c>
      <c r="CW16" s="19">
        <f>CW13+CW14+CW15</f>
        <v/>
      </c>
      <c r="CX16" s="19">
        <f>CX13+CX14+CX15</f>
        <v/>
      </c>
      <c r="CY16" s="19">
        <f>CY13+CY14+CY15</f>
        <v/>
      </c>
      <c r="CZ16" s="19">
        <f>CZ13+CZ14+CZ15</f>
        <v/>
      </c>
      <c r="DA16" s="19">
        <f>DA13+DA14+DA15</f>
        <v/>
      </c>
      <c r="DB16" s="19">
        <f>DB13+DB14+DB15</f>
        <v/>
      </c>
    </row>
    <row r="17">
      <c r="D17" t="inlineStr">
        <is>
          <t>Balance check (assets less liabilities less equity)</t>
        </is>
      </c>
      <c r="E17" t="inlineStr">
        <is>
          <t>ARD m</t>
        </is>
      </c>
      <c r="J17" s="19">
        <f>ROUND(J11-J12-J16,6)</f>
        <v/>
      </c>
      <c r="K17" s="19">
        <f>ROUND(K11-K12-K16,6)</f>
        <v/>
      </c>
      <c r="L17" s="19">
        <f>ROUND(L11-L12-L16,6)</f>
        <v/>
      </c>
      <c r="M17" s="19">
        <f>ROUND(M11-M12-M16,6)</f>
        <v/>
      </c>
      <c r="N17" s="19">
        <f>ROUND(N11-N12-N16,6)</f>
        <v/>
      </c>
      <c r="O17" s="19">
        <f>ROUND(O11-O12-O16,6)</f>
        <v/>
      </c>
      <c r="P17" s="19">
        <f>ROUND(P11-P12-P16,6)</f>
        <v/>
      </c>
      <c r="Q17" s="19">
        <f>ROUND(Q11-Q12-Q16,6)</f>
        <v/>
      </c>
      <c r="R17" s="19">
        <f>ROUND(R11-R12-R16,6)</f>
        <v/>
      </c>
      <c r="S17" s="19">
        <f>ROUND(S11-S12-S16,6)</f>
        <v/>
      </c>
      <c r="T17" s="19">
        <f>ROUND(T11-T12-T16,6)</f>
        <v/>
      </c>
      <c r="U17" s="19">
        <f>ROUND(U11-U12-U16,6)</f>
        <v/>
      </c>
      <c r="V17" s="19">
        <f>ROUND(V11-V12-V16,6)</f>
        <v/>
      </c>
      <c r="W17" s="19">
        <f>ROUND(W11-W12-W16,6)</f>
        <v/>
      </c>
      <c r="X17" s="19">
        <f>ROUND(X11-X12-X16,6)</f>
        <v/>
      </c>
      <c r="Y17" s="19">
        <f>ROUND(Y11-Y12-Y16,6)</f>
        <v/>
      </c>
      <c r="Z17" s="19">
        <f>ROUND(Z11-Z12-Z16,6)</f>
        <v/>
      </c>
      <c r="AA17" s="19">
        <f>ROUND(AA11-AA12-AA16,6)</f>
        <v/>
      </c>
      <c r="AB17" s="19">
        <f>ROUND(AB11-AB12-AB16,6)</f>
        <v/>
      </c>
      <c r="AC17" s="19">
        <f>ROUND(AC11-AC12-AC16,6)</f>
        <v/>
      </c>
      <c r="AD17" s="19">
        <f>ROUND(AD11-AD12-AD16,6)</f>
        <v/>
      </c>
      <c r="AE17" s="19">
        <f>ROUND(AE11-AE12-AE16,6)</f>
        <v/>
      </c>
      <c r="AF17" s="19">
        <f>ROUND(AF11-AF12-AF16,6)</f>
        <v/>
      </c>
      <c r="AG17" s="19">
        <f>ROUND(AG11-AG12-AG16,6)</f>
        <v/>
      </c>
      <c r="AH17" s="19">
        <f>ROUND(AH11-AH12-AH16,6)</f>
        <v/>
      </c>
      <c r="AI17" s="19">
        <f>ROUND(AI11-AI12-AI16,6)</f>
        <v/>
      </c>
      <c r="AJ17" s="19">
        <f>ROUND(AJ11-AJ12-AJ16,6)</f>
        <v/>
      </c>
      <c r="AK17" s="19">
        <f>ROUND(AK11-AK12-AK16,6)</f>
        <v/>
      </c>
      <c r="AL17" s="19">
        <f>ROUND(AL11-AL12-AL16,6)</f>
        <v/>
      </c>
      <c r="AM17" s="19">
        <f>ROUND(AM11-AM12-AM16,6)</f>
        <v/>
      </c>
      <c r="AN17" s="19">
        <f>ROUND(AN11-AN12-AN16,6)</f>
        <v/>
      </c>
      <c r="AO17" s="19">
        <f>ROUND(AO11-AO12-AO16,6)</f>
        <v/>
      </c>
      <c r="AP17" s="19">
        <f>ROUND(AP11-AP12-AP16,6)</f>
        <v/>
      </c>
      <c r="AQ17" s="19">
        <f>ROUND(AQ11-AQ12-AQ16,6)</f>
        <v/>
      </c>
      <c r="AR17" s="19">
        <f>ROUND(AR11-AR12-AR16,6)</f>
        <v/>
      </c>
      <c r="AS17" s="19">
        <f>ROUND(AS11-AS12-AS16,6)</f>
        <v/>
      </c>
      <c r="AT17" s="19">
        <f>ROUND(AT11-AT12-AT16,6)</f>
        <v/>
      </c>
      <c r="AU17" s="19">
        <f>ROUND(AU11-AU12-AU16,6)</f>
        <v/>
      </c>
      <c r="AV17" s="19">
        <f>ROUND(AV11-AV12-AV16,6)</f>
        <v/>
      </c>
      <c r="AW17" s="19">
        <f>ROUND(AW11-AW12-AW16,6)</f>
        <v/>
      </c>
      <c r="AX17" s="19">
        <f>ROUND(AX11-AX12-AX16,6)</f>
        <v/>
      </c>
      <c r="AY17" s="19">
        <f>ROUND(AY11-AY12-AY16,6)</f>
        <v/>
      </c>
      <c r="AZ17" s="19">
        <f>ROUND(AZ11-AZ12-AZ16,6)</f>
        <v/>
      </c>
      <c r="BA17" s="19">
        <f>ROUND(BA11-BA12-BA16,6)</f>
        <v/>
      </c>
      <c r="BB17" s="19">
        <f>ROUND(BB11-BB12-BB16,6)</f>
        <v/>
      </c>
      <c r="BC17" s="19">
        <f>ROUND(BC11-BC12-BC16,6)</f>
        <v/>
      </c>
      <c r="BD17" s="19">
        <f>ROUND(BD11-BD12-BD16,6)</f>
        <v/>
      </c>
      <c r="BE17" s="19">
        <f>ROUND(BE11-BE12-BE16,6)</f>
        <v/>
      </c>
      <c r="BF17" s="19">
        <f>ROUND(BF11-BF12-BF16,6)</f>
        <v/>
      </c>
      <c r="BG17" s="19">
        <f>ROUND(BG11-BG12-BG16,6)</f>
        <v/>
      </c>
      <c r="BH17" s="19">
        <f>ROUND(BH11-BH12-BH16,6)</f>
        <v/>
      </c>
      <c r="BI17" s="19">
        <f>ROUND(BI11-BI12-BI16,6)</f>
        <v/>
      </c>
      <c r="BJ17" s="19">
        <f>ROUND(BJ11-BJ12-BJ16,6)</f>
        <v/>
      </c>
      <c r="BK17" s="19">
        <f>ROUND(BK11-BK12-BK16,6)</f>
        <v/>
      </c>
      <c r="BL17" s="19">
        <f>ROUND(BL11-BL12-BL16,6)</f>
        <v/>
      </c>
      <c r="BM17" s="19">
        <f>ROUND(BM11-BM12-BM16,6)</f>
        <v/>
      </c>
      <c r="BN17" s="19">
        <f>ROUND(BN11-BN12-BN16,6)</f>
        <v/>
      </c>
      <c r="BO17" s="19">
        <f>ROUND(BO11-BO12-BO16,6)</f>
        <v/>
      </c>
      <c r="BP17" s="19">
        <f>ROUND(BP11-BP12-BP16,6)</f>
        <v/>
      </c>
      <c r="BQ17" s="19">
        <f>ROUND(BQ11-BQ12-BQ16,6)</f>
        <v/>
      </c>
      <c r="BR17" s="19">
        <f>ROUND(BR11-BR12-BR16,6)</f>
        <v/>
      </c>
      <c r="BS17" s="19">
        <f>ROUND(BS11-BS12-BS16,6)</f>
        <v/>
      </c>
      <c r="BT17" s="19">
        <f>ROUND(BT11-BT12-BT16,6)</f>
        <v/>
      </c>
      <c r="BU17" s="19">
        <f>ROUND(BU11-BU12-BU16,6)</f>
        <v/>
      </c>
      <c r="BV17" s="19">
        <f>ROUND(BV11-BV12-BV16,6)</f>
        <v/>
      </c>
      <c r="BW17" s="19">
        <f>ROUND(BW11-BW12-BW16,6)</f>
        <v/>
      </c>
      <c r="BX17" s="19">
        <f>ROUND(BX11-BX12-BX16,6)</f>
        <v/>
      </c>
      <c r="BY17" s="19">
        <f>ROUND(BY11-BY12-BY16,6)</f>
        <v/>
      </c>
      <c r="BZ17" s="19">
        <f>ROUND(BZ11-BZ12-BZ16,6)</f>
        <v/>
      </c>
      <c r="CA17" s="19">
        <f>ROUND(CA11-CA12-CA16,6)</f>
        <v/>
      </c>
      <c r="CB17" s="19">
        <f>ROUND(CB11-CB12-CB16,6)</f>
        <v/>
      </c>
      <c r="CC17" s="19">
        <f>ROUND(CC11-CC12-CC16,6)</f>
        <v/>
      </c>
      <c r="CD17" s="19">
        <f>ROUND(CD11-CD12-CD16,6)</f>
        <v/>
      </c>
      <c r="CE17" s="19">
        <f>ROUND(CE11-CE12-CE16,6)</f>
        <v/>
      </c>
      <c r="CF17" s="19">
        <f>ROUND(CF11-CF12-CF16,6)</f>
        <v/>
      </c>
      <c r="CG17" s="19">
        <f>ROUND(CG11-CG12-CG16,6)</f>
        <v/>
      </c>
      <c r="CH17" s="19">
        <f>ROUND(CH11-CH12-CH16,6)</f>
        <v/>
      </c>
      <c r="CI17" s="19">
        <f>ROUND(CI11-CI12-CI16,6)</f>
        <v/>
      </c>
      <c r="CJ17" s="19">
        <f>ROUND(CJ11-CJ12-CJ16,6)</f>
        <v/>
      </c>
      <c r="CK17" s="19">
        <f>ROUND(CK11-CK12-CK16,6)</f>
        <v/>
      </c>
      <c r="CL17" s="19">
        <f>ROUND(CL11-CL12-CL16,6)</f>
        <v/>
      </c>
      <c r="CM17" s="19">
        <f>ROUND(CM11-CM12-CM16,6)</f>
        <v/>
      </c>
      <c r="CN17" s="19">
        <f>ROUND(CN11-CN12-CN16,6)</f>
        <v/>
      </c>
      <c r="CO17" s="19">
        <f>ROUND(CO11-CO12-CO16,6)</f>
        <v/>
      </c>
      <c r="CP17" s="19">
        <f>ROUND(CP11-CP12-CP16,6)</f>
        <v/>
      </c>
      <c r="CQ17" s="19">
        <f>ROUND(CQ11-CQ12-CQ16,6)</f>
        <v/>
      </c>
      <c r="CR17" s="19">
        <f>ROUND(CR11-CR12-CR16,6)</f>
        <v/>
      </c>
      <c r="CS17" s="19">
        <f>ROUND(CS11-CS12-CS16,6)</f>
        <v/>
      </c>
      <c r="CT17" s="19">
        <f>ROUND(CT11-CT12-CT16,6)</f>
        <v/>
      </c>
      <c r="CU17" s="19">
        <f>ROUND(CU11-CU12-CU16,6)</f>
        <v/>
      </c>
      <c r="CV17" s="19">
        <f>ROUND(CV11-CV12-CV16,6)</f>
        <v/>
      </c>
      <c r="CW17" s="19">
        <f>ROUND(CW11-CW12-CW16,6)</f>
        <v/>
      </c>
      <c r="CX17" s="19">
        <f>ROUND(CX11-CX12-CX16,6)</f>
        <v/>
      </c>
      <c r="CY17" s="19">
        <f>ROUND(CY11-CY12-CY16,6)</f>
        <v/>
      </c>
      <c r="CZ17" s="19">
        <f>ROUND(CZ11-CZ12-CZ16,6)</f>
        <v/>
      </c>
      <c r="DA17" s="19">
        <f>ROUND(DA11-DA12-DA16,6)</f>
        <v/>
      </c>
      <c r="DB17" s="19">
        <f>ROUND(DB11-DB12-DB16,6)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D1:DB26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Ratios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Senior ratios (original debt, repayment periods)</t>
        </is>
      </c>
    </row>
    <row r="6">
      <c r="D6" t="inlineStr">
        <is>
          <t>DSCR, repayment periods</t>
        </is>
      </c>
      <c r="E6" t="inlineStr">
        <is>
          <t>x</t>
        </is>
      </c>
      <c r="J6" s="31">
        <f>IF(AND(Time!J30=1,Debt!J68&gt;Inputs!$F$9),Waterfall!J7/Debt!J68,"")</f>
        <v/>
      </c>
      <c r="K6" s="31">
        <f>IF(AND(Time!K30=1,Debt!K68&gt;Inputs!$F$9),Waterfall!K7/Debt!K68,"")</f>
        <v/>
      </c>
      <c r="L6" s="31">
        <f>IF(AND(Time!L30=1,Debt!L68&gt;Inputs!$F$9),Waterfall!L7/Debt!L68,"")</f>
        <v/>
      </c>
      <c r="M6" s="31">
        <f>IF(AND(Time!M30=1,Debt!M68&gt;Inputs!$F$9),Waterfall!M7/Debt!M68,"")</f>
        <v/>
      </c>
      <c r="N6" s="31">
        <f>IF(AND(Time!N30=1,Debt!N68&gt;Inputs!$F$9),Waterfall!N7/Debt!N68,"")</f>
        <v/>
      </c>
      <c r="O6" s="31">
        <f>IF(AND(Time!O30=1,Debt!O68&gt;Inputs!$F$9),Waterfall!O7/Debt!O68,"")</f>
        <v/>
      </c>
      <c r="P6" s="31">
        <f>IF(AND(Time!P30=1,Debt!P68&gt;Inputs!$F$9),Waterfall!P7/Debt!P68,"")</f>
        <v/>
      </c>
      <c r="Q6" s="31">
        <f>IF(AND(Time!Q30=1,Debt!Q68&gt;Inputs!$F$9),Waterfall!Q7/Debt!Q68,"")</f>
        <v/>
      </c>
      <c r="R6" s="31">
        <f>IF(AND(Time!R30=1,Debt!R68&gt;Inputs!$F$9),Waterfall!R7/Debt!R68,"")</f>
        <v/>
      </c>
      <c r="S6" s="31">
        <f>IF(AND(Time!S30=1,Debt!S68&gt;Inputs!$F$9),Waterfall!S7/Debt!S68,"")</f>
        <v/>
      </c>
      <c r="T6" s="31">
        <f>IF(AND(Time!T30=1,Debt!T68&gt;Inputs!$F$9),Waterfall!T7/Debt!T68,"")</f>
        <v/>
      </c>
      <c r="U6" s="31">
        <f>IF(AND(Time!U30=1,Debt!U68&gt;Inputs!$F$9),Waterfall!U7/Debt!U68,"")</f>
        <v/>
      </c>
      <c r="V6" s="31">
        <f>IF(AND(Time!V30=1,Debt!V68&gt;Inputs!$F$9),Waterfall!V7/Debt!V68,"")</f>
        <v/>
      </c>
      <c r="W6" s="31">
        <f>IF(AND(Time!W30=1,Debt!W68&gt;Inputs!$F$9),Waterfall!W7/Debt!W68,"")</f>
        <v/>
      </c>
      <c r="X6" s="31">
        <f>IF(AND(Time!X30=1,Debt!X68&gt;Inputs!$F$9),Waterfall!X7/Debt!X68,"")</f>
        <v/>
      </c>
      <c r="Y6" s="31">
        <f>IF(AND(Time!Y30=1,Debt!Y68&gt;Inputs!$F$9),Waterfall!Y7/Debt!Y68,"")</f>
        <v/>
      </c>
      <c r="Z6" s="31">
        <f>IF(AND(Time!Z30=1,Debt!Z68&gt;Inputs!$F$9),Waterfall!Z7/Debt!Z68,"")</f>
        <v/>
      </c>
      <c r="AA6" s="31">
        <f>IF(AND(Time!AA30=1,Debt!AA68&gt;Inputs!$F$9),Waterfall!AA7/Debt!AA68,"")</f>
        <v/>
      </c>
      <c r="AB6" s="31">
        <f>IF(AND(Time!AB30=1,Debt!AB68&gt;Inputs!$F$9),Waterfall!AB7/Debt!AB68,"")</f>
        <v/>
      </c>
      <c r="AC6" s="31">
        <f>IF(AND(Time!AC30=1,Debt!AC68&gt;Inputs!$F$9),Waterfall!AC7/Debt!AC68,"")</f>
        <v/>
      </c>
      <c r="AD6" s="31">
        <f>IF(AND(Time!AD30=1,Debt!AD68&gt;Inputs!$F$9),Waterfall!AD7/Debt!AD68,"")</f>
        <v/>
      </c>
      <c r="AE6" s="31">
        <f>IF(AND(Time!AE30=1,Debt!AE68&gt;Inputs!$F$9),Waterfall!AE7/Debt!AE68,"")</f>
        <v/>
      </c>
      <c r="AF6" s="31">
        <f>IF(AND(Time!AF30=1,Debt!AF68&gt;Inputs!$F$9),Waterfall!AF7/Debt!AF68,"")</f>
        <v/>
      </c>
      <c r="AG6" s="31">
        <f>IF(AND(Time!AG30=1,Debt!AG68&gt;Inputs!$F$9),Waterfall!AG7/Debt!AG68,"")</f>
        <v/>
      </c>
      <c r="AH6" s="31">
        <f>IF(AND(Time!AH30=1,Debt!AH68&gt;Inputs!$F$9),Waterfall!AH7/Debt!AH68,"")</f>
        <v/>
      </c>
      <c r="AI6" s="31">
        <f>IF(AND(Time!AI30=1,Debt!AI68&gt;Inputs!$F$9),Waterfall!AI7/Debt!AI68,"")</f>
        <v/>
      </c>
      <c r="AJ6" s="31">
        <f>IF(AND(Time!AJ30=1,Debt!AJ68&gt;Inputs!$F$9),Waterfall!AJ7/Debt!AJ68,"")</f>
        <v/>
      </c>
      <c r="AK6" s="31">
        <f>IF(AND(Time!AK30=1,Debt!AK68&gt;Inputs!$F$9),Waterfall!AK7/Debt!AK68,"")</f>
        <v/>
      </c>
      <c r="AL6" s="31">
        <f>IF(AND(Time!AL30=1,Debt!AL68&gt;Inputs!$F$9),Waterfall!AL7/Debt!AL68,"")</f>
        <v/>
      </c>
      <c r="AM6" s="31">
        <f>IF(AND(Time!AM30=1,Debt!AM68&gt;Inputs!$F$9),Waterfall!AM7/Debt!AM68,"")</f>
        <v/>
      </c>
      <c r="AN6" s="31">
        <f>IF(AND(Time!AN30=1,Debt!AN68&gt;Inputs!$F$9),Waterfall!AN7/Debt!AN68,"")</f>
        <v/>
      </c>
      <c r="AO6" s="31">
        <f>IF(AND(Time!AO30=1,Debt!AO68&gt;Inputs!$F$9),Waterfall!AO7/Debt!AO68,"")</f>
        <v/>
      </c>
      <c r="AP6" s="31">
        <f>IF(AND(Time!AP30=1,Debt!AP68&gt;Inputs!$F$9),Waterfall!AP7/Debt!AP68,"")</f>
        <v/>
      </c>
      <c r="AQ6" s="31">
        <f>IF(AND(Time!AQ30=1,Debt!AQ68&gt;Inputs!$F$9),Waterfall!AQ7/Debt!AQ68,"")</f>
        <v/>
      </c>
      <c r="AR6" s="31">
        <f>IF(AND(Time!AR30=1,Debt!AR68&gt;Inputs!$F$9),Waterfall!AR7/Debt!AR68,"")</f>
        <v/>
      </c>
      <c r="AS6" s="31">
        <f>IF(AND(Time!AS30=1,Debt!AS68&gt;Inputs!$F$9),Waterfall!AS7/Debt!AS68,"")</f>
        <v/>
      </c>
      <c r="AT6" s="31">
        <f>IF(AND(Time!AT30=1,Debt!AT68&gt;Inputs!$F$9),Waterfall!AT7/Debt!AT68,"")</f>
        <v/>
      </c>
      <c r="AU6" s="31">
        <f>IF(AND(Time!AU30=1,Debt!AU68&gt;Inputs!$F$9),Waterfall!AU7/Debt!AU68,"")</f>
        <v/>
      </c>
      <c r="AV6" s="31">
        <f>IF(AND(Time!AV30=1,Debt!AV68&gt;Inputs!$F$9),Waterfall!AV7/Debt!AV68,"")</f>
        <v/>
      </c>
      <c r="AW6" s="31">
        <f>IF(AND(Time!AW30=1,Debt!AW68&gt;Inputs!$F$9),Waterfall!AW7/Debt!AW68,"")</f>
        <v/>
      </c>
      <c r="AX6" s="31">
        <f>IF(AND(Time!AX30=1,Debt!AX68&gt;Inputs!$F$9),Waterfall!AX7/Debt!AX68,"")</f>
        <v/>
      </c>
      <c r="AY6" s="31">
        <f>IF(AND(Time!AY30=1,Debt!AY68&gt;Inputs!$F$9),Waterfall!AY7/Debt!AY68,"")</f>
        <v/>
      </c>
      <c r="AZ6" s="31">
        <f>IF(AND(Time!AZ30=1,Debt!AZ68&gt;Inputs!$F$9),Waterfall!AZ7/Debt!AZ68,"")</f>
        <v/>
      </c>
      <c r="BA6" s="31">
        <f>IF(AND(Time!BA30=1,Debt!BA68&gt;Inputs!$F$9),Waterfall!BA7/Debt!BA68,"")</f>
        <v/>
      </c>
      <c r="BB6" s="31">
        <f>IF(AND(Time!BB30=1,Debt!BB68&gt;Inputs!$F$9),Waterfall!BB7/Debt!BB68,"")</f>
        <v/>
      </c>
      <c r="BC6" s="31">
        <f>IF(AND(Time!BC30=1,Debt!BC68&gt;Inputs!$F$9),Waterfall!BC7/Debt!BC68,"")</f>
        <v/>
      </c>
      <c r="BD6" s="31">
        <f>IF(AND(Time!BD30=1,Debt!BD68&gt;Inputs!$F$9),Waterfall!BD7/Debt!BD68,"")</f>
        <v/>
      </c>
      <c r="BE6" s="31">
        <f>IF(AND(Time!BE30=1,Debt!BE68&gt;Inputs!$F$9),Waterfall!BE7/Debt!BE68,"")</f>
        <v/>
      </c>
      <c r="BF6" s="31">
        <f>IF(AND(Time!BF30=1,Debt!BF68&gt;Inputs!$F$9),Waterfall!BF7/Debt!BF68,"")</f>
        <v/>
      </c>
      <c r="BG6" s="31">
        <f>IF(AND(Time!BG30=1,Debt!BG68&gt;Inputs!$F$9),Waterfall!BG7/Debt!BG68,"")</f>
        <v/>
      </c>
      <c r="BH6" s="31">
        <f>IF(AND(Time!BH30=1,Debt!BH68&gt;Inputs!$F$9),Waterfall!BH7/Debt!BH68,"")</f>
        <v/>
      </c>
      <c r="BI6" s="31">
        <f>IF(AND(Time!BI30=1,Debt!BI68&gt;Inputs!$F$9),Waterfall!BI7/Debt!BI68,"")</f>
        <v/>
      </c>
      <c r="BJ6" s="31">
        <f>IF(AND(Time!BJ30=1,Debt!BJ68&gt;Inputs!$F$9),Waterfall!BJ7/Debt!BJ68,"")</f>
        <v/>
      </c>
      <c r="BK6" s="31">
        <f>IF(AND(Time!BK30=1,Debt!BK68&gt;Inputs!$F$9),Waterfall!BK7/Debt!BK68,"")</f>
        <v/>
      </c>
      <c r="BL6" s="31">
        <f>IF(AND(Time!BL30=1,Debt!BL68&gt;Inputs!$F$9),Waterfall!BL7/Debt!BL68,"")</f>
        <v/>
      </c>
      <c r="BM6" s="31">
        <f>IF(AND(Time!BM30=1,Debt!BM68&gt;Inputs!$F$9),Waterfall!BM7/Debt!BM68,"")</f>
        <v/>
      </c>
      <c r="BN6" s="31">
        <f>IF(AND(Time!BN30=1,Debt!BN68&gt;Inputs!$F$9),Waterfall!BN7/Debt!BN68,"")</f>
        <v/>
      </c>
      <c r="BO6" s="31">
        <f>IF(AND(Time!BO30=1,Debt!BO68&gt;Inputs!$F$9),Waterfall!BO7/Debt!BO68,"")</f>
        <v/>
      </c>
      <c r="BP6" s="31">
        <f>IF(AND(Time!BP30=1,Debt!BP68&gt;Inputs!$F$9),Waterfall!BP7/Debt!BP68,"")</f>
        <v/>
      </c>
      <c r="BQ6" s="31">
        <f>IF(AND(Time!BQ30=1,Debt!BQ68&gt;Inputs!$F$9),Waterfall!BQ7/Debt!BQ68,"")</f>
        <v/>
      </c>
      <c r="BR6" s="31">
        <f>IF(AND(Time!BR30=1,Debt!BR68&gt;Inputs!$F$9),Waterfall!BR7/Debt!BR68,"")</f>
        <v/>
      </c>
      <c r="BS6" s="31">
        <f>IF(AND(Time!BS30=1,Debt!BS68&gt;Inputs!$F$9),Waterfall!BS7/Debt!BS68,"")</f>
        <v/>
      </c>
      <c r="BT6" s="31">
        <f>IF(AND(Time!BT30=1,Debt!BT68&gt;Inputs!$F$9),Waterfall!BT7/Debt!BT68,"")</f>
        <v/>
      </c>
      <c r="BU6" s="31">
        <f>IF(AND(Time!BU30=1,Debt!BU68&gt;Inputs!$F$9),Waterfall!BU7/Debt!BU68,"")</f>
        <v/>
      </c>
      <c r="BV6" s="31">
        <f>IF(AND(Time!BV30=1,Debt!BV68&gt;Inputs!$F$9),Waterfall!BV7/Debt!BV68,"")</f>
        <v/>
      </c>
      <c r="BW6" s="31">
        <f>IF(AND(Time!BW30=1,Debt!BW68&gt;Inputs!$F$9),Waterfall!BW7/Debt!BW68,"")</f>
        <v/>
      </c>
      <c r="BX6" s="31">
        <f>IF(AND(Time!BX30=1,Debt!BX68&gt;Inputs!$F$9),Waterfall!BX7/Debt!BX68,"")</f>
        <v/>
      </c>
      <c r="BY6" s="31">
        <f>IF(AND(Time!BY30=1,Debt!BY68&gt;Inputs!$F$9),Waterfall!BY7/Debt!BY68,"")</f>
        <v/>
      </c>
      <c r="BZ6" s="31">
        <f>IF(AND(Time!BZ30=1,Debt!BZ68&gt;Inputs!$F$9),Waterfall!BZ7/Debt!BZ68,"")</f>
        <v/>
      </c>
      <c r="CA6" s="31">
        <f>IF(AND(Time!CA30=1,Debt!CA68&gt;Inputs!$F$9),Waterfall!CA7/Debt!CA68,"")</f>
        <v/>
      </c>
      <c r="CB6" s="31">
        <f>IF(AND(Time!CB30=1,Debt!CB68&gt;Inputs!$F$9),Waterfall!CB7/Debt!CB68,"")</f>
        <v/>
      </c>
      <c r="CC6" s="31">
        <f>IF(AND(Time!CC30=1,Debt!CC68&gt;Inputs!$F$9),Waterfall!CC7/Debt!CC68,"")</f>
        <v/>
      </c>
      <c r="CD6" s="31">
        <f>IF(AND(Time!CD30=1,Debt!CD68&gt;Inputs!$F$9),Waterfall!CD7/Debt!CD68,"")</f>
        <v/>
      </c>
      <c r="CE6" s="31">
        <f>IF(AND(Time!CE30=1,Debt!CE68&gt;Inputs!$F$9),Waterfall!CE7/Debt!CE68,"")</f>
        <v/>
      </c>
      <c r="CF6" s="31">
        <f>IF(AND(Time!CF30=1,Debt!CF68&gt;Inputs!$F$9),Waterfall!CF7/Debt!CF68,"")</f>
        <v/>
      </c>
      <c r="CG6" s="31">
        <f>IF(AND(Time!CG30=1,Debt!CG68&gt;Inputs!$F$9),Waterfall!CG7/Debt!CG68,"")</f>
        <v/>
      </c>
      <c r="CH6" s="31">
        <f>IF(AND(Time!CH30=1,Debt!CH68&gt;Inputs!$F$9),Waterfall!CH7/Debt!CH68,"")</f>
        <v/>
      </c>
      <c r="CI6" s="31">
        <f>IF(AND(Time!CI30=1,Debt!CI68&gt;Inputs!$F$9),Waterfall!CI7/Debt!CI68,"")</f>
        <v/>
      </c>
      <c r="CJ6" s="31">
        <f>IF(AND(Time!CJ30=1,Debt!CJ68&gt;Inputs!$F$9),Waterfall!CJ7/Debt!CJ68,"")</f>
        <v/>
      </c>
      <c r="CK6" s="31">
        <f>IF(AND(Time!CK30=1,Debt!CK68&gt;Inputs!$F$9),Waterfall!CK7/Debt!CK68,"")</f>
        <v/>
      </c>
      <c r="CL6" s="31">
        <f>IF(AND(Time!CL30=1,Debt!CL68&gt;Inputs!$F$9),Waterfall!CL7/Debt!CL68,"")</f>
        <v/>
      </c>
      <c r="CM6" s="31">
        <f>IF(AND(Time!CM30=1,Debt!CM68&gt;Inputs!$F$9),Waterfall!CM7/Debt!CM68,"")</f>
        <v/>
      </c>
      <c r="CN6" s="31">
        <f>IF(AND(Time!CN30=1,Debt!CN68&gt;Inputs!$F$9),Waterfall!CN7/Debt!CN68,"")</f>
        <v/>
      </c>
      <c r="CO6" s="31">
        <f>IF(AND(Time!CO30=1,Debt!CO68&gt;Inputs!$F$9),Waterfall!CO7/Debt!CO68,"")</f>
        <v/>
      </c>
      <c r="CP6" s="31">
        <f>IF(AND(Time!CP30=1,Debt!CP68&gt;Inputs!$F$9),Waterfall!CP7/Debt!CP68,"")</f>
        <v/>
      </c>
      <c r="CQ6" s="31">
        <f>IF(AND(Time!CQ30=1,Debt!CQ68&gt;Inputs!$F$9),Waterfall!CQ7/Debt!CQ68,"")</f>
        <v/>
      </c>
      <c r="CR6" s="31">
        <f>IF(AND(Time!CR30=1,Debt!CR68&gt;Inputs!$F$9),Waterfall!CR7/Debt!CR68,"")</f>
        <v/>
      </c>
      <c r="CS6" s="31">
        <f>IF(AND(Time!CS30=1,Debt!CS68&gt;Inputs!$F$9),Waterfall!CS7/Debt!CS68,"")</f>
        <v/>
      </c>
      <c r="CT6" s="31">
        <f>IF(AND(Time!CT30=1,Debt!CT68&gt;Inputs!$F$9),Waterfall!CT7/Debt!CT68,"")</f>
        <v/>
      </c>
      <c r="CU6" s="31">
        <f>IF(AND(Time!CU30=1,Debt!CU68&gt;Inputs!$F$9),Waterfall!CU7/Debt!CU68,"")</f>
        <v/>
      </c>
      <c r="CV6" s="31">
        <f>IF(AND(Time!CV30=1,Debt!CV68&gt;Inputs!$F$9),Waterfall!CV7/Debt!CV68,"")</f>
        <v/>
      </c>
      <c r="CW6" s="31">
        <f>IF(AND(Time!CW30=1,Debt!CW68&gt;Inputs!$F$9),Waterfall!CW7/Debt!CW68,"")</f>
        <v/>
      </c>
      <c r="CX6" s="31">
        <f>IF(AND(Time!CX30=1,Debt!CX68&gt;Inputs!$F$9),Waterfall!CX7/Debt!CX68,"")</f>
        <v/>
      </c>
      <c r="CY6" s="31">
        <f>IF(AND(Time!CY30=1,Debt!CY68&gt;Inputs!$F$9),Waterfall!CY7/Debt!CY68,"")</f>
        <v/>
      </c>
      <c r="CZ6" s="31">
        <f>IF(AND(Time!CZ30=1,Debt!CZ68&gt;Inputs!$F$9),Waterfall!CZ7/Debt!CZ68,"")</f>
        <v/>
      </c>
      <c r="DA6" s="31">
        <f>IF(AND(Time!DA30=1,Debt!DA68&gt;Inputs!$F$9),Waterfall!DA7/Debt!DA68,"")</f>
        <v/>
      </c>
      <c r="DB6" s="31">
        <f>IF(AND(Time!DB30=1,Debt!DB68&gt;Inputs!$F$9),Waterfall!DB7/Debt!DB68,"")</f>
        <v/>
      </c>
    </row>
    <row r="7">
      <c r="D7" t="inlineStr">
        <is>
          <t>Minimum DSCR, repayment periods</t>
        </is>
      </c>
      <c r="E7" t="inlineStr">
        <is>
          <t>x</t>
        </is>
      </c>
      <c r="F7" s="31">
        <f>IF(COUNT($J$6:$DB$6)&gt;0,MIN($J$6:$DB$6),0)</f>
        <v/>
      </c>
    </row>
    <row r="8">
      <c r="D8" t="inlineStr">
        <is>
          <t>Average DSCR, repayment periods</t>
        </is>
      </c>
      <c r="E8" t="inlineStr">
        <is>
          <t>x</t>
        </is>
      </c>
      <c r="F8" s="31">
        <f>IF(COUNT($J$6:$DB$6)&gt;0,AVERAGE($J$6:$DB$6),0)</f>
        <v/>
      </c>
    </row>
    <row r="9">
      <c r="D9" t="inlineStr">
        <is>
          <t>DSCR, ramp-up periods</t>
        </is>
      </c>
      <c r="E9" t="inlineStr">
        <is>
          <t>x</t>
        </is>
      </c>
      <c r="J9" s="31">
        <f>IF(AND(Time!J32=1,Debt!J68&gt;Inputs!$F$9),Waterfall!J7/Debt!J68,"")</f>
        <v/>
      </c>
      <c r="K9" s="31">
        <f>IF(AND(Time!K32=1,Debt!K68&gt;Inputs!$F$9),Waterfall!K7/Debt!K68,"")</f>
        <v/>
      </c>
      <c r="L9" s="31">
        <f>IF(AND(Time!L32=1,Debt!L68&gt;Inputs!$F$9),Waterfall!L7/Debt!L68,"")</f>
        <v/>
      </c>
      <c r="M9" s="31">
        <f>IF(AND(Time!M32=1,Debt!M68&gt;Inputs!$F$9),Waterfall!M7/Debt!M68,"")</f>
        <v/>
      </c>
      <c r="N9" s="31">
        <f>IF(AND(Time!N32=1,Debt!N68&gt;Inputs!$F$9),Waterfall!N7/Debt!N68,"")</f>
        <v/>
      </c>
      <c r="O9" s="31">
        <f>IF(AND(Time!O32=1,Debt!O68&gt;Inputs!$F$9),Waterfall!O7/Debt!O68,"")</f>
        <v/>
      </c>
      <c r="P9" s="31">
        <f>IF(AND(Time!P32=1,Debt!P68&gt;Inputs!$F$9),Waterfall!P7/Debt!P68,"")</f>
        <v/>
      </c>
      <c r="Q9" s="31">
        <f>IF(AND(Time!Q32=1,Debt!Q68&gt;Inputs!$F$9),Waterfall!Q7/Debt!Q68,"")</f>
        <v/>
      </c>
      <c r="R9" s="31">
        <f>IF(AND(Time!R32=1,Debt!R68&gt;Inputs!$F$9),Waterfall!R7/Debt!R68,"")</f>
        <v/>
      </c>
      <c r="S9" s="31">
        <f>IF(AND(Time!S32=1,Debt!S68&gt;Inputs!$F$9),Waterfall!S7/Debt!S68,"")</f>
        <v/>
      </c>
      <c r="T9" s="31">
        <f>IF(AND(Time!T32=1,Debt!T68&gt;Inputs!$F$9),Waterfall!T7/Debt!T68,"")</f>
        <v/>
      </c>
      <c r="U9" s="31">
        <f>IF(AND(Time!U32=1,Debt!U68&gt;Inputs!$F$9),Waterfall!U7/Debt!U68,"")</f>
        <v/>
      </c>
      <c r="V9" s="31">
        <f>IF(AND(Time!V32=1,Debt!V68&gt;Inputs!$F$9),Waterfall!V7/Debt!V68,"")</f>
        <v/>
      </c>
      <c r="W9" s="31">
        <f>IF(AND(Time!W32=1,Debt!W68&gt;Inputs!$F$9),Waterfall!W7/Debt!W68,"")</f>
        <v/>
      </c>
      <c r="X9" s="31">
        <f>IF(AND(Time!X32=1,Debt!X68&gt;Inputs!$F$9),Waterfall!X7/Debt!X68,"")</f>
        <v/>
      </c>
      <c r="Y9" s="31">
        <f>IF(AND(Time!Y32=1,Debt!Y68&gt;Inputs!$F$9),Waterfall!Y7/Debt!Y68,"")</f>
        <v/>
      </c>
      <c r="Z9" s="31">
        <f>IF(AND(Time!Z32=1,Debt!Z68&gt;Inputs!$F$9),Waterfall!Z7/Debt!Z68,"")</f>
        <v/>
      </c>
      <c r="AA9" s="31">
        <f>IF(AND(Time!AA32=1,Debt!AA68&gt;Inputs!$F$9),Waterfall!AA7/Debt!AA68,"")</f>
        <v/>
      </c>
      <c r="AB9" s="31">
        <f>IF(AND(Time!AB32=1,Debt!AB68&gt;Inputs!$F$9),Waterfall!AB7/Debt!AB68,"")</f>
        <v/>
      </c>
      <c r="AC9" s="31">
        <f>IF(AND(Time!AC32=1,Debt!AC68&gt;Inputs!$F$9),Waterfall!AC7/Debt!AC68,"")</f>
        <v/>
      </c>
      <c r="AD9" s="31">
        <f>IF(AND(Time!AD32=1,Debt!AD68&gt;Inputs!$F$9),Waterfall!AD7/Debt!AD68,"")</f>
        <v/>
      </c>
      <c r="AE9" s="31">
        <f>IF(AND(Time!AE32=1,Debt!AE68&gt;Inputs!$F$9),Waterfall!AE7/Debt!AE68,"")</f>
        <v/>
      </c>
      <c r="AF9" s="31">
        <f>IF(AND(Time!AF32=1,Debt!AF68&gt;Inputs!$F$9),Waterfall!AF7/Debt!AF68,"")</f>
        <v/>
      </c>
      <c r="AG9" s="31">
        <f>IF(AND(Time!AG32=1,Debt!AG68&gt;Inputs!$F$9),Waterfall!AG7/Debt!AG68,"")</f>
        <v/>
      </c>
      <c r="AH9" s="31">
        <f>IF(AND(Time!AH32=1,Debt!AH68&gt;Inputs!$F$9),Waterfall!AH7/Debt!AH68,"")</f>
        <v/>
      </c>
      <c r="AI9" s="31">
        <f>IF(AND(Time!AI32=1,Debt!AI68&gt;Inputs!$F$9),Waterfall!AI7/Debt!AI68,"")</f>
        <v/>
      </c>
      <c r="AJ9" s="31">
        <f>IF(AND(Time!AJ32=1,Debt!AJ68&gt;Inputs!$F$9),Waterfall!AJ7/Debt!AJ68,"")</f>
        <v/>
      </c>
      <c r="AK9" s="31">
        <f>IF(AND(Time!AK32=1,Debt!AK68&gt;Inputs!$F$9),Waterfall!AK7/Debt!AK68,"")</f>
        <v/>
      </c>
      <c r="AL9" s="31">
        <f>IF(AND(Time!AL32=1,Debt!AL68&gt;Inputs!$F$9),Waterfall!AL7/Debt!AL68,"")</f>
        <v/>
      </c>
      <c r="AM9" s="31">
        <f>IF(AND(Time!AM32=1,Debt!AM68&gt;Inputs!$F$9),Waterfall!AM7/Debt!AM68,"")</f>
        <v/>
      </c>
      <c r="AN9" s="31">
        <f>IF(AND(Time!AN32=1,Debt!AN68&gt;Inputs!$F$9),Waterfall!AN7/Debt!AN68,"")</f>
        <v/>
      </c>
      <c r="AO9" s="31">
        <f>IF(AND(Time!AO32=1,Debt!AO68&gt;Inputs!$F$9),Waterfall!AO7/Debt!AO68,"")</f>
        <v/>
      </c>
      <c r="AP9" s="31">
        <f>IF(AND(Time!AP32=1,Debt!AP68&gt;Inputs!$F$9),Waterfall!AP7/Debt!AP68,"")</f>
        <v/>
      </c>
      <c r="AQ9" s="31">
        <f>IF(AND(Time!AQ32=1,Debt!AQ68&gt;Inputs!$F$9),Waterfall!AQ7/Debt!AQ68,"")</f>
        <v/>
      </c>
      <c r="AR9" s="31">
        <f>IF(AND(Time!AR32=1,Debt!AR68&gt;Inputs!$F$9),Waterfall!AR7/Debt!AR68,"")</f>
        <v/>
      </c>
      <c r="AS9" s="31">
        <f>IF(AND(Time!AS32=1,Debt!AS68&gt;Inputs!$F$9),Waterfall!AS7/Debt!AS68,"")</f>
        <v/>
      </c>
      <c r="AT9" s="31">
        <f>IF(AND(Time!AT32=1,Debt!AT68&gt;Inputs!$F$9),Waterfall!AT7/Debt!AT68,"")</f>
        <v/>
      </c>
      <c r="AU9" s="31">
        <f>IF(AND(Time!AU32=1,Debt!AU68&gt;Inputs!$F$9),Waterfall!AU7/Debt!AU68,"")</f>
        <v/>
      </c>
      <c r="AV9" s="31">
        <f>IF(AND(Time!AV32=1,Debt!AV68&gt;Inputs!$F$9),Waterfall!AV7/Debt!AV68,"")</f>
        <v/>
      </c>
      <c r="AW9" s="31">
        <f>IF(AND(Time!AW32=1,Debt!AW68&gt;Inputs!$F$9),Waterfall!AW7/Debt!AW68,"")</f>
        <v/>
      </c>
      <c r="AX9" s="31">
        <f>IF(AND(Time!AX32=1,Debt!AX68&gt;Inputs!$F$9),Waterfall!AX7/Debt!AX68,"")</f>
        <v/>
      </c>
      <c r="AY9" s="31">
        <f>IF(AND(Time!AY32=1,Debt!AY68&gt;Inputs!$F$9),Waterfall!AY7/Debt!AY68,"")</f>
        <v/>
      </c>
      <c r="AZ9" s="31">
        <f>IF(AND(Time!AZ32=1,Debt!AZ68&gt;Inputs!$F$9),Waterfall!AZ7/Debt!AZ68,"")</f>
        <v/>
      </c>
      <c r="BA9" s="31">
        <f>IF(AND(Time!BA32=1,Debt!BA68&gt;Inputs!$F$9),Waterfall!BA7/Debt!BA68,"")</f>
        <v/>
      </c>
      <c r="BB9" s="31">
        <f>IF(AND(Time!BB32=1,Debt!BB68&gt;Inputs!$F$9),Waterfall!BB7/Debt!BB68,"")</f>
        <v/>
      </c>
      <c r="BC9" s="31">
        <f>IF(AND(Time!BC32=1,Debt!BC68&gt;Inputs!$F$9),Waterfall!BC7/Debt!BC68,"")</f>
        <v/>
      </c>
      <c r="BD9" s="31">
        <f>IF(AND(Time!BD32=1,Debt!BD68&gt;Inputs!$F$9),Waterfall!BD7/Debt!BD68,"")</f>
        <v/>
      </c>
      <c r="BE9" s="31">
        <f>IF(AND(Time!BE32=1,Debt!BE68&gt;Inputs!$F$9),Waterfall!BE7/Debt!BE68,"")</f>
        <v/>
      </c>
      <c r="BF9" s="31">
        <f>IF(AND(Time!BF32=1,Debt!BF68&gt;Inputs!$F$9),Waterfall!BF7/Debt!BF68,"")</f>
        <v/>
      </c>
      <c r="BG9" s="31">
        <f>IF(AND(Time!BG32=1,Debt!BG68&gt;Inputs!$F$9),Waterfall!BG7/Debt!BG68,"")</f>
        <v/>
      </c>
      <c r="BH9" s="31">
        <f>IF(AND(Time!BH32=1,Debt!BH68&gt;Inputs!$F$9),Waterfall!BH7/Debt!BH68,"")</f>
        <v/>
      </c>
      <c r="BI9" s="31">
        <f>IF(AND(Time!BI32=1,Debt!BI68&gt;Inputs!$F$9),Waterfall!BI7/Debt!BI68,"")</f>
        <v/>
      </c>
      <c r="BJ9" s="31">
        <f>IF(AND(Time!BJ32=1,Debt!BJ68&gt;Inputs!$F$9),Waterfall!BJ7/Debt!BJ68,"")</f>
        <v/>
      </c>
      <c r="BK9" s="31">
        <f>IF(AND(Time!BK32=1,Debt!BK68&gt;Inputs!$F$9),Waterfall!BK7/Debt!BK68,"")</f>
        <v/>
      </c>
      <c r="BL9" s="31">
        <f>IF(AND(Time!BL32=1,Debt!BL68&gt;Inputs!$F$9),Waterfall!BL7/Debt!BL68,"")</f>
        <v/>
      </c>
      <c r="BM9" s="31">
        <f>IF(AND(Time!BM32=1,Debt!BM68&gt;Inputs!$F$9),Waterfall!BM7/Debt!BM68,"")</f>
        <v/>
      </c>
      <c r="BN9" s="31">
        <f>IF(AND(Time!BN32=1,Debt!BN68&gt;Inputs!$F$9),Waterfall!BN7/Debt!BN68,"")</f>
        <v/>
      </c>
      <c r="BO9" s="31">
        <f>IF(AND(Time!BO32=1,Debt!BO68&gt;Inputs!$F$9),Waterfall!BO7/Debt!BO68,"")</f>
        <v/>
      </c>
      <c r="BP9" s="31">
        <f>IF(AND(Time!BP32=1,Debt!BP68&gt;Inputs!$F$9),Waterfall!BP7/Debt!BP68,"")</f>
        <v/>
      </c>
      <c r="BQ9" s="31">
        <f>IF(AND(Time!BQ32=1,Debt!BQ68&gt;Inputs!$F$9),Waterfall!BQ7/Debt!BQ68,"")</f>
        <v/>
      </c>
      <c r="BR9" s="31">
        <f>IF(AND(Time!BR32=1,Debt!BR68&gt;Inputs!$F$9),Waterfall!BR7/Debt!BR68,"")</f>
        <v/>
      </c>
      <c r="BS9" s="31">
        <f>IF(AND(Time!BS32=1,Debt!BS68&gt;Inputs!$F$9),Waterfall!BS7/Debt!BS68,"")</f>
        <v/>
      </c>
      <c r="BT9" s="31">
        <f>IF(AND(Time!BT32=1,Debt!BT68&gt;Inputs!$F$9),Waterfall!BT7/Debt!BT68,"")</f>
        <v/>
      </c>
      <c r="BU9" s="31">
        <f>IF(AND(Time!BU32=1,Debt!BU68&gt;Inputs!$F$9),Waterfall!BU7/Debt!BU68,"")</f>
        <v/>
      </c>
      <c r="BV9" s="31">
        <f>IF(AND(Time!BV32=1,Debt!BV68&gt;Inputs!$F$9),Waterfall!BV7/Debt!BV68,"")</f>
        <v/>
      </c>
      <c r="BW9" s="31">
        <f>IF(AND(Time!BW32=1,Debt!BW68&gt;Inputs!$F$9),Waterfall!BW7/Debt!BW68,"")</f>
        <v/>
      </c>
      <c r="BX9" s="31">
        <f>IF(AND(Time!BX32=1,Debt!BX68&gt;Inputs!$F$9),Waterfall!BX7/Debt!BX68,"")</f>
        <v/>
      </c>
      <c r="BY9" s="31">
        <f>IF(AND(Time!BY32=1,Debt!BY68&gt;Inputs!$F$9),Waterfall!BY7/Debt!BY68,"")</f>
        <v/>
      </c>
      <c r="BZ9" s="31">
        <f>IF(AND(Time!BZ32=1,Debt!BZ68&gt;Inputs!$F$9),Waterfall!BZ7/Debt!BZ68,"")</f>
        <v/>
      </c>
      <c r="CA9" s="31">
        <f>IF(AND(Time!CA32=1,Debt!CA68&gt;Inputs!$F$9),Waterfall!CA7/Debt!CA68,"")</f>
        <v/>
      </c>
      <c r="CB9" s="31">
        <f>IF(AND(Time!CB32=1,Debt!CB68&gt;Inputs!$F$9),Waterfall!CB7/Debt!CB68,"")</f>
        <v/>
      </c>
      <c r="CC9" s="31">
        <f>IF(AND(Time!CC32=1,Debt!CC68&gt;Inputs!$F$9),Waterfall!CC7/Debt!CC68,"")</f>
        <v/>
      </c>
      <c r="CD9" s="31">
        <f>IF(AND(Time!CD32=1,Debt!CD68&gt;Inputs!$F$9),Waterfall!CD7/Debt!CD68,"")</f>
        <v/>
      </c>
      <c r="CE9" s="31">
        <f>IF(AND(Time!CE32=1,Debt!CE68&gt;Inputs!$F$9),Waterfall!CE7/Debt!CE68,"")</f>
        <v/>
      </c>
      <c r="CF9" s="31">
        <f>IF(AND(Time!CF32=1,Debt!CF68&gt;Inputs!$F$9),Waterfall!CF7/Debt!CF68,"")</f>
        <v/>
      </c>
      <c r="CG9" s="31">
        <f>IF(AND(Time!CG32=1,Debt!CG68&gt;Inputs!$F$9),Waterfall!CG7/Debt!CG68,"")</f>
        <v/>
      </c>
      <c r="CH9" s="31">
        <f>IF(AND(Time!CH32=1,Debt!CH68&gt;Inputs!$F$9),Waterfall!CH7/Debt!CH68,"")</f>
        <v/>
      </c>
      <c r="CI9" s="31">
        <f>IF(AND(Time!CI32=1,Debt!CI68&gt;Inputs!$F$9),Waterfall!CI7/Debt!CI68,"")</f>
        <v/>
      </c>
      <c r="CJ9" s="31">
        <f>IF(AND(Time!CJ32=1,Debt!CJ68&gt;Inputs!$F$9),Waterfall!CJ7/Debt!CJ68,"")</f>
        <v/>
      </c>
      <c r="CK9" s="31">
        <f>IF(AND(Time!CK32=1,Debt!CK68&gt;Inputs!$F$9),Waterfall!CK7/Debt!CK68,"")</f>
        <v/>
      </c>
      <c r="CL9" s="31">
        <f>IF(AND(Time!CL32=1,Debt!CL68&gt;Inputs!$F$9),Waterfall!CL7/Debt!CL68,"")</f>
        <v/>
      </c>
      <c r="CM9" s="31">
        <f>IF(AND(Time!CM32=1,Debt!CM68&gt;Inputs!$F$9),Waterfall!CM7/Debt!CM68,"")</f>
        <v/>
      </c>
      <c r="CN9" s="31">
        <f>IF(AND(Time!CN32=1,Debt!CN68&gt;Inputs!$F$9),Waterfall!CN7/Debt!CN68,"")</f>
        <v/>
      </c>
      <c r="CO9" s="31">
        <f>IF(AND(Time!CO32=1,Debt!CO68&gt;Inputs!$F$9),Waterfall!CO7/Debt!CO68,"")</f>
        <v/>
      </c>
      <c r="CP9" s="31">
        <f>IF(AND(Time!CP32=1,Debt!CP68&gt;Inputs!$F$9),Waterfall!CP7/Debt!CP68,"")</f>
        <v/>
      </c>
      <c r="CQ9" s="31">
        <f>IF(AND(Time!CQ32=1,Debt!CQ68&gt;Inputs!$F$9),Waterfall!CQ7/Debt!CQ68,"")</f>
        <v/>
      </c>
      <c r="CR9" s="31">
        <f>IF(AND(Time!CR32=1,Debt!CR68&gt;Inputs!$F$9),Waterfall!CR7/Debt!CR68,"")</f>
        <v/>
      </c>
      <c r="CS9" s="31">
        <f>IF(AND(Time!CS32=1,Debt!CS68&gt;Inputs!$F$9),Waterfall!CS7/Debt!CS68,"")</f>
        <v/>
      </c>
      <c r="CT9" s="31">
        <f>IF(AND(Time!CT32=1,Debt!CT68&gt;Inputs!$F$9),Waterfall!CT7/Debt!CT68,"")</f>
        <v/>
      </c>
      <c r="CU9" s="31">
        <f>IF(AND(Time!CU32=1,Debt!CU68&gt;Inputs!$F$9),Waterfall!CU7/Debt!CU68,"")</f>
        <v/>
      </c>
      <c r="CV9" s="31">
        <f>IF(AND(Time!CV32=1,Debt!CV68&gt;Inputs!$F$9),Waterfall!CV7/Debt!CV68,"")</f>
        <v/>
      </c>
      <c r="CW9" s="31">
        <f>IF(AND(Time!CW32=1,Debt!CW68&gt;Inputs!$F$9),Waterfall!CW7/Debt!CW68,"")</f>
        <v/>
      </c>
      <c r="CX9" s="31">
        <f>IF(AND(Time!CX32=1,Debt!CX68&gt;Inputs!$F$9),Waterfall!CX7/Debt!CX68,"")</f>
        <v/>
      </c>
      <c r="CY9" s="31">
        <f>IF(AND(Time!CY32=1,Debt!CY68&gt;Inputs!$F$9),Waterfall!CY7/Debt!CY68,"")</f>
        <v/>
      </c>
      <c r="CZ9" s="31">
        <f>IF(AND(Time!CZ32=1,Debt!CZ68&gt;Inputs!$F$9),Waterfall!CZ7/Debt!CZ68,"")</f>
        <v/>
      </c>
      <c r="DA9" s="31">
        <f>IF(AND(Time!DA32=1,Debt!DA68&gt;Inputs!$F$9),Waterfall!DA7/Debt!DA68,"")</f>
        <v/>
      </c>
      <c r="DB9" s="31">
        <f>IF(AND(Time!DB32=1,Debt!DB68&gt;Inputs!$F$9),Waterfall!DB7/Debt!DB68,"")</f>
        <v/>
      </c>
    </row>
    <row r="10">
      <c r="D10" t="inlineStr">
        <is>
          <t>Minimum DSCR, ramp-up</t>
        </is>
      </c>
      <c r="E10" t="inlineStr">
        <is>
          <t>x</t>
        </is>
      </c>
      <c r="F10" s="31">
        <f>IF(COUNT($J$9:$DB$9)&gt;0,MIN($J$9:$DB$9),0)</f>
        <v/>
      </c>
    </row>
    <row r="11">
      <c r="D11" t="inlineStr">
        <is>
          <t>Senior plus NILO DSCR</t>
        </is>
      </c>
      <c r="E11" t="inlineStr">
        <is>
          <t>x</t>
        </is>
      </c>
      <c r="J11" s="31">
        <f>IF(AND(Time!J30=1,Time!J47=1,Debt!J68+Debt!J98+Debt!J99&gt;Inputs!$F$9),Waterfall!J7/(Debt!J68+Debt!J98+Debt!J99),"")</f>
        <v/>
      </c>
      <c r="K11" s="31">
        <f>IF(AND(Time!K30=1,Time!K47=1,Debt!K68+Debt!K98+Debt!K99&gt;Inputs!$F$9),Waterfall!K7/(Debt!K68+Debt!K98+Debt!K99),"")</f>
        <v/>
      </c>
      <c r="L11" s="31">
        <f>IF(AND(Time!L30=1,Time!L47=1,Debt!L68+Debt!L98+Debt!L99&gt;Inputs!$F$9),Waterfall!L7/(Debt!L68+Debt!L98+Debt!L99),"")</f>
        <v/>
      </c>
      <c r="M11" s="31">
        <f>IF(AND(Time!M30=1,Time!M47=1,Debt!M68+Debt!M98+Debt!M99&gt;Inputs!$F$9),Waterfall!M7/(Debt!M68+Debt!M98+Debt!M99),"")</f>
        <v/>
      </c>
      <c r="N11" s="31">
        <f>IF(AND(Time!N30=1,Time!N47=1,Debt!N68+Debt!N98+Debt!N99&gt;Inputs!$F$9),Waterfall!N7/(Debt!N68+Debt!N98+Debt!N99),"")</f>
        <v/>
      </c>
      <c r="O11" s="31">
        <f>IF(AND(Time!O30=1,Time!O47=1,Debt!O68+Debt!O98+Debt!O99&gt;Inputs!$F$9),Waterfall!O7/(Debt!O68+Debt!O98+Debt!O99),"")</f>
        <v/>
      </c>
      <c r="P11" s="31">
        <f>IF(AND(Time!P30=1,Time!P47=1,Debt!P68+Debt!P98+Debt!P99&gt;Inputs!$F$9),Waterfall!P7/(Debt!P68+Debt!P98+Debt!P99),"")</f>
        <v/>
      </c>
      <c r="Q11" s="31">
        <f>IF(AND(Time!Q30=1,Time!Q47=1,Debt!Q68+Debt!Q98+Debt!Q99&gt;Inputs!$F$9),Waterfall!Q7/(Debt!Q68+Debt!Q98+Debt!Q99),"")</f>
        <v/>
      </c>
      <c r="R11" s="31">
        <f>IF(AND(Time!R30=1,Time!R47=1,Debt!R68+Debt!R98+Debt!R99&gt;Inputs!$F$9),Waterfall!R7/(Debt!R68+Debt!R98+Debt!R99),"")</f>
        <v/>
      </c>
      <c r="S11" s="31">
        <f>IF(AND(Time!S30=1,Time!S47=1,Debt!S68+Debt!S98+Debt!S99&gt;Inputs!$F$9),Waterfall!S7/(Debt!S68+Debt!S98+Debt!S99),"")</f>
        <v/>
      </c>
      <c r="T11" s="31">
        <f>IF(AND(Time!T30=1,Time!T47=1,Debt!T68+Debt!T98+Debt!T99&gt;Inputs!$F$9),Waterfall!T7/(Debt!T68+Debt!T98+Debt!T99),"")</f>
        <v/>
      </c>
      <c r="U11" s="31">
        <f>IF(AND(Time!U30=1,Time!U47=1,Debt!U68+Debt!U98+Debt!U99&gt;Inputs!$F$9),Waterfall!U7/(Debt!U68+Debt!U98+Debt!U99),"")</f>
        <v/>
      </c>
      <c r="V11" s="31">
        <f>IF(AND(Time!V30=1,Time!V47=1,Debt!V68+Debt!V98+Debt!V99&gt;Inputs!$F$9),Waterfall!V7/(Debt!V68+Debt!V98+Debt!V99),"")</f>
        <v/>
      </c>
      <c r="W11" s="31">
        <f>IF(AND(Time!W30=1,Time!W47=1,Debt!W68+Debt!W98+Debt!W99&gt;Inputs!$F$9),Waterfall!W7/(Debt!W68+Debt!W98+Debt!W99),"")</f>
        <v/>
      </c>
      <c r="X11" s="31">
        <f>IF(AND(Time!X30=1,Time!X47=1,Debt!X68+Debt!X98+Debt!X99&gt;Inputs!$F$9),Waterfall!X7/(Debt!X68+Debt!X98+Debt!X99),"")</f>
        <v/>
      </c>
      <c r="Y11" s="31">
        <f>IF(AND(Time!Y30=1,Time!Y47=1,Debt!Y68+Debt!Y98+Debt!Y99&gt;Inputs!$F$9),Waterfall!Y7/(Debt!Y68+Debt!Y98+Debt!Y99),"")</f>
        <v/>
      </c>
      <c r="Z11" s="31">
        <f>IF(AND(Time!Z30=1,Time!Z47=1,Debt!Z68+Debt!Z98+Debt!Z99&gt;Inputs!$F$9),Waterfall!Z7/(Debt!Z68+Debt!Z98+Debt!Z99),"")</f>
        <v/>
      </c>
      <c r="AA11" s="31">
        <f>IF(AND(Time!AA30=1,Time!AA47=1,Debt!AA68+Debt!AA98+Debt!AA99&gt;Inputs!$F$9),Waterfall!AA7/(Debt!AA68+Debt!AA98+Debt!AA99),"")</f>
        <v/>
      </c>
      <c r="AB11" s="31">
        <f>IF(AND(Time!AB30=1,Time!AB47=1,Debt!AB68+Debt!AB98+Debt!AB99&gt;Inputs!$F$9),Waterfall!AB7/(Debt!AB68+Debt!AB98+Debt!AB99),"")</f>
        <v/>
      </c>
      <c r="AC11" s="31">
        <f>IF(AND(Time!AC30=1,Time!AC47=1,Debt!AC68+Debt!AC98+Debt!AC99&gt;Inputs!$F$9),Waterfall!AC7/(Debt!AC68+Debt!AC98+Debt!AC99),"")</f>
        <v/>
      </c>
      <c r="AD11" s="31">
        <f>IF(AND(Time!AD30=1,Time!AD47=1,Debt!AD68+Debt!AD98+Debt!AD99&gt;Inputs!$F$9),Waterfall!AD7/(Debt!AD68+Debt!AD98+Debt!AD99),"")</f>
        <v/>
      </c>
      <c r="AE11" s="31">
        <f>IF(AND(Time!AE30=1,Time!AE47=1,Debt!AE68+Debt!AE98+Debt!AE99&gt;Inputs!$F$9),Waterfall!AE7/(Debt!AE68+Debt!AE98+Debt!AE99),"")</f>
        <v/>
      </c>
      <c r="AF11" s="31">
        <f>IF(AND(Time!AF30=1,Time!AF47=1,Debt!AF68+Debt!AF98+Debt!AF99&gt;Inputs!$F$9),Waterfall!AF7/(Debt!AF68+Debt!AF98+Debt!AF99),"")</f>
        <v/>
      </c>
      <c r="AG11" s="31">
        <f>IF(AND(Time!AG30=1,Time!AG47=1,Debt!AG68+Debt!AG98+Debt!AG99&gt;Inputs!$F$9),Waterfall!AG7/(Debt!AG68+Debt!AG98+Debt!AG99),"")</f>
        <v/>
      </c>
      <c r="AH11" s="31">
        <f>IF(AND(Time!AH30=1,Time!AH47=1,Debt!AH68+Debt!AH98+Debt!AH99&gt;Inputs!$F$9),Waterfall!AH7/(Debt!AH68+Debt!AH98+Debt!AH99),"")</f>
        <v/>
      </c>
      <c r="AI11" s="31">
        <f>IF(AND(Time!AI30=1,Time!AI47=1,Debt!AI68+Debt!AI98+Debt!AI99&gt;Inputs!$F$9),Waterfall!AI7/(Debt!AI68+Debt!AI98+Debt!AI99),"")</f>
        <v/>
      </c>
      <c r="AJ11" s="31">
        <f>IF(AND(Time!AJ30=1,Time!AJ47=1,Debt!AJ68+Debt!AJ98+Debt!AJ99&gt;Inputs!$F$9),Waterfall!AJ7/(Debt!AJ68+Debt!AJ98+Debt!AJ99),"")</f>
        <v/>
      </c>
      <c r="AK11" s="31">
        <f>IF(AND(Time!AK30=1,Time!AK47=1,Debt!AK68+Debt!AK98+Debt!AK99&gt;Inputs!$F$9),Waterfall!AK7/(Debt!AK68+Debt!AK98+Debt!AK99),"")</f>
        <v/>
      </c>
      <c r="AL11" s="31">
        <f>IF(AND(Time!AL30=1,Time!AL47=1,Debt!AL68+Debt!AL98+Debt!AL99&gt;Inputs!$F$9),Waterfall!AL7/(Debt!AL68+Debt!AL98+Debt!AL99),"")</f>
        <v/>
      </c>
      <c r="AM11" s="31">
        <f>IF(AND(Time!AM30=1,Time!AM47=1,Debt!AM68+Debt!AM98+Debt!AM99&gt;Inputs!$F$9),Waterfall!AM7/(Debt!AM68+Debt!AM98+Debt!AM99),"")</f>
        <v/>
      </c>
      <c r="AN11" s="31">
        <f>IF(AND(Time!AN30=1,Time!AN47=1,Debt!AN68+Debt!AN98+Debt!AN99&gt;Inputs!$F$9),Waterfall!AN7/(Debt!AN68+Debt!AN98+Debt!AN99),"")</f>
        <v/>
      </c>
      <c r="AO11" s="31">
        <f>IF(AND(Time!AO30=1,Time!AO47=1,Debt!AO68+Debt!AO98+Debt!AO99&gt;Inputs!$F$9),Waterfall!AO7/(Debt!AO68+Debt!AO98+Debt!AO99),"")</f>
        <v/>
      </c>
      <c r="AP11" s="31">
        <f>IF(AND(Time!AP30=1,Time!AP47=1,Debt!AP68+Debt!AP98+Debt!AP99&gt;Inputs!$F$9),Waterfall!AP7/(Debt!AP68+Debt!AP98+Debt!AP99),"")</f>
        <v/>
      </c>
      <c r="AQ11" s="31">
        <f>IF(AND(Time!AQ30=1,Time!AQ47=1,Debt!AQ68+Debt!AQ98+Debt!AQ99&gt;Inputs!$F$9),Waterfall!AQ7/(Debt!AQ68+Debt!AQ98+Debt!AQ99),"")</f>
        <v/>
      </c>
      <c r="AR11" s="31">
        <f>IF(AND(Time!AR30=1,Time!AR47=1,Debt!AR68+Debt!AR98+Debt!AR99&gt;Inputs!$F$9),Waterfall!AR7/(Debt!AR68+Debt!AR98+Debt!AR99),"")</f>
        <v/>
      </c>
      <c r="AS11" s="31">
        <f>IF(AND(Time!AS30=1,Time!AS47=1,Debt!AS68+Debt!AS98+Debt!AS99&gt;Inputs!$F$9),Waterfall!AS7/(Debt!AS68+Debt!AS98+Debt!AS99),"")</f>
        <v/>
      </c>
      <c r="AT11" s="31">
        <f>IF(AND(Time!AT30=1,Time!AT47=1,Debt!AT68+Debt!AT98+Debt!AT99&gt;Inputs!$F$9),Waterfall!AT7/(Debt!AT68+Debt!AT98+Debt!AT99),"")</f>
        <v/>
      </c>
      <c r="AU11" s="31">
        <f>IF(AND(Time!AU30=1,Time!AU47=1,Debt!AU68+Debt!AU98+Debt!AU99&gt;Inputs!$F$9),Waterfall!AU7/(Debt!AU68+Debt!AU98+Debt!AU99),"")</f>
        <v/>
      </c>
      <c r="AV11" s="31">
        <f>IF(AND(Time!AV30=1,Time!AV47=1,Debt!AV68+Debt!AV98+Debt!AV99&gt;Inputs!$F$9),Waterfall!AV7/(Debt!AV68+Debt!AV98+Debt!AV99),"")</f>
        <v/>
      </c>
      <c r="AW11" s="31">
        <f>IF(AND(Time!AW30=1,Time!AW47=1,Debt!AW68+Debt!AW98+Debt!AW99&gt;Inputs!$F$9),Waterfall!AW7/(Debt!AW68+Debt!AW98+Debt!AW99),"")</f>
        <v/>
      </c>
      <c r="AX11" s="31">
        <f>IF(AND(Time!AX30=1,Time!AX47=1,Debt!AX68+Debt!AX98+Debt!AX99&gt;Inputs!$F$9),Waterfall!AX7/(Debt!AX68+Debt!AX98+Debt!AX99),"")</f>
        <v/>
      </c>
      <c r="AY11" s="31">
        <f>IF(AND(Time!AY30=1,Time!AY47=1,Debt!AY68+Debt!AY98+Debt!AY99&gt;Inputs!$F$9),Waterfall!AY7/(Debt!AY68+Debt!AY98+Debt!AY99),"")</f>
        <v/>
      </c>
      <c r="AZ11" s="31">
        <f>IF(AND(Time!AZ30=1,Time!AZ47=1,Debt!AZ68+Debt!AZ98+Debt!AZ99&gt;Inputs!$F$9),Waterfall!AZ7/(Debt!AZ68+Debt!AZ98+Debt!AZ99),"")</f>
        <v/>
      </c>
      <c r="BA11" s="31">
        <f>IF(AND(Time!BA30=1,Time!BA47=1,Debt!BA68+Debt!BA98+Debt!BA99&gt;Inputs!$F$9),Waterfall!BA7/(Debt!BA68+Debt!BA98+Debt!BA99),"")</f>
        <v/>
      </c>
      <c r="BB11" s="31">
        <f>IF(AND(Time!BB30=1,Time!BB47=1,Debt!BB68+Debt!BB98+Debt!BB99&gt;Inputs!$F$9),Waterfall!BB7/(Debt!BB68+Debt!BB98+Debt!BB99),"")</f>
        <v/>
      </c>
      <c r="BC11" s="31">
        <f>IF(AND(Time!BC30=1,Time!BC47=1,Debt!BC68+Debt!BC98+Debt!BC99&gt;Inputs!$F$9),Waterfall!BC7/(Debt!BC68+Debt!BC98+Debt!BC99),"")</f>
        <v/>
      </c>
      <c r="BD11" s="31">
        <f>IF(AND(Time!BD30=1,Time!BD47=1,Debt!BD68+Debt!BD98+Debt!BD99&gt;Inputs!$F$9),Waterfall!BD7/(Debt!BD68+Debt!BD98+Debt!BD99),"")</f>
        <v/>
      </c>
      <c r="BE11" s="31">
        <f>IF(AND(Time!BE30=1,Time!BE47=1,Debt!BE68+Debt!BE98+Debt!BE99&gt;Inputs!$F$9),Waterfall!BE7/(Debt!BE68+Debt!BE98+Debt!BE99),"")</f>
        <v/>
      </c>
      <c r="BF11" s="31">
        <f>IF(AND(Time!BF30=1,Time!BF47=1,Debt!BF68+Debt!BF98+Debt!BF99&gt;Inputs!$F$9),Waterfall!BF7/(Debt!BF68+Debt!BF98+Debt!BF99),"")</f>
        <v/>
      </c>
      <c r="BG11" s="31">
        <f>IF(AND(Time!BG30=1,Time!BG47=1,Debt!BG68+Debt!BG98+Debt!BG99&gt;Inputs!$F$9),Waterfall!BG7/(Debt!BG68+Debt!BG98+Debt!BG99),"")</f>
        <v/>
      </c>
      <c r="BH11" s="31">
        <f>IF(AND(Time!BH30=1,Time!BH47=1,Debt!BH68+Debt!BH98+Debt!BH99&gt;Inputs!$F$9),Waterfall!BH7/(Debt!BH68+Debt!BH98+Debt!BH99),"")</f>
        <v/>
      </c>
      <c r="BI11" s="31">
        <f>IF(AND(Time!BI30=1,Time!BI47=1,Debt!BI68+Debt!BI98+Debt!BI99&gt;Inputs!$F$9),Waterfall!BI7/(Debt!BI68+Debt!BI98+Debt!BI99),"")</f>
        <v/>
      </c>
      <c r="BJ11" s="31">
        <f>IF(AND(Time!BJ30=1,Time!BJ47=1,Debt!BJ68+Debt!BJ98+Debt!BJ99&gt;Inputs!$F$9),Waterfall!BJ7/(Debt!BJ68+Debt!BJ98+Debt!BJ99),"")</f>
        <v/>
      </c>
      <c r="BK11" s="31">
        <f>IF(AND(Time!BK30=1,Time!BK47=1,Debt!BK68+Debt!BK98+Debt!BK99&gt;Inputs!$F$9),Waterfall!BK7/(Debt!BK68+Debt!BK98+Debt!BK99),"")</f>
        <v/>
      </c>
      <c r="BL11" s="31">
        <f>IF(AND(Time!BL30=1,Time!BL47=1,Debt!BL68+Debt!BL98+Debt!BL99&gt;Inputs!$F$9),Waterfall!BL7/(Debt!BL68+Debt!BL98+Debt!BL99),"")</f>
        <v/>
      </c>
      <c r="BM11" s="31">
        <f>IF(AND(Time!BM30=1,Time!BM47=1,Debt!BM68+Debt!BM98+Debt!BM99&gt;Inputs!$F$9),Waterfall!BM7/(Debt!BM68+Debt!BM98+Debt!BM99),"")</f>
        <v/>
      </c>
      <c r="BN11" s="31">
        <f>IF(AND(Time!BN30=1,Time!BN47=1,Debt!BN68+Debt!BN98+Debt!BN99&gt;Inputs!$F$9),Waterfall!BN7/(Debt!BN68+Debt!BN98+Debt!BN99),"")</f>
        <v/>
      </c>
      <c r="BO11" s="31">
        <f>IF(AND(Time!BO30=1,Time!BO47=1,Debt!BO68+Debt!BO98+Debt!BO99&gt;Inputs!$F$9),Waterfall!BO7/(Debt!BO68+Debt!BO98+Debt!BO99),"")</f>
        <v/>
      </c>
      <c r="BP11" s="31">
        <f>IF(AND(Time!BP30=1,Time!BP47=1,Debt!BP68+Debt!BP98+Debt!BP99&gt;Inputs!$F$9),Waterfall!BP7/(Debt!BP68+Debt!BP98+Debt!BP99),"")</f>
        <v/>
      </c>
      <c r="BQ11" s="31">
        <f>IF(AND(Time!BQ30=1,Time!BQ47=1,Debt!BQ68+Debt!BQ98+Debt!BQ99&gt;Inputs!$F$9),Waterfall!BQ7/(Debt!BQ68+Debt!BQ98+Debt!BQ99),"")</f>
        <v/>
      </c>
      <c r="BR11" s="31">
        <f>IF(AND(Time!BR30=1,Time!BR47=1,Debt!BR68+Debt!BR98+Debt!BR99&gt;Inputs!$F$9),Waterfall!BR7/(Debt!BR68+Debt!BR98+Debt!BR99),"")</f>
        <v/>
      </c>
      <c r="BS11" s="31">
        <f>IF(AND(Time!BS30=1,Time!BS47=1,Debt!BS68+Debt!BS98+Debt!BS99&gt;Inputs!$F$9),Waterfall!BS7/(Debt!BS68+Debt!BS98+Debt!BS99),"")</f>
        <v/>
      </c>
      <c r="BT11" s="31">
        <f>IF(AND(Time!BT30=1,Time!BT47=1,Debt!BT68+Debt!BT98+Debt!BT99&gt;Inputs!$F$9),Waterfall!BT7/(Debt!BT68+Debt!BT98+Debt!BT99),"")</f>
        <v/>
      </c>
      <c r="BU11" s="31">
        <f>IF(AND(Time!BU30=1,Time!BU47=1,Debt!BU68+Debt!BU98+Debt!BU99&gt;Inputs!$F$9),Waterfall!BU7/(Debt!BU68+Debt!BU98+Debt!BU99),"")</f>
        <v/>
      </c>
      <c r="BV11" s="31">
        <f>IF(AND(Time!BV30=1,Time!BV47=1,Debt!BV68+Debt!BV98+Debt!BV99&gt;Inputs!$F$9),Waterfall!BV7/(Debt!BV68+Debt!BV98+Debt!BV99),"")</f>
        <v/>
      </c>
      <c r="BW11" s="31">
        <f>IF(AND(Time!BW30=1,Time!BW47=1,Debt!BW68+Debt!BW98+Debt!BW99&gt;Inputs!$F$9),Waterfall!BW7/(Debt!BW68+Debt!BW98+Debt!BW99),"")</f>
        <v/>
      </c>
      <c r="BX11" s="31">
        <f>IF(AND(Time!BX30=1,Time!BX47=1,Debt!BX68+Debt!BX98+Debt!BX99&gt;Inputs!$F$9),Waterfall!BX7/(Debt!BX68+Debt!BX98+Debt!BX99),"")</f>
        <v/>
      </c>
      <c r="BY11" s="31">
        <f>IF(AND(Time!BY30=1,Time!BY47=1,Debt!BY68+Debt!BY98+Debt!BY99&gt;Inputs!$F$9),Waterfall!BY7/(Debt!BY68+Debt!BY98+Debt!BY99),"")</f>
        <v/>
      </c>
      <c r="BZ11" s="31">
        <f>IF(AND(Time!BZ30=1,Time!BZ47=1,Debt!BZ68+Debt!BZ98+Debt!BZ99&gt;Inputs!$F$9),Waterfall!BZ7/(Debt!BZ68+Debt!BZ98+Debt!BZ99),"")</f>
        <v/>
      </c>
      <c r="CA11" s="31">
        <f>IF(AND(Time!CA30=1,Time!CA47=1,Debt!CA68+Debt!CA98+Debt!CA99&gt;Inputs!$F$9),Waterfall!CA7/(Debt!CA68+Debt!CA98+Debt!CA99),"")</f>
        <v/>
      </c>
      <c r="CB11" s="31">
        <f>IF(AND(Time!CB30=1,Time!CB47=1,Debt!CB68+Debt!CB98+Debt!CB99&gt;Inputs!$F$9),Waterfall!CB7/(Debt!CB68+Debt!CB98+Debt!CB99),"")</f>
        <v/>
      </c>
      <c r="CC11" s="31">
        <f>IF(AND(Time!CC30=1,Time!CC47=1,Debt!CC68+Debt!CC98+Debt!CC99&gt;Inputs!$F$9),Waterfall!CC7/(Debt!CC68+Debt!CC98+Debt!CC99),"")</f>
        <v/>
      </c>
      <c r="CD11" s="31">
        <f>IF(AND(Time!CD30=1,Time!CD47=1,Debt!CD68+Debt!CD98+Debt!CD99&gt;Inputs!$F$9),Waterfall!CD7/(Debt!CD68+Debt!CD98+Debt!CD99),"")</f>
        <v/>
      </c>
      <c r="CE11" s="31">
        <f>IF(AND(Time!CE30=1,Time!CE47=1,Debt!CE68+Debt!CE98+Debt!CE99&gt;Inputs!$F$9),Waterfall!CE7/(Debt!CE68+Debt!CE98+Debt!CE99),"")</f>
        <v/>
      </c>
      <c r="CF11" s="31">
        <f>IF(AND(Time!CF30=1,Time!CF47=1,Debt!CF68+Debt!CF98+Debt!CF99&gt;Inputs!$F$9),Waterfall!CF7/(Debt!CF68+Debt!CF98+Debt!CF99),"")</f>
        <v/>
      </c>
      <c r="CG11" s="31">
        <f>IF(AND(Time!CG30=1,Time!CG47=1,Debt!CG68+Debt!CG98+Debt!CG99&gt;Inputs!$F$9),Waterfall!CG7/(Debt!CG68+Debt!CG98+Debt!CG99),"")</f>
        <v/>
      </c>
      <c r="CH11" s="31">
        <f>IF(AND(Time!CH30=1,Time!CH47=1,Debt!CH68+Debt!CH98+Debt!CH99&gt;Inputs!$F$9),Waterfall!CH7/(Debt!CH68+Debt!CH98+Debt!CH99),"")</f>
        <v/>
      </c>
      <c r="CI11" s="31">
        <f>IF(AND(Time!CI30=1,Time!CI47=1,Debt!CI68+Debt!CI98+Debt!CI99&gt;Inputs!$F$9),Waterfall!CI7/(Debt!CI68+Debt!CI98+Debt!CI99),"")</f>
        <v/>
      </c>
      <c r="CJ11" s="31">
        <f>IF(AND(Time!CJ30=1,Time!CJ47=1,Debt!CJ68+Debt!CJ98+Debt!CJ99&gt;Inputs!$F$9),Waterfall!CJ7/(Debt!CJ68+Debt!CJ98+Debt!CJ99),"")</f>
        <v/>
      </c>
      <c r="CK11" s="31">
        <f>IF(AND(Time!CK30=1,Time!CK47=1,Debt!CK68+Debt!CK98+Debt!CK99&gt;Inputs!$F$9),Waterfall!CK7/(Debt!CK68+Debt!CK98+Debt!CK99),"")</f>
        <v/>
      </c>
      <c r="CL11" s="31">
        <f>IF(AND(Time!CL30=1,Time!CL47=1,Debt!CL68+Debt!CL98+Debt!CL99&gt;Inputs!$F$9),Waterfall!CL7/(Debt!CL68+Debt!CL98+Debt!CL99),"")</f>
        <v/>
      </c>
      <c r="CM11" s="31">
        <f>IF(AND(Time!CM30=1,Time!CM47=1,Debt!CM68+Debt!CM98+Debt!CM99&gt;Inputs!$F$9),Waterfall!CM7/(Debt!CM68+Debt!CM98+Debt!CM99),"")</f>
        <v/>
      </c>
      <c r="CN11" s="31">
        <f>IF(AND(Time!CN30=1,Time!CN47=1,Debt!CN68+Debt!CN98+Debt!CN99&gt;Inputs!$F$9),Waterfall!CN7/(Debt!CN68+Debt!CN98+Debt!CN99),"")</f>
        <v/>
      </c>
      <c r="CO11" s="31">
        <f>IF(AND(Time!CO30=1,Time!CO47=1,Debt!CO68+Debt!CO98+Debt!CO99&gt;Inputs!$F$9),Waterfall!CO7/(Debt!CO68+Debt!CO98+Debt!CO99),"")</f>
        <v/>
      </c>
      <c r="CP11" s="31">
        <f>IF(AND(Time!CP30=1,Time!CP47=1,Debt!CP68+Debt!CP98+Debt!CP99&gt;Inputs!$F$9),Waterfall!CP7/(Debt!CP68+Debt!CP98+Debt!CP99),"")</f>
        <v/>
      </c>
      <c r="CQ11" s="31">
        <f>IF(AND(Time!CQ30=1,Time!CQ47=1,Debt!CQ68+Debt!CQ98+Debt!CQ99&gt;Inputs!$F$9),Waterfall!CQ7/(Debt!CQ68+Debt!CQ98+Debt!CQ99),"")</f>
        <v/>
      </c>
      <c r="CR11" s="31">
        <f>IF(AND(Time!CR30=1,Time!CR47=1,Debt!CR68+Debt!CR98+Debt!CR99&gt;Inputs!$F$9),Waterfall!CR7/(Debt!CR68+Debt!CR98+Debt!CR99),"")</f>
        <v/>
      </c>
      <c r="CS11" s="31">
        <f>IF(AND(Time!CS30=1,Time!CS47=1,Debt!CS68+Debt!CS98+Debt!CS99&gt;Inputs!$F$9),Waterfall!CS7/(Debt!CS68+Debt!CS98+Debt!CS99),"")</f>
        <v/>
      </c>
      <c r="CT11" s="31">
        <f>IF(AND(Time!CT30=1,Time!CT47=1,Debt!CT68+Debt!CT98+Debt!CT99&gt;Inputs!$F$9),Waterfall!CT7/(Debt!CT68+Debt!CT98+Debt!CT99),"")</f>
        <v/>
      </c>
      <c r="CU11" s="31">
        <f>IF(AND(Time!CU30=1,Time!CU47=1,Debt!CU68+Debt!CU98+Debt!CU99&gt;Inputs!$F$9),Waterfall!CU7/(Debt!CU68+Debt!CU98+Debt!CU99),"")</f>
        <v/>
      </c>
      <c r="CV11" s="31">
        <f>IF(AND(Time!CV30=1,Time!CV47=1,Debt!CV68+Debt!CV98+Debt!CV99&gt;Inputs!$F$9),Waterfall!CV7/(Debt!CV68+Debt!CV98+Debt!CV99),"")</f>
        <v/>
      </c>
      <c r="CW11" s="31">
        <f>IF(AND(Time!CW30=1,Time!CW47=1,Debt!CW68+Debt!CW98+Debt!CW99&gt;Inputs!$F$9),Waterfall!CW7/(Debt!CW68+Debt!CW98+Debt!CW99),"")</f>
        <v/>
      </c>
      <c r="CX11" s="31">
        <f>IF(AND(Time!CX30=1,Time!CX47=1,Debt!CX68+Debt!CX98+Debt!CX99&gt;Inputs!$F$9),Waterfall!CX7/(Debt!CX68+Debt!CX98+Debt!CX99),"")</f>
        <v/>
      </c>
      <c r="CY11" s="31">
        <f>IF(AND(Time!CY30=1,Time!CY47=1,Debt!CY68+Debt!CY98+Debt!CY99&gt;Inputs!$F$9),Waterfall!CY7/(Debt!CY68+Debt!CY98+Debt!CY99),"")</f>
        <v/>
      </c>
      <c r="CZ11" s="31">
        <f>IF(AND(Time!CZ30=1,Time!CZ47=1,Debt!CZ68+Debt!CZ98+Debt!CZ99&gt;Inputs!$F$9),Waterfall!CZ7/(Debt!CZ68+Debt!CZ98+Debt!CZ99),"")</f>
        <v/>
      </c>
      <c r="DA11" s="31">
        <f>IF(AND(Time!DA30=1,Time!DA47=1,Debt!DA68+Debt!DA98+Debt!DA99&gt;Inputs!$F$9),Waterfall!DA7/(Debt!DA68+Debt!DA98+Debt!DA99),"")</f>
        <v/>
      </c>
      <c r="DB11" s="31">
        <f>IF(AND(Time!DB30=1,Time!DB47=1,Debt!DB68+Debt!DB98+Debt!DB99&gt;Inputs!$F$9),Waterfall!DB7/(Debt!DB68+Debt!DB98+Debt!DB99),"")</f>
        <v/>
      </c>
    </row>
    <row r="12">
      <c r="D12" t="inlineStr">
        <is>
          <t>Minimum senior plus NILO DSCR</t>
        </is>
      </c>
      <c r="E12" t="inlineStr">
        <is>
          <t>x</t>
        </is>
      </c>
      <c r="F12" s="31">
        <f>IF(COUNT($J$11:$DB$11)&gt;0,MIN($J$11:$DB$11),0)</f>
        <v/>
      </c>
    </row>
    <row r="13">
      <c r="D13" t="inlineStr">
        <is>
          <t>Discount factor from 2021-01-01 (all periods)</t>
        </is>
      </c>
      <c r="E13" t="inlineStr">
        <is>
          <t>factor</t>
        </is>
      </c>
      <c r="J13" s="27">
        <f>IF(Time!J8&gt;=Inputs!$F$22,IF(I13&gt;0,I13,1)/(1+Debt!J9),0)</f>
        <v/>
      </c>
      <c r="K13" s="27">
        <f>IF(Time!K8&gt;=Inputs!$F$22,IF(J13&gt;0,J13,1)/(1+Debt!K9),0)</f>
        <v/>
      </c>
      <c r="L13" s="27">
        <f>IF(Time!L8&gt;=Inputs!$F$22,IF(K13&gt;0,K13,1)/(1+Debt!L9),0)</f>
        <v/>
      </c>
      <c r="M13" s="27">
        <f>IF(Time!M8&gt;=Inputs!$F$22,IF(L13&gt;0,L13,1)/(1+Debt!M9),0)</f>
        <v/>
      </c>
      <c r="N13" s="27">
        <f>IF(Time!N8&gt;=Inputs!$F$22,IF(M13&gt;0,M13,1)/(1+Debt!N9),0)</f>
        <v/>
      </c>
      <c r="O13" s="27">
        <f>IF(Time!O8&gt;=Inputs!$F$22,IF(N13&gt;0,N13,1)/(1+Debt!O9),0)</f>
        <v/>
      </c>
      <c r="P13" s="27">
        <f>IF(Time!P8&gt;=Inputs!$F$22,IF(O13&gt;0,O13,1)/(1+Debt!P9),0)</f>
        <v/>
      </c>
      <c r="Q13" s="27">
        <f>IF(Time!Q8&gt;=Inputs!$F$22,IF(P13&gt;0,P13,1)/(1+Debt!Q9),0)</f>
        <v/>
      </c>
      <c r="R13" s="27">
        <f>IF(Time!R8&gt;=Inputs!$F$22,IF(Q13&gt;0,Q13,1)/(1+Debt!R9),0)</f>
        <v/>
      </c>
      <c r="S13" s="27">
        <f>IF(Time!S8&gt;=Inputs!$F$22,IF(R13&gt;0,R13,1)/(1+Debt!S9),0)</f>
        <v/>
      </c>
      <c r="T13" s="27">
        <f>IF(Time!T8&gt;=Inputs!$F$22,IF(S13&gt;0,S13,1)/(1+Debt!T9),0)</f>
        <v/>
      </c>
      <c r="U13" s="27">
        <f>IF(Time!U8&gt;=Inputs!$F$22,IF(T13&gt;0,T13,1)/(1+Debt!U9),0)</f>
        <v/>
      </c>
      <c r="V13" s="27">
        <f>IF(Time!V8&gt;=Inputs!$F$22,IF(U13&gt;0,U13,1)/(1+Debt!V9),0)</f>
        <v/>
      </c>
      <c r="W13" s="27">
        <f>IF(Time!W8&gt;=Inputs!$F$22,IF(V13&gt;0,V13,1)/(1+Debt!W9),0)</f>
        <v/>
      </c>
      <c r="X13" s="27">
        <f>IF(Time!X8&gt;=Inputs!$F$22,IF(W13&gt;0,W13,1)/(1+Debt!X9),0)</f>
        <v/>
      </c>
      <c r="Y13" s="27">
        <f>IF(Time!Y8&gt;=Inputs!$F$22,IF(X13&gt;0,X13,1)/(1+Debt!Y9),0)</f>
        <v/>
      </c>
      <c r="Z13" s="27">
        <f>IF(Time!Z8&gt;=Inputs!$F$22,IF(Y13&gt;0,Y13,1)/(1+Debt!Z9),0)</f>
        <v/>
      </c>
      <c r="AA13" s="27">
        <f>IF(Time!AA8&gt;=Inputs!$F$22,IF(Z13&gt;0,Z13,1)/(1+Debt!AA9),0)</f>
        <v/>
      </c>
      <c r="AB13" s="27">
        <f>IF(Time!AB8&gt;=Inputs!$F$22,IF(AA13&gt;0,AA13,1)/(1+Debt!AB9),0)</f>
        <v/>
      </c>
      <c r="AC13" s="27">
        <f>IF(Time!AC8&gt;=Inputs!$F$22,IF(AB13&gt;0,AB13,1)/(1+Debt!AC9),0)</f>
        <v/>
      </c>
      <c r="AD13" s="27">
        <f>IF(Time!AD8&gt;=Inputs!$F$22,IF(AC13&gt;0,AC13,1)/(1+Debt!AD9),0)</f>
        <v/>
      </c>
      <c r="AE13" s="27">
        <f>IF(Time!AE8&gt;=Inputs!$F$22,IF(AD13&gt;0,AD13,1)/(1+Debt!AE9),0)</f>
        <v/>
      </c>
      <c r="AF13" s="27">
        <f>IF(Time!AF8&gt;=Inputs!$F$22,IF(AE13&gt;0,AE13,1)/(1+Debt!AF9),0)</f>
        <v/>
      </c>
      <c r="AG13" s="27">
        <f>IF(Time!AG8&gt;=Inputs!$F$22,IF(AF13&gt;0,AF13,1)/(1+Debt!AG9),0)</f>
        <v/>
      </c>
      <c r="AH13" s="27">
        <f>IF(Time!AH8&gt;=Inputs!$F$22,IF(AG13&gt;0,AG13,1)/(1+Debt!AH9),0)</f>
        <v/>
      </c>
      <c r="AI13" s="27">
        <f>IF(Time!AI8&gt;=Inputs!$F$22,IF(AH13&gt;0,AH13,1)/(1+Debt!AI9),0)</f>
        <v/>
      </c>
      <c r="AJ13" s="27">
        <f>IF(Time!AJ8&gt;=Inputs!$F$22,IF(AI13&gt;0,AI13,1)/(1+Debt!AJ9),0)</f>
        <v/>
      </c>
      <c r="AK13" s="27">
        <f>IF(Time!AK8&gt;=Inputs!$F$22,IF(AJ13&gt;0,AJ13,1)/(1+Debt!AK9),0)</f>
        <v/>
      </c>
      <c r="AL13" s="27">
        <f>IF(Time!AL8&gt;=Inputs!$F$22,IF(AK13&gt;0,AK13,1)/(1+Debt!AL9),0)</f>
        <v/>
      </c>
      <c r="AM13" s="27">
        <f>IF(Time!AM8&gt;=Inputs!$F$22,IF(AL13&gt;0,AL13,1)/(1+Debt!AM9),0)</f>
        <v/>
      </c>
      <c r="AN13" s="27">
        <f>IF(Time!AN8&gt;=Inputs!$F$22,IF(AM13&gt;0,AM13,1)/(1+Debt!AN9),0)</f>
        <v/>
      </c>
      <c r="AO13" s="27">
        <f>IF(Time!AO8&gt;=Inputs!$F$22,IF(AN13&gt;0,AN13,1)/(1+Debt!AO9),0)</f>
        <v/>
      </c>
      <c r="AP13" s="27">
        <f>IF(Time!AP8&gt;=Inputs!$F$22,IF(AO13&gt;0,AO13,1)/(1+Debt!AP9),0)</f>
        <v/>
      </c>
      <c r="AQ13" s="27">
        <f>IF(Time!AQ8&gt;=Inputs!$F$22,IF(AP13&gt;0,AP13,1)/(1+Debt!AQ9),0)</f>
        <v/>
      </c>
      <c r="AR13" s="27">
        <f>IF(Time!AR8&gt;=Inputs!$F$22,IF(AQ13&gt;0,AQ13,1)/(1+Debt!AR9),0)</f>
        <v/>
      </c>
      <c r="AS13" s="27">
        <f>IF(Time!AS8&gt;=Inputs!$F$22,IF(AR13&gt;0,AR13,1)/(1+Debt!AS9),0)</f>
        <v/>
      </c>
      <c r="AT13" s="27">
        <f>IF(Time!AT8&gt;=Inputs!$F$22,IF(AS13&gt;0,AS13,1)/(1+Debt!AT9),0)</f>
        <v/>
      </c>
      <c r="AU13" s="27">
        <f>IF(Time!AU8&gt;=Inputs!$F$22,IF(AT13&gt;0,AT13,1)/(1+Debt!AU9),0)</f>
        <v/>
      </c>
      <c r="AV13" s="27">
        <f>IF(Time!AV8&gt;=Inputs!$F$22,IF(AU13&gt;0,AU13,1)/(1+Debt!AV9),0)</f>
        <v/>
      </c>
      <c r="AW13" s="27">
        <f>IF(Time!AW8&gt;=Inputs!$F$22,IF(AV13&gt;0,AV13,1)/(1+Debt!AW9),0)</f>
        <v/>
      </c>
      <c r="AX13" s="27">
        <f>IF(Time!AX8&gt;=Inputs!$F$22,IF(AW13&gt;0,AW13,1)/(1+Debt!AX9),0)</f>
        <v/>
      </c>
      <c r="AY13" s="27">
        <f>IF(Time!AY8&gt;=Inputs!$F$22,IF(AX13&gt;0,AX13,1)/(1+Debt!AY9),0)</f>
        <v/>
      </c>
      <c r="AZ13" s="27">
        <f>IF(Time!AZ8&gt;=Inputs!$F$22,IF(AY13&gt;0,AY13,1)/(1+Debt!AZ9),0)</f>
        <v/>
      </c>
      <c r="BA13" s="27">
        <f>IF(Time!BA8&gt;=Inputs!$F$22,IF(AZ13&gt;0,AZ13,1)/(1+Debt!BA9),0)</f>
        <v/>
      </c>
      <c r="BB13" s="27">
        <f>IF(Time!BB8&gt;=Inputs!$F$22,IF(BA13&gt;0,BA13,1)/(1+Debt!BB9),0)</f>
        <v/>
      </c>
      <c r="BC13" s="27">
        <f>IF(Time!BC8&gt;=Inputs!$F$22,IF(BB13&gt;0,BB13,1)/(1+Debt!BC9),0)</f>
        <v/>
      </c>
      <c r="BD13" s="27">
        <f>IF(Time!BD8&gt;=Inputs!$F$22,IF(BC13&gt;0,BC13,1)/(1+Debt!BD9),0)</f>
        <v/>
      </c>
      <c r="BE13" s="27">
        <f>IF(Time!BE8&gt;=Inputs!$F$22,IF(BD13&gt;0,BD13,1)/(1+Debt!BE9),0)</f>
        <v/>
      </c>
      <c r="BF13" s="27">
        <f>IF(Time!BF8&gt;=Inputs!$F$22,IF(BE13&gt;0,BE13,1)/(1+Debt!BF9),0)</f>
        <v/>
      </c>
      <c r="BG13" s="27">
        <f>IF(Time!BG8&gt;=Inputs!$F$22,IF(BF13&gt;0,BF13,1)/(1+Debt!BG9),0)</f>
        <v/>
      </c>
      <c r="BH13" s="27">
        <f>IF(Time!BH8&gt;=Inputs!$F$22,IF(BG13&gt;0,BG13,1)/(1+Debt!BH9),0)</f>
        <v/>
      </c>
      <c r="BI13" s="27">
        <f>IF(Time!BI8&gt;=Inputs!$F$22,IF(BH13&gt;0,BH13,1)/(1+Debt!BI9),0)</f>
        <v/>
      </c>
      <c r="BJ13" s="27">
        <f>IF(Time!BJ8&gt;=Inputs!$F$22,IF(BI13&gt;0,BI13,1)/(1+Debt!BJ9),0)</f>
        <v/>
      </c>
      <c r="BK13" s="27">
        <f>IF(Time!BK8&gt;=Inputs!$F$22,IF(BJ13&gt;0,BJ13,1)/(1+Debt!BK9),0)</f>
        <v/>
      </c>
      <c r="BL13" s="27">
        <f>IF(Time!BL8&gt;=Inputs!$F$22,IF(BK13&gt;0,BK13,1)/(1+Debt!BL9),0)</f>
        <v/>
      </c>
      <c r="BM13" s="27">
        <f>IF(Time!BM8&gt;=Inputs!$F$22,IF(BL13&gt;0,BL13,1)/(1+Debt!BM9),0)</f>
        <v/>
      </c>
      <c r="BN13" s="27">
        <f>IF(Time!BN8&gt;=Inputs!$F$22,IF(BM13&gt;0,BM13,1)/(1+Debt!BN9),0)</f>
        <v/>
      </c>
      <c r="BO13" s="27">
        <f>IF(Time!BO8&gt;=Inputs!$F$22,IF(BN13&gt;0,BN13,1)/(1+Debt!BO9),0)</f>
        <v/>
      </c>
      <c r="BP13" s="27">
        <f>IF(Time!BP8&gt;=Inputs!$F$22,IF(BO13&gt;0,BO13,1)/(1+Debt!BP9),0)</f>
        <v/>
      </c>
      <c r="BQ13" s="27">
        <f>IF(Time!BQ8&gt;=Inputs!$F$22,IF(BP13&gt;0,BP13,1)/(1+Debt!BQ9),0)</f>
        <v/>
      </c>
      <c r="BR13" s="27">
        <f>IF(Time!BR8&gt;=Inputs!$F$22,IF(BQ13&gt;0,BQ13,1)/(1+Debt!BR9),0)</f>
        <v/>
      </c>
      <c r="BS13" s="27">
        <f>IF(Time!BS8&gt;=Inputs!$F$22,IF(BR13&gt;0,BR13,1)/(1+Debt!BS9),0)</f>
        <v/>
      </c>
      <c r="BT13" s="27">
        <f>IF(Time!BT8&gt;=Inputs!$F$22,IF(BS13&gt;0,BS13,1)/(1+Debt!BT9),0)</f>
        <v/>
      </c>
      <c r="BU13" s="27">
        <f>IF(Time!BU8&gt;=Inputs!$F$22,IF(BT13&gt;0,BT13,1)/(1+Debt!BU9),0)</f>
        <v/>
      </c>
      <c r="BV13" s="27">
        <f>IF(Time!BV8&gt;=Inputs!$F$22,IF(BU13&gt;0,BU13,1)/(1+Debt!BV9),0)</f>
        <v/>
      </c>
      <c r="BW13" s="27">
        <f>IF(Time!BW8&gt;=Inputs!$F$22,IF(BV13&gt;0,BV13,1)/(1+Debt!BW9),0)</f>
        <v/>
      </c>
      <c r="BX13" s="27">
        <f>IF(Time!BX8&gt;=Inputs!$F$22,IF(BW13&gt;0,BW13,1)/(1+Debt!BX9),0)</f>
        <v/>
      </c>
      <c r="BY13" s="27">
        <f>IF(Time!BY8&gt;=Inputs!$F$22,IF(BX13&gt;0,BX13,1)/(1+Debt!BY9),0)</f>
        <v/>
      </c>
      <c r="BZ13" s="27">
        <f>IF(Time!BZ8&gt;=Inputs!$F$22,IF(BY13&gt;0,BY13,1)/(1+Debt!BZ9),0)</f>
        <v/>
      </c>
      <c r="CA13" s="27">
        <f>IF(Time!CA8&gt;=Inputs!$F$22,IF(BZ13&gt;0,BZ13,1)/(1+Debt!CA9),0)</f>
        <v/>
      </c>
      <c r="CB13" s="27">
        <f>IF(Time!CB8&gt;=Inputs!$F$22,IF(CA13&gt;0,CA13,1)/(1+Debt!CB9),0)</f>
        <v/>
      </c>
      <c r="CC13" s="27">
        <f>IF(Time!CC8&gt;=Inputs!$F$22,IF(CB13&gt;0,CB13,1)/(1+Debt!CC9),0)</f>
        <v/>
      </c>
      <c r="CD13" s="27">
        <f>IF(Time!CD8&gt;=Inputs!$F$22,IF(CC13&gt;0,CC13,1)/(1+Debt!CD9),0)</f>
        <v/>
      </c>
      <c r="CE13" s="27">
        <f>IF(Time!CE8&gt;=Inputs!$F$22,IF(CD13&gt;0,CD13,1)/(1+Debt!CE9),0)</f>
        <v/>
      </c>
      <c r="CF13" s="27">
        <f>IF(Time!CF8&gt;=Inputs!$F$22,IF(CE13&gt;0,CE13,1)/(1+Debt!CF9),0)</f>
        <v/>
      </c>
      <c r="CG13" s="27">
        <f>IF(Time!CG8&gt;=Inputs!$F$22,IF(CF13&gt;0,CF13,1)/(1+Debt!CG9),0)</f>
        <v/>
      </c>
      <c r="CH13" s="27">
        <f>IF(Time!CH8&gt;=Inputs!$F$22,IF(CG13&gt;0,CG13,1)/(1+Debt!CH9),0)</f>
        <v/>
      </c>
      <c r="CI13" s="27">
        <f>IF(Time!CI8&gt;=Inputs!$F$22,IF(CH13&gt;0,CH13,1)/(1+Debt!CI9),0)</f>
        <v/>
      </c>
      <c r="CJ13" s="27">
        <f>IF(Time!CJ8&gt;=Inputs!$F$22,IF(CI13&gt;0,CI13,1)/(1+Debt!CJ9),0)</f>
        <v/>
      </c>
      <c r="CK13" s="27">
        <f>IF(Time!CK8&gt;=Inputs!$F$22,IF(CJ13&gt;0,CJ13,1)/(1+Debt!CK9),0)</f>
        <v/>
      </c>
      <c r="CL13" s="27">
        <f>IF(Time!CL8&gt;=Inputs!$F$22,IF(CK13&gt;0,CK13,1)/(1+Debt!CL9),0)</f>
        <v/>
      </c>
      <c r="CM13" s="27">
        <f>IF(Time!CM8&gt;=Inputs!$F$22,IF(CL13&gt;0,CL13,1)/(1+Debt!CM9),0)</f>
        <v/>
      </c>
      <c r="CN13" s="27">
        <f>IF(Time!CN8&gt;=Inputs!$F$22,IF(CM13&gt;0,CM13,1)/(1+Debt!CN9),0)</f>
        <v/>
      </c>
      <c r="CO13" s="27">
        <f>IF(Time!CO8&gt;=Inputs!$F$22,IF(CN13&gt;0,CN13,1)/(1+Debt!CO9),0)</f>
        <v/>
      </c>
      <c r="CP13" s="27">
        <f>IF(Time!CP8&gt;=Inputs!$F$22,IF(CO13&gt;0,CO13,1)/(1+Debt!CP9),0)</f>
        <v/>
      </c>
      <c r="CQ13" s="27">
        <f>IF(Time!CQ8&gt;=Inputs!$F$22,IF(CP13&gt;0,CP13,1)/(1+Debt!CQ9),0)</f>
        <v/>
      </c>
      <c r="CR13" s="27">
        <f>IF(Time!CR8&gt;=Inputs!$F$22,IF(CQ13&gt;0,CQ13,1)/(1+Debt!CR9),0)</f>
        <v/>
      </c>
      <c r="CS13" s="27">
        <f>IF(Time!CS8&gt;=Inputs!$F$22,IF(CR13&gt;0,CR13,1)/(1+Debt!CS9),0)</f>
        <v/>
      </c>
      <c r="CT13" s="27">
        <f>IF(Time!CT8&gt;=Inputs!$F$22,IF(CS13&gt;0,CS13,1)/(1+Debt!CT9),0)</f>
        <v/>
      </c>
      <c r="CU13" s="27">
        <f>IF(Time!CU8&gt;=Inputs!$F$22,IF(CT13&gt;0,CT13,1)/(1+Debt!CU9),0)</f>
        <v/>
      </c>
      <c r="CV13" s="27">
        <f>IF(Time!CV8&gt;=Inputs!$F$22,IF(CU13&gt;0,CU13,1)/(1+Debt!CV9),0)</f>
        <v/>
      </c>
      <c r="CW13" s="27">
        <f>IF(Time!CW8&gt;=Inputs!$F$22,IF(CV13&gt;0,CV13,1)/(1+Debt!CW9),0)</f>
        <v/>
      </c>
      <c r="CX13" s="27">
        <f>IF(Time!CX8&gt;=Inputs!$F$22,IF(CW13&gt;0,CW13,1)/(1+Debt!CX9),0)</f>
        <v/>
      </c>
      <c r="CY13" s="27">
        <f>IF(Time!CY8&gt;=Inputs!$F$22,IF(CX13&gt;0,CX13,1)/(1+Debt!CY9),0)</f>
        <v/>
      </c>
      <c r="CZ13" s="27">
        <f>IF(Time!CZ8&gt;=Inputs!$F$22,IF(CY13&gt;0,CY13,1)/(1+Debt!CZ9),0)</f>
        <v/>
      </c>
      <c r="DA13" s="27">
        <f>IF(Time!DA8&gt;=Inputs!$F$22,IF(CZ13&gt;0,CZ13,1)/(1+Debt!DA9),0)</f>
        <v/>
      </c>
      <c r="DB13" s="27">
        <f>IF(Time!DB8&gt;=Inputs!$F$22,IF(DA13&gt;0,DA13,1)/(1+Debt!DB9),0)</f>
        <v/>
      </c>
    </row>
    <row r="14">
      <c r="D14" t="inlineStr">
        <is>
          <t>LLCR</t>
        </is>
      </c>
      <c r="E14" t="inlineStr">
        <is>
          <t>x</t>
        </is>
      </c>
      <c r="J14" s="31">
        <f>IF(AND(Time!J30=1,Debt!J42+Debt!J49&gt;Inputs!$F$9),SUMPRODUCT(Waterfall!J$7:$DB$7,J$13:$DB$13,Time!J$30:$DB$30)/(J13*(1+Debt!J9))/(Debt!J42+Debt!J49),"")</f>
        <v/>
      </c>
      <c r="K14" s="31">
        <f>IF(AND(Time!K30=1,Debt!K42+Debt!K49&gt;Inputs!$F$9),SUMPRODUCT(Waterfall!K$7:$DB$7,K$13:$DB$13,Time!K$30:$DB$30)/(K13*(1+Debt!K9))/(Debt!K42+Debt!K49),"")</f>
        <v/>
      </c>
      <c r="L14" s="31">
        <f>IF(AND(Time!L30=1,Debt!L42+Debt!L49&gt;Inputs!$F$9),SUMPRODUCT(Waterfall!L$7:$DB$7,L$13:$DB$13,Time!L$30:$DB$30)/(L13*(1+Debt!L9))/(Debt!L42+Debt!L49),"")</f>
        <v/>
      </c>
      <c r="M14" s="31">
        <f>IF(AND(Time!M30=1,Debt!M42+Debt!M49&gt;Inputs!$F$9),SUMPRODUCT(Waterfall!M$7:$DB$7,M$13:$DB$13,Time!M$30:$DB$30)/(M13*(1+Debt!M9))/(Debt!M42+Debt!M49),"")</f>
        <v/>
      </c>
      <c r="N14" s="31">
        <f>IF(AND(Time!N30=1,Debt!N42+Debt!N49&gt;Inputs!$F$9),SUMPRODUCT(Waterfall!N$7:$DB$7,N$13:$DB$13,Time!N$30:$DB$30)/(N13*(1+Debt!N9))/(Debt!N42+Debt!N49),"")</f>
        <v/>
      </c>
      <c r="O14" s="31">
        <f>IF(AND(Time!O30=1,Debt!O42+Debt!O49&gt;Inputs!$F$9),SUMPRODUCT(Waterfall!O$7:$DB$7,O$13:$DB$13,Time!O$30:$DB$30)/(O13*(1+Debt!O9))/(Debt!O42+Debt!O49),"")</f>
        <v/>
      </c>
      <c r="P14" s="31">
        <f>IF(AND(Time!P30=1,Debt!P42+Debt!P49&gt;Inputs!$F$9),SUMPRODUCT(Waterfall!P$7:$DB$7,P$13:$DB$13,Time!P$30:$DB$30)/(P13*(1+Debt!P9))/(Debt!P42+Debt!P49),"")</f>
        <v/>
      </c>
      <c r="Q14" s="31">
        <f>IF(AND(Time!Q30=1,Debt!Q42+Debt!Q49&gt;Inputs!$F$9),SUMPRODUCT(Waterfall!Q$7:$DB$7,Q$13:$DB$13,Time!Q$30:$DB$30)/(Q13*(1+Debt!Q9))/(Debt!Q42+Debt!Q49),"")</f>
        <v/>
      </c>
      <c r="R14" s="31">
        <f>IF(AND(Time!R30=1,Debt!R42+Debt!R49&gt;Inputs!$F$9),SUMPRODUCT(Waterfall!R$7:$DB$7,R$13:$DB$13,Time!R$30:$DB$30)/(R13*(1+Debt!R9))/(Debt!R42+Debt!R49),"")</f>
        <v/>
      </c>
      <c r="S14" s="31">
        <f>IF(AND(Time!S30=1,Debt!S42+Debt!S49&gt;Inputs!$F$9),SUMPRODUCT(Waterfall!S$7:$DB$7,S$13:$DB$13,Time!S$30:$DB$30)/(S13*(1+Debt!S9))/(Debt!S42+Debt!S49),"")</f>
        <v/>
      </c>
      <c r="T14" s="31">
        <f>IF(AND(Time!T30=1,Debt!T42+Debt!T49&gt;Inputs!$F$9),SUMPRODUCT(Waterfall!T$7:$DB$7,T$13:$DB$13,Time!T$30:$DB$30)/(T13*(1+Debt!T9))/(Debt!T42+Debt!T49),"")</f>
        <v/>
      </c>
      <c r="U14" s="31">
        <f>IF(AND(Time!U30=1,Debt!U42+Debt!U49&gt;Inputs!$F$9),SUMPRODUCT(Waterfall!U$7:$DB$7,U$13:$DB$13,Time!U$30:$DB$30)/(U13*(1+Debt!U9))/(Debt!U42+Debt!U49),"")</f>
        <v/>
      </c>
      <c r="V14" s="31">
        <f>IF(AND(Time!V30=1,Debt!V42+Debt!V49&gt;Inputs!$F$9),SUMPRODUCT(Waterfall!V$7:$DB$7,V$13:$DB$13,Time!V$30:$DB$30)/(V13*(1+Debt!V9))/(Debt!V42+Debt!V49),"")</f>
        <v/>
      </c>
      <c r="W14" s="31">
        <f>IF(AND(Time!W30=1,Debt!W42+Debt!W49&gt;Inputs!$F$9),SUMPRODUCT(Waterfall!W$7:$DB$7,W$13:$DB$13,Time!W$30:$DB$30)/(W13*(1+Debt!W9))/(Debt!W42+Debt!W49),"")</f>
        <v/>
      </c>
      <c r="X14" s="31">
        <f>IF(AND(Time!X30=1,Debt!X42+Debt!X49&gt;Inputs!$F$9),SUMPRODUCT(Waterfall!X$7:$DB$7,X$13:$DB$13,Time!X$30:$DB$30)/(X13*(1+Debt!X9))/(Debt!X42+Debt!X49),"")</f>
        <v/>
      </c>
      <c r="Y14" s="31">
        <f>IF(AND(Time!Y30=1,Debt!Y42+Debt!Y49&gt;Inputs!$F$9),SUMPRODUCT(Waterfall!Y$7:$DB$7,Y$13:$DB$13,Time!Y$30:$DB$30)/(Y13*(1+Debt!Y9))/(Debt!Y42+Debt!Y49),"")</f>
        <v/>
      </c>
      <c r="Z14" s="31">
        <f>IF(AND(Time!Z30=1,Debt!Z42+Debt!Z49&gt;Inputs!$F$9),SUMPRODUCT(Waterfall!Z$7:$DB$7,Z$13:$DB$13,Time!Z$30:$DB$30)/(Z13*(1+Debt!Z9))/(Debt!Z42+Debt!Z49),"")</f>
        <v/>
      </c>
      <c r="AA14" s="31">
        <f>IF(AND(Time!AA30=1,Debt!AA42+Debt!AA49&gt;Inputs!$F$9),SUMPRODUCT(Waterfall!AA$7:$DB$7,AA$13:$DB$13,Time!AA$30:$DB$30)/(AA13*(1+Debt!AA9))/(Debt!AA42+Debt!AA49),"")</f>
        <v/>
      </c>
      <c r="AB14" s="31">
        <f>IF(AND(Time!AB30=1,Debt!AB42+Debt!AB49&gt;Inputs!$F$9),SUMPRODUCT(Waterfall!AB$7:$DB$7,AB$13:$DB$13,Time!AB$30:$DB$30)/(AB13*(1+Debt!AB9))/(Debt!AB42+Debt!AB49),"")</f>
        <v/>
      </c>
      <c r="AC14" s="31">
        <f>IF(AND(Time!AC30=1,Debt!AC42+Debt!AC49&gt;Inputs!$F$9),SUMPRODUCT(Waterfall!AC$7:$DB$7,AC$13:$DB$13,Time!AC$30:$DB$30)/(AC13*(1+Debt!AC9))/(Debt!AC42+Debt!AC49),"")</f>
        <v/>
      </c>
      <c r="AD14" s="31">
        <f>IF(AND(Time!AD30=1,Debt!AD42+Debt!AD49&gt;Inputs!$F$9),SUMPRODUCT(Waterfall!AD$7:$DB$7,AD$13:$DB$13,Time!AD$30:$DB$30)/(AD13*(1+Debt!AD9))/(Debt!AD42+Debt!AD49),"")</f>
        <v/>
      </c>
      <c r="AE14" s="31">
        <f>IF(AND(Time!AE30=1,Debt!AE42+Debt!AE49&gt;Inputs!$F$9),SUMPRODUCT(Waterfall!AE$7:$DB$7,AE$13:$DB$13,Time!AE$30:$DB$30)/(AE13*(1+Debt!AE9))/(Debt!AE42+Debt!AE49),"")</f>
        <v/>
      </c>
      <c r="AF14" s="31">
        <f>IF(AND(Time!AF30=1,Debt!AF42+Debt!AF49&gt;Inputs!$F$9),SUMPRODUCT(Waterfall!AF$7:$DB$7,AF$13:$DB$13,Time!AF$30:$DB$30)/(AF13*(1+Debt!AF9))/(Debt!AF42+Debt!AF49),"")</f>
        <v/>
      </c>
      <c r="AG14" s="31">
        <f>IF(AND(Time!AG30=1,Debt!AG42+Debt!AG49&gt;Inputs!$F$9),SUMPRODUCT(Waterfall!AG$7:$DB$7,AG$13:$DB$13,Time!AG$30:$DB$30)/(AG13*(1+Debt!AG9))/(Debt!AG42+Debt!AG49),"")</f>
        <v/>
      </c>
      <c r="AH14" s="31">
        <f>IF(AND(Time!AH30=1,Debt!AH42+Debt!AH49&gt;Inputs!$F$9),SUMPRODUCT(Waterfall!AH$7:$DB$7,AH$13:$DB$13,Time!AH$30:$DB$30)/(AH13*(1+Debt!AH9))/(Debt!AH42+Debt!AH49),"")</f>
        <v/>
      </c>
      <c r="AI14" s="31">
        <f>IF(AND(Time!AI30=1,Debt!AI42+Debt!AI49&gt;Inputs!$F$9),SUMPRODUCT(Waterfall!AI$7:$DB$7,AI$13:$DB$13,Time!AI$30:$DB$30)/(AI13*(1+Debt!AI9))/(Debt!AI42+Debt!AI49),"")</f>
        <v/>
      </c>
      <c r="AJ14" s="31">
        <f>IF(AND(Time!AJ30=1,Debt!AJ42+Debt!AJ49&gt;Inputs!$F$9),SUMPRODUCT(Waterfall!AJ$7:$DB$7,AJ$13:$DB$13,Time!AJ$30:$DB$30)/(AJ13*(1+Debt!AJ9))/(Debt!AJ42+Debt!AJ49),"")</f>
        <v/>
      </c>
      <c r="AK14" s="31">
        <f>IF(AND(Time!AK30=1,Debt!AK42+Debt!AK49&gt;Inputs!$F$9),SUMPRODUCT(Waterfall!AK$7:$DB$7,AK$13:$DB$13,Time!AK$30:$DB$30)/(AK13*(1+Debt!AK9))/(Debt!AK42+Debt!AK49),"")</f>
        <v/>
      </c>
      <c r="AL14" s="31">
        <f>IF(AND(Time!AL30=1,Debt!AL42+Debt!AL49&gt;Inputs!$F$9),SUMPRODUCT(Waterfall!AL$7:$DB$7,AL$13:$DB$13,Time!AL$30:$DB$30)/(AL13*(1+Debt!AL9))/(Debt!AL42+Debt!AL49),"")</f>
        <v/>
      </c>
      <c r="AM14" s="31">
        <f>IF(AND(Time!AM30=1,Debt!AM42+Debt!AM49&gt;Inputs!$F$9),SUMPRODUCT(Waterfall!AM$7:$DB$7,AM$13:$DB$13,Time!AM$30:$DB$30)/(AM13*(1+Debt!AM9))/(Debt!AM42+Debt!AM49),"")</f>
        <v/>
      </c>
      <c r="AN14" s="31">
        <f>IF(AND(Time!AN30=1,Debt!AN42+Debt!AN49&gt;Inputs!$F$9),SUMPRODUCT(Waterfall!AN$7:$DB$7,AN$13:$DB$13,Time!AN$30:$DB$30)/(AN13*(1+Debt!AN9))/(Debt!AN42+Debt!AN49),"")</f>
        <v/>
      </c>
      <c r="AO14" s="31">
        <f>IF(AND(Time!AO30=1,Debt!AO42+Debt!AO49&gt;Inputs!$F$9),SUMPRODUCT(Waterfall!AO$7:$DB$7,AO$13:$DB$13,Time!AO$30:$DB$30)/(AO13*(1+Debt!AO9))/(Debt!AO42+Debt!AO49),"")</f>
        <v/>
      </c>
      <c r="AP14" s="31">
        <f>IF(AND(Time!AP30=1,Debt!AP42+Debt!AP49&gt;Inputs!$F$9),SUMPRODUCT(Waterfall!AP$7:$DB$7,AP$13:$DB$13,Time!AP$30:$DB$30)/(AP13*(1+Debt!AP9))/(Debt!AP42+Debt!AP49),"")</f>
        <v/>
      </c>
      <c r="AQ14" s="31">
        <f>IF(AND(Time!AQ30=1,Debt!AQ42+Debt!AQ49&gt;Inputs!$F$9),SUMPRODUCT(Waterfall!AQ$7:$DB$7,AQ$13:$DB$13,Time!AQ$30:$DB$30)/(AQ13*(1+Debt!AQ9))/(Debt!AQ42+Debt!AQ49),"")</f>
        <v/>
      </c>
      <c r="AR14" s="31">
        <f>IF(AND(Time!AR30=1,Debt!AR42+Debt!AR49&gt;Inputs!$F$9),SUMPRODUCT(Waterfall!AR$7:$DB$7,AR$13:$DB$13,Time!AR$30:$DB$30)/(AR13*(1+Debt!AR9))/(Debt!AR42+Debt!AR49),"")</f>
        <v/>
      </c>
      <c r="AS14" s="31">
        <f>IF(AND(Time!AS30=1,Debt!AS42+Debt!AS49&gt;Inputs!$F$9),SUMPRODUCT(Waterfall!AS$7:$DB$7,AS$13:$DB$13,Time!AS$30:$DB$30)/(AS13*(1+Debt!AS9))/(Debt!AS42+Debt!AS49),"")</f>
        <v/>
      </c>
      <c r="AT14" s="31">
        <f>IF(AND(Time!AT30=1,Debt!AT42+Debt!AT49&gt;Inputs!$F$9),SUMPRODUCT(Waterfall!AT$7:$DB$7,AT$13:$DB$13,Time!AT$30:$DB$30)/(AT13*(1+Debt!AT9))/(Debt!AT42+Debt!AT49),"")</f>
        <v/>
      </c>
      <c r="AU14" s="31">
        <f>IF(AND(Time!AU30=1,Debt!AU42+Debt!AU49&gt;Inputs!$F$9),SUMPRODUCT(Waterfall!AU$7:$DB$7,AU$13:$DB$13,Time!AU$30:$DB$30)/(AU13*(1+Debt!AU9))/(Debt!AU42+Debt!AU49),"")</f>
        <v/>
      </c>
      <c r="AV14" s="31">
        <f>IF(AND(Time!AV30=1,Debt!AV42+Debt!AV49&gt;Inputs!$F$9),SUMPRODUCT(Waterfall!AV$7:$DB$7,AV$13:$DB$13,Time!AV$30:$DB$30)/(AV13*(1+Debt!AV9))/(Debt!AV42+Debt!AV49),"")</f>
        <v/>
      </c>
      <c r="AW14" s="31">
        <f>IF(AND(Time!AW30=1,Debt!AW42+Debt!AW49&gt;Inputs!$F$9),SUMPRODUCT(Waterfall!AW$7:$DB$7,AW$13:$DB$13,Time!AW$30:$DB$30)/(AW13*(1+Debt!AW9))/(Debt!AW42+Debt!AW49),"")</f>
        <v/>
      </c>
      <c r="AX14" s="31">
        <f>IF(AND(Time!AX30=1,Debt!AX42+Debt!AX49&gt;Inputs!$F$9),SUMPRODUCT(Waterfall!AX$7:$DB$7,AX$13:$DB$13,Time!AX$30:$DB$30)/(AX13*(1+Debt!AX9))/(Debt!AX42+Debt!AX49),"")</f>
        <v/>
      </c>
      <c r="AY14" s="31">
        <f>IF(AND(Time!AY30=1,Debt!AY42+Debt!AY49&gt;Inputs!$F$9),SUMPRODUCT(Waterfall!AY$7:$DB$7,AY$13:$DB$13,Time!AY$30:$DB$30)/(AY13*(1+Debt!AY9))/(Debt!AY42+Debt!AY49),"")</f>
        <v/>
      </c>
      <c r="AZ14" s="31">
        <f>IF(AND(Time!AZ30=1,Debt!AZ42+Debt!AZ49&gt;Inputs!$F$9),SUMPRODUCT(Waterfall!AZ$7:$DB$7,AZ$13:$DB$13,Time!AZ$30:$DB$30)/(AZ13*(1+Debt!AZ9))/(Debt!AZ42+Debt!AZ49),"")</f>
        <v/>
      </c>
      <c r="BA14" s="31">
        <f>IF(AND(Time!BA30=1,Debt!BA42+Debt!BA49&gt;Inputs!$F$9),SUMPRODUCT(Waterfall!BA$7:$DB$7,BA$13:$DB$13,Time!BA$30:$DB$30)/(BA13*(1+Debt!BA9))/(Debt!BA42+Debt!BA49),"")</f>
        <v/>
      </c>
      <c r="BB14" s="31">
        <f>IF(AND(Time!BB30=1,Debt!BB42+Debt!BB49&gt;Inputs!$F$9),SUMPRODUCT(Waterfall!BB$7:$DB$7,BB$13:$DB$13,Time!BB$30:$DB$30)/(BB13*(1+Debt!BB9))/(Debt!BB42+Debt!BB49),"")</f>
        <v/>
      </c>
      <c r="BC14" s="31">
        <f>IF(AND(Time!BC30=1,Debt!BC42+Debt!BC49&gt;Inputs!$F$9),SUMPRODUCT(Waterfall!BC$7:$DB$7,BC$13:$DB$13,Time!BC$30:$DB$30)/(BC13*(1+Debt!BC9))/(Debt!BC42+Debt!BC49),"")</f>
        <v/>
      </c>
      <c r="BD14" s="31">
        <f>IF(AND(Time!BD30=1,Debt!BD42+Debt!BD49&gt;Inputs!$F$9),SUMPRODUCT(Waterfall!BD$7:$DB$7,BD$13:$DB$13,Time!BD$30:$DB$30)/(BD13*(1+Debt!BD9))/(Debt!BD42+Debt!BD49),"")</f>
        <v/>
      </c>
      <c r="BE14" s="31">
        <f>IF(AND(Time!BE30=1,Debt!BE42+Debt!BE49&gt;Inputs!$F$9),SUMPRODUCT(Waterfall!BE$7:$DB$7,BE$13:$DB$13,Time!BE$30:$DB$30)/(BE13*(1+Debt!BE9))/(Debt!BE42+Debt!BE49),"")</f>
        <v/>
      </c>
      <c r="BF14" s="31">
        <f>IF(AND(Time!BF30=1,Debt!BF42+Debt!BF49&gt;Inputs!$F$9),SUMPRODUCT(Waterfall!BF$7:$DB$7,BF$13:$DB$13,Time!BF$30:$DB$30)/(BF13*(1+Debt!BF9))/(Debt!BF42+Debt!BF49),"")</f>
        <v/>
      </c>
      <c r="BG14" s="31">
        <f>IF(AND(Time!BG30=1,Debt!BG42+Debt!BG49&gt;Inputs!$F$9),SUMPRODUCT(Waterfall!BG$7:$DB$7,BG$13:$DB$13,Time!BG$30:$DB$30)/(BG13*(1+Debt!BG9))/(Debt!BG42+Debt!BG49),"")</f>
        <v/>
      </c>
      <c r="BH14" s="31">
        <f>IF(AND(Time!BH30=1,Debt!BH42+Debt!BH49&gt;Inputs!$F$9),SUMPRODUCT(Waterfall!BH$7:$DB$7,BH$13:$DB$13,Time!BH$30:$DB$30)/(BH13*(1+Debt!BH9))/(Debt!BH42+Debt!BH49),"")</f>
        <v/>
      </c>
      <c r="BI14" s="31">
        <f>IF(AND(Time!BI30=1,Debt!BI42+Debt!BI49&gt;Inputs!$F$9),SUMPRODUCT(Waterfall!BI$7:$DB$7,BI$13:$DB$13,Time!BI$30:$DB$30)/(BI13*(1+Debt!BI9))/(Debt!BI42+Debt!BI49),"")</f>
        <v/>
      </c>
      <c r="BJ14" s="31">
        <f>IF(AND(Time!BJ30=1,Debt!BJ42+Debt!BJ49&gt;Inputs!$F$9),SUMPRODUCT(Waterfall!BJ$7:$DB$7,BJ$13:$DB$13,Time!BJ$30:$DB$30)/(BJ13*(1+Debt!BJ9))/(Debt!BJ42+Debt!BJ49),"")</f>
        <v/>
      </c>
      <c r="BK14" s="31">
        <f>IF(AND(Time!BK30=1,Debt!BK42+Debt!BK49&gt;Inputs!$F$9),SUMPRODUCT(Waterfall!BK$7:$DB$7,BK$13:$DB$13,Time!BK$30:$DB$30)/(BK13*(1+Debt!BK9))/(Debt!BK42+Debt!BK49),"")</f>
        <v/>
      </c>
      <c r="BL14" s="31">
        <f>IF(AND(Time!BL30=1,Debt!BL42+Debt!BL49&gt;Inputs!$F$9),SUMPRODUCT(Waterfall!BL$7:$DB$7,BL$13:$DB$13,Time!BL$30:$DB$30)/(BL13*(1+Debt!BL9))/(Debt!BL42+Debt!BL49),"")</f>
        <v/>
      </c>
      <c r="BM14" s="31">
        <f>IF(AND(Time!BM30=1,Debt!BM42+Debt!BM49&gt;Inputs!$F$9),SUMPRODUCT(Waterfall!BM$7:$DB$7,BM$13:$DB$13,Time!BM$30:$DB$30)/(BM13*(1+Debt!BM9))/(Debt!BM42+Debt!BM49),"")</f>
        <v/>
      </c>
      <c r="BN14" s="31">
        <f>IF(AND(Time!BN30=1,Debt!BN42+Debt!BN49&gt;Inputs!$F$9),SUMPRODUCT(Waterfall!BN$7:$DB$7,BN$13:$DB$13,Time!BN$30:$DB$30)/(BN13*(1+Debt!BN9))/(Debt!BN42+Debt!BN49),"")</f>
        <v/>
      </c>
      <c r="BO14" s="31">
        <f>IF(AND(Time!BO30=1,Debt!BO42+Debt!BO49&gt;Inputs!$F$9),SUMPRODUCT(Waterfall!BO$7:$DB$7,BO$13:$DB$13,Time!BO$30:$DB$30)/(BO13*(1+Debt!BO9))/(Debt!BO42+Debt!BO49),"")</f>
        <v/>
      </c>
      <c r="BP14" s="31">
        <f>IF(AND(Time!BP30=1,Debt!BP42+Debt!BP49&gt;Inputs!$F$9),SUMPRODUCT(Waterfall!BP$7:$DB$7,BP$13:$DB$13,Time!BP$30:$DB$30)/(BP13*(1+Debt!BP9))/(Debt!BP42+Debt!BP49),"")</f>
        <v/>
      </c>
      <c r="BQ14" s="31">
        <f>IF(AND(Time!BQ30=1,Debt!BQ42+Debt!BQ49&gt;Inputs!$F$9),SUMPRODUCT(Waterfall!BQ$7:$DB$7,BQ$13:$DB$13,Time!BQ$30:$DB$30)/(BQ13*(1+Debt!BQ9))/(Debt!BQ42+Debt!BQ49),"")</f>
        <v/>
      </c>
      <c r="BR14" s="31">
        <f>IF(AND(Time!BR30=1,Debt!BR42+Debt!BR49&gt;Inputs!$F$9),SUMPRODUCT(Waterfall!BR$7:$DB$7,BR$13:$DB$13,Time!BR$30:$DB$30)/(BR13*(1+Debt!BR9))/(Debt!BR42+Debt!BR49),"")</f>
        <v/>
      </c>
      <c r="BS14" s="31">
        <f>IF(AND(Time!BS30=1,Debt!BS42+Debt!BS49&gt;Inputs!$F$9),SUMPRODUCT(Waterfall!BS$7:$DB$7,BS$13:$DB$13,Time!BS$30:$DB$30)/(BS13*(1+Debt!BS9))/(Debt!BS42+Debt!BS49),"")</f>
        <v/>
      </c>
      <c r="BT14" s="31">
        <f>IF(AND(Time!BT30=1,Debt!BT42+Debt!BT49&gt;Inputs!$F$9),SUMPRODUCT(Waterfall!BT$7:$DB$7,BT$13:$DB$13,Time!BT$30:$DB$30)/(BT13*(1+Debt!BT9))/(Debt!BT42+Debt!BT49),"")</f>
        <v/>
      </c>
      <c r="BU14" s="31">
        <f>IF(AND(Time!BU30=1,Debt!BU42+Debt!BU49&gt;Inputs!$F$9),SUMPRODUCT(Waterfall!BU$7:$DB$7,BU$13:$DB$13,Time!BU$30:$DB$30)/(BU13*(1+Debt!BU9))/(Debt!BU42+Debt!BU49),"")</f>
        <v/>
      </c>
      <c r="BV14" s="31">
        <f>IF(AND(Time!BV30=1,Debt!BV42+Debt!BV49&gt;Inputs!$F$9),SUMPRODUCT(Waterfall!BV$7:$DB$7,BV$13:$DB$13,Time!BV$30:$DB$30)/(BV13*(1+Debt!BV9))/(Debt!BV42+Debt!BV49),"")</f>
        <v/>
      </c>
      <c r="BW14" s="31">
        <f>IF(AND(Time!BW30=1,Debt!BW42+Debt!BW49&gt;Inputs!$F$9),SUMPRODUCT(Waterfall!BW$7:$DB$7,BW$13:$DB$13,Time!BW$30:$DB$30)/(BW13*(1+Debt!BW9))/(Debt!BW42+Debt!BW49),"")</f>
        <v/>
      </c>
      <c r="BX14" s="31">
        <f>IF(AND(Time!BX30=1,Debt!BX42+Debt!BX49&gt;Inputs!$F$9),SUMPRODUCT(Waterfall!BX$7:$DB$7,BX$13:$DB$13,Time!BX$30:$DB$30)/(BX13*(1+Debt!BX9))/(Debt!BX42+Debt!BX49),"")</f>
        <v/>
      </c>
      <c r="BY14" s="31">
        <f>IF(AND(Time!BY30=1,Debt!BY42+Debt!BY49&gt;Inputs!$F$9),SUMPRODUCT(Waterfall!BY$7:$DB$7,BY$13:$DB$13,Time!BY$30:$DB$30)/(BY13*(1+Debt!BY9))/(Debt!BY42+Debt!BY49),"")</f>
        <v/>
      </c>
      <c r="BZ14" s="31">
        <f>IF(AND(Time!BZ30=1,Debt!BZ42+Debt!BZ49&gt;Inputs!$F$9),SUMPRODUCT(Waterfall!BZ$7:$DB$7,BZ$13:$DB$13,Time!BZ$30:$DB$30)/(BZ13*(1+Debt!BZ9))/(Debt!BZ42+Debt!BZ49),"")</f>
        <v/>
      </c>
      <c r="CA14" s="31">
        <f>IF(AND(Time!CA30=1,Debt!CA42+Debt!CA49&gt;Inputs!$F$9),SUMPRODUCT(Waterfall!CA$7:$DB$7,CA$13:$DB$13,Time!CA$30:$DB$30)/(CA13*(1+Debt!CA9))/(Debt!CA42+Debt!CA49),"")</f>
        <v/>
      </c>
      <c r="CB14" s="31">
        <f>IF(AND(Time!CB30=1,Debt!CB42+Debt!CB49&gt;Inputs!$F$9),SUMPRODUCT(Waterfall!CB$7:$DB$7,CB$13:$DB$13,Time!CB$30:$DB$30)/(CB13*(1+Debt!CB9))/(Debt!CB42+Debt!CB49),"")</f>
        <v/>
      </c>
      <c r="CC14" s="31">
        <f>IF(AND(Time!CC30=1,Debt!CC42+Debt!CC49&gt;Inputs!$F$9),SUMPRODUCT(Waterfall!CC$7:$DB$7,CC$13:$DB$13,Time!CC$30:$DB$30)/(CC13*(1+Debt!CC9))/(Debt!CC42+Debt!CC49),"")</f>
        <v/>
      </c>
      <c r="CD14" s="31">
        <f>IF(AND(Time!CD30=1,Debt!CD42+Debt!CD49&gt;Inputs!$F$9),SUMPRODUCT(Waterfall!CD$7:$DB$7,CD$13:$DB$13,Time!CD$30:$DB$30)/(CD13*(1+Debt!CD9))/(Debt!CD42+Debt!CD49),"")</f>
        <v/>
      </c>
      <c r="CE14" s="31">
        <f>IF(AND(Time!CE30=1,Debt!CE42+Debt!CE49&gt;Inputs!$F$9),SUMPRODUCT(Waterfall!CE$7:$DB$7,CE$13:$DB$13,Time!CE$30:$DB$30)/(CE13*(1+Debt!CE9))/(Debt!CE42+Debt!CE49),"")</f>
        <v/>
      </c>
      <c r="CF14" s="31">
        <f>IF(AND(Time!CF30=1,Debt!CF42+Debt!CF49&gt;Inputs!$F$9),SUMPRODUCT(Waterfall!CF$7:$DB$7,CF$13:$DB$13,Time!CF$30:$DB$30)/(CF13*(1+Debt!CF9))/(Debt!CF42+Debt!CF49),"")</f>
        <v/>
      </c>
      <c r="CG14" s="31">
        <f>IF(AND(Time!CG30=1,Debt!CG42+Debt!CG49&gt;Inputs!$F$9),SUMPRODUCT(Waterfall!CG$7:$DB$7,CG$13:$DB$13,Time!CG$30:$DB$30)/(CG13*(1+Debt!CG9))/(Debt!CG42+Debt!CG49),"")</f>
        <v/>
      </c>
      <c r="CH14" s="31">
        <f>IF(AND(Time!CH30=1,Debt!CH42+Debt!CH49&gt;Inputs!$F$9),SUMPRODUCT(Waterfall!CH$7:$DB$7,CH$13:$DB$13,Time!CH$30:$DB$30)/(CH13*(1+Debt!CH9))/(Debt!CH42+Debt!CH49),"")</f>
        <v/>
      </c>
      <c r="CI14" s="31">
        <f>IF(AND(Time!CI30=1,Debt!CI42+Debt!CI49&gt;Inputs!$F$9),SUMPRODUCT(Waterfall!CI$7:$DB$7,CI$13:$DB$13,Time!CI$30:$DB$30)/(CI13*(1+Debt!CI9))/(Debt!CI42+Debt!CI49),"")</f>
        <v/>
      </c>
      <c r="CJ14" s="31">
        <f>IF(AND(Time!CJ30=1,Debt!CJ42+Debt!CJ49&gt;Inputs!$F$9),SUMPRODUCT(Waterfall!CJ$7:$DB$7,CJ$13:$DB$13,Time!CJ$30:$DB$30)/(CJ13*(1+Debt!CJ9))/(Debt!CJ42+Debt!CJ49),"")</f>
        <v/>
      </c>
      <c r="CK14" s="31">
        <f>IF(AND(Time!CK30=1,Debt!CK42+Debt!CK49&gt;Inputs!$F$9),SUMPRODUCT(Waterfall!CK$7:$DB$7,CK$13:$DB$13,Time!CK$30:$DB$30)/(CK13*(1+Debt!CK9))/(Debt!CK42+Debt!CK49),"")</f>
        <v/>
      </c>
      <c r="CL14" s="31">
        <f>IF(AND(Time!CL30=1,Debt!CL42+Debt!CL49&gt;Inputs!$F$9),SUMPRODUCT(Waterfall!CL$7:$DB$7,CL$13:$DB$13,Time!CL$30:$DB$30)/(CL13*(1+Debt!CL9))/(Debt!CL42+Debt!CL49),"")</f>
        <v/>
      </c>
      <c r="CM14" s="31">
        <f>IF(AND(Time!CM30=1,Debt!CM42+Debt!CM49&gt;Inputs!$F$9),SUMPRODUCT(Waterfall!CM$7:$DB$7,CM$13:$DB$13,Time!CM$30:$DB$30)/(CM13*(1+Debt!CM9))/(Debt!CM42+Debt!CM49),"")</f>
        <v/>
      </c>
      <c r="CN14" s="31">
        <f>IF(AND(Time!CN30=1,Debt!CN42+Debt!CN49&gt;Inputs!$F$9),SUMPRODUCT(Waterfall!CN$7:$DB$7,CN$13:$DB$13,Time!CN$30:$DB$30)/(CN13*(1+Debt!CN9))/(Debt!CN42+Debt!CN49),"")</f>
        <v/>
      </c>
      <c r="CO14" s="31">
        <f>IF(AND(Time!CO30=1,Debt!CO42+Debt!CO49&gt;Inputs!$F$9),SUMPRODUCT(Waterfall!CO$7:$DB$7,CO$13:$DB$13,Time!CO$30:$DB$30)/(CO13*(1+Debt!CO9))/(Debt!CO42+Debt!CO49),"")</f>
        <v/>
      </c>
      <c r="CP14" s="31">
        <f>IF(AND(Time!CP30=1,Debt!CP42+Debt!CP49&gt;Inputs!$F$9),SUMPRODUCT(Waterfall!CP$7:$DB$7,CP$13:$DB$13,Time!CP$30:$DB$30)/(CP13*(1+Debt!CP9))/(Debt!CP42+Debt!CP49),"")</f>
        <v/>
      </c>
      <c r="CQ14" s="31">
        <f>IF(AND(Time!CQ30=1,Debt!CQ42+Debt!CQ49&gt;Inputs!$F$9),SUMPRODUCT(Waterfall!CQ$7:$DB$7,CQ$13:$DB$13,Time!CQ$30:$DB$30)/(CQ13*(1+Debt!CQ9))/(Debt!CQ42+Debt!CQ49),"")</f>
        <v/>
      </c>
      <c r="CR14" s="31">
        <f>IF(AND(Time!CR30=1,Debt!CR42+Debt!CR49&gt;Inputs!$F$9),SUMPRODUCT(Waterfall!CR$7:$DB$7,CR$13:$DB$13,Time!CR$30:$DB$30)/(CR13*(1+Debt!CR9))/(Debt!CR42+Debt!CR49),"")</f>
        <v/>
      </c>
      <c r="CS14" s="31">
        <f>IF(AND(Time!CS30=1,Debt!CS42+Debt!CS49&gt;Inputs!$F$9),SUMPRODUCT(Waterfall!CS$7:$DB$7,CS$13:$DB$13,Time!CS$30:$DB$30)/(CS13*(1+Debt!CS9))/(Debt!CS42+Debt!CS49),"")</f>
        <v/>
      </c>
      <c r="CT14" s="31">
        <f>IF(AND(Time!CT30=1,Debt!CT42+Debt!CT49&gt;Inputs!$F$9),SUMPRODUCT(Waterfall!CT$7:$DB$7,CT$13:$DB$13,Time!CT$30:$DB$30)/(CT13*(1+Debt!CT9))/(Debt!CT42+Debt!CT49),"")</f>
        <v/>
      </c>
      <c r="CU14" s="31">
        <f>IF(AND(Time!CU30=1,Debt!CU42+Debt!CU49&gt;Inputs!$F$9),SUMPRODUCT(Waterfall!CU$7:$DB$7,CU$13:$DB$13,Time!CU$30:$DB$30)/(CU13*(1+Debt!CU9))/(Debt!CU42+Debt!CU49),"")</f>
        <v/>
      </c>
      <c r="CV14" s="31">
        <f>IF(AND(Time!CV30=1,Debt!CV42+Debt!CV49&gt;Inputs!$F$9),SUMPRODUCT(Waterfall!CV$7:$DB$7,CV$13:$DB$13,Time!CV$30:$DB$30)/(CV13*(1+Debt!CV9))/(Debt!CV42+Debt!CV49),"")</f>
        <v/>
      </c>
      <c r="CW14" s="31">
        <f>IF(AND(Time!CW30=1,Debt!CW42+Debt!CW49&gt;Inputs!$F$9),SUMPRODUCT(Waterfall!CW$7:$DB$7,CW$13:$DB$13,Time!CW$30:$DB$30)/(CW13*(1+Debt!CW9))/(Debt!CW42+Debt!CW49),"")</f>
        <v/>
      </c>
      <c r="CX14" s="31">
        <f>IF(AND(Time!CX30=1,Debt!CX42+Debt!CX49&gt;Inputs!$F$9),SUMPRODUCT(Waterfall!CX$7:$DB$7,CX$13:$DB$13,Time!CX$30:$DB$30)/(CX13*(1+Debt!CX9))/(Debt!CX42+Debt!CX49),"")</f>
        <v/>
      </c>
      <c r="CY14" s="31">
        <f>IF(AND(Time!CY30=1,Debt!CY42+Debt!CY49&gt;Inputs!$F$9),SUMPRODUCT(Waterfall!CY$7:$DB$7,CY$13:$DB$13,Time!CY$30:$DB$30)/(CY13*(1+Debt!CY9))/(Debt!CY42+Debt!CY49),"")</f>
        <v/>
      </c>
      <c r="CZ14" s="31">
        <f>IF(AND(Time!CZ30=1,Debt!CZ42+Debt!CZ49&gt;Inputs!$F$9),SUMPRODUCT(Waterfall!CZ$7:$DB$7,CZ$13:$DB$13,Time!CZ$30:$DB$30)/(CZ13*(1+Debt!CZ9))/(Debt!CZ42+Debt!CZ49),"")</f>
        <v/>
      </c>
      <c r="DA14" s="31">
        <f>IF(AND(Time!DA30=1,Debt!DA42+Debt!DA49&gt;Inputs!$F$9),SUMPRODUCT(Waterfall!DA$7:$DB$7,DA$13:$DB$13,Time!DA$30:$DB$30)/(DA13*(1+Debt!DA9))/(Debt!DA42+Debt!DA49),"")</f>
        <v/>
      </c>
      <c r="DB14" s="31">
        <f>IF(AND(Time!DB30=1,Debt!DB42+Debt!DB49&gt;Inputs!$F$9),SUMPRODUCT(Waterfall!DB$7:$DB$7,DB$13:$DB$13,Time!DB$30:$DB$30)/(DB13*(1+Debt!DB9))/(Debt!DB42+Debt!DB49),"")</f>
        <v/>
      </c>
    </row>
    <row r="15">
      <c r="D15" t="inlineStr">
        <is>
          <t>LLCR at the first repayment period</t>
        </is>
      </c>
      <c r="E15" t="inlineStr">
        <is>
          <t>x</t>
        </is>
      </c>
      <c r="F15" s="31">
        <f>SUMPRODUCT($J$14:$DB$14,Time!$J$31:$DB$31)</f>
        <v/>
      </c>
    </row>
    <row r="16">
      <c r="D16" t="inlineStr">
        <is>
          <t>Minimum LLCR</t>
        </is>
      </c>
      <c r="E16" t="inlineStr">
        <is>
          <t>x</t>
        </is>
      </c>
      <c r="F16" s="31">
        <f>IF(COUNT($J$14:$DB$14)&gt;0,MIN($J$14:$DB$14),0)</f>
        <v/>
      </c>
    </row>
    <row r="17">
      <c r="D17" t="inlineStr">
        <is>
          <t>PLCR at the first repayment period</t>
        </is>
      </c>
      <c r="E17" t="inlineStr">
        <is>
          <t>x</t>
        </is>
      </c>
      <c r="F17" s="31">
        <f>IFERROR(SUMPRODUCT(Waterfall!$J$7:$DB$7,$J$13:$DB$13,Time!$J$26:$DB$26)/SUMPRODUCT(Debt!$J$42:$DB$42+Debt!$J$49:$DB$49,Time!$J$31:$DB$31),0)</f>
        <v/>
      </c>
    </row>
    <row r="18">
      <c r="D18" t="inlineStr">
        <is>
          <t>Notes DSCR</t>
        </is>
      </c>
      <c r="E18" t="inlineStr">
        <is>
          <t>x</t>
        </is>
      </c>
      <c r="J18" s="31">
        <f>IF(AND(Time!J37=1,Debt!J68&gt;Inputs!$F$9),Waterfall!J7/Debt!J68,"")</f>
        <v/>
      </c>
      <c r="K18" s="31">
        <f>IF(AND(Time!K37=1,Debt!K68&gt;Inputs!$F$9),Waterfall!K7/Debt!K68,"")</f>
        <v/>
      </c>
      <c r="L18" s="31">
        <f>IF(AND(Time!L37=1,Debt!L68&gt;Inputs!$F$9),Waterfall!L7/Debt!L68,"")</f>
        <v/>
      </c>
      <c r="M18" s="31">
        <f>IF(AND(Time!M37=1,Debt!M68&gt;Inputs!$F$9),Waterfall!M7/Debt!M68,"")</f>
        <v/>
      </c>
      <c r="N18" s="31">
        <f>IF(AND(Time!N37=1,Debt!N68&gt;Inputs!$F$9),Waterfall!N7/Debt!N68,"")</f>
        <v/>
      </c>
      <c r="O18" s="31">
        <f>IF(AND(Time!O37=1,Debt!O68&gt;Inputs!$F$9),Waterfall!O7/Debt!O68,"")</f>
        <v/>
      </c>
      <c r="P18" s="31">
        <f>IF(AND(Time!P37=1,Debt!P68&gt;Inputs!$F$9),Waterfall!P7/Debt!P68,"")</f>
        <v/>
      </c>
      <c r="Q18" s="31">
        <f>IF(AND(Time!Q37=1,Debt!Q68&gt;Inputs!$F$9),Waterfall!Q7/Debt!Q68,"")</f>
        <v/>
      </c>
      <c r="R18" s="31">
        <f>IF(AND(Time!R37=1,Debt!R68&gt;Inputs!$F$9),Waterfall!R7/Debt!R68,"")</f>
        <v/>
      </c>
      <c r="S18" s="31">
        <f>IF(AND(Time!S37=1,Debt!S68&gt;Inputs!$F$9),Waterfall!S7/Debt!S68,"")</f>
        <v/>
      </c>
      <c r="T18" s="31">
        <f>IF(AND(Time!T37=1,Debt!T68&gt;Inputs!$F$9),Waterfall!T7/Debt!T68,"")</f>
        <v/>
      </c>
      <c r="U18" s="31">
        <f>IF(AND(Time!U37=1,Debt!U68&gt;Inputs!$F$9),Waterfall!U7/Debt!U68,"")</f>
        <v/>
      </c>
      <c r="V18" s="31">
        <f>IF(AND(Time!V37=1,Debt!V68&gt;Inputs!$F$9),Waterfall!V7/Debt!V68,"")</f>
        <v/>
      </c>
      <c r="W18" s="31">
        <f>IF(AND(Time!W37=1,Debt!W68&gt;Inputs!$F$9),Waterfall!W7/Debt!W68,"")</f>
        <v/>
      </c>
      <c r="X18" s="31">
        <f>IF(AND(Time!X37=1,Debt!X68&gt;Inputs!$F$9),Waterfall!X7/Debt!X68,"")</f>
        <v/>
      </c>
      <c r="Y18" s="31">
        <f>IF(AND(Time!Y37=1,Debt!Y68&gt;Inputs!$F$9),Waterfall!Y7/Debt!Y68,"")</f>
        <v/>
      </c>
      <c r="Z18" s="31">
        <f>IF(AND(Time!Z37=1,Debt!Z68&gt;Inputs!$F$9),Waterfall!Z7/Debt!Z68,"")</f>
        <v/>
      </c>
      <c r="AA18" s="31">
        <f>IF(AND(Time!AA37=1,Debt!AA68&gt;Inputs!$F$9),Waterfall!AA7/Debt!AA68,"")</f>
        <v/>
      </c>
      <c r="AB18" s="31">
        <f>IF(AND(Time!AB37=1,Debt!AB68&gt;Inputs!$F$9),Waterfall!AB7/Debt!AB68,"")</f>
        <v/>
      </c>
      <c r="AC18" s="31">
        <f>IF(AND(Time!AC37=1,Debt!AC68&gt;Inputs!$F$9),Waterfall!AC7/Debt!AC68,"")</f>
        <v/>
      </c>
      <c r="AD18" s="31">
        <f>IF(AND(Time!AD37=1,Debt!AD68&gt;Inputs!$F$9),Waterfall!AD7/Debt!AD68,"")</f>
        <v/>
      </c>
      <c r="AE18" s="31">
        <f>IF(AND(Time!AE37=1,Debt!AE68&gt;Inputs!$F$9),Waterfall!AE7/Debt!AE68,"")</f>
        <v/>
      </c>
      <c r="AF18" s="31">
        <f>IF(AND(Time!AF37=1,Debt!AF68&gt;Inputs!$F$9),Waterfall!AF7/Debt!AF68,"")</f>
        <v/>
      </c>
      <c r="AG18" s="31">
        <f>IF(AND(Time!AG37=1,Debt!AG68&gt;Inputs!$F$9),Waterfall!AG7/Debt!AG68,"")</f>
        <v/>
      </c>
      <c r="AH18" s="31">
        <f>IF(AND(Time!AH37=1,Debt!AH68&gt;Inputs!$F$9),Waterfall!AH7/Debt!AH68,"")</f>
        <v/>
      </c>
      <c r="AI18" s="31">
        <f>IF(AND(Time!AI37=1,Debt!AI68&gt;Inputs!$F$9),Waterfall!AI7/Debt!AI68,"")</f>
        <v/>
      </c>
      <c r="AJ18" s="31">
        <f>IF(AND(Time!AJ37=1,Debt!AJ68&gt;Inputs!$F$9),Waterfall!AJ7/Debt!AJ68,"")</f>
        <v/>
      </c>
      <c r="AK18" s="31">
        <f>IF(AND(Time!AK37=1,Debt!AK68&gt;Inputs!$F$9),Waterfall!AK7/Debt!AK68,"")</f>
        <v/>
      </c>
      <c r="AL18" s="31">
        <f>IF(AND(Time!AL37=1,Debt!AL68&gt;Inputs!$F$9),Waterfall!AL7/Debt!AL68,"")</f>
        <v/>
      </c>
      <c r="AM18" s="31">
        <f>IF(AND(Time!AM37=1,Debt!AM68&gt;Inputs!$F$9),Waterfall!AM7/Debt!AM68,"")</f>
        <v/>
      </c>
      <c r="AN18" s="31">
        <f>IF(AND(Time!AN37=1,Debt!AN68&gt;Inputs!$F$9),Waterfall!AN7/Debt!AN68,"")</f>
        <v/>
      </c>
      <c r="AO18" s="31">
        <f>IF(AND(Time!AO37=1,Debt!AO68&gt;Inputs!$F$9),Waterfall!AO7/Debt!AO68,"")</f>
        <v/>
      </c>
      <c r="AP18" s="31">
        <f>IF(AND(Time!AP37=1,Debt!AP68&gt;Inputs!$F$9),Waterfall!AP7/Debt!AP68,"")</f>
        <v/>
      </c>
      <c r="AQ18" s="31">
        <f>IF(AND(Time!AQ37=1,Debt!AQ68&gt;Inputs!$F$9),Waterfall!AQ7/Debt!AQ68,"")</f>
        <v/>
      </c>
      <c r="AR18" s="31">
        <f>IF(AND(Time!AR37=1,Debt!AR68&gt;Inputs!$F$9),Waterfall!AR7/Debt!AR68,"")</f>
        <v/>
      </c>
      <c r="AS18" s="31">
        <f>IF(AND(Time!AS37=1,Debt!AS68&gt;Inputs!$F$9),Waterfall!AS7/Debt!AS68,"")</f>
        <v/>
      </c>
      <c r="AT18" s="31">
        <f>IF(AND(Time!AT37=1,Debt!AT68&gt;Inputs!$F$9),Waterfall!AT7/Debt!AT68,"")</f>
        <v/>
      </c>
      <c r="AU18" s="31">
        <f>IF(AND(Time!AU37=1,Debt!AU68&gt;Inputs!$F$9),Waterfall!AU7/Debt!AU68,"")</f>
        <v/>
      </c>
      <c r="AV18" s="31">
        <f>IF(AND(Time!AV37=1,Debt!AV68&gt;Inputs!$F$9),Waterfall!AV7/Debt!AV68,"")</f>
        <v/>
      </c>
      <c r="AW18" s="31">
        <f>IF(AND(Time!AW37=1,Debt!AW68&gt;Inputs!$F$9),Waterfall!AW7/Debt!AW68,"")</f>
        <v/>
      </c>
      <c r="AX18" s="31">
        <f>IF(AND(Time!AX37=1,Debt!AX68&gt;Inputs!$F$9),Waterfall!AX7/Debt!AX68,"")</f>
        <v/>
      </c>
      <c r="AY18" s="31">
        <f>IF(AND(Time!AY37=1,Debt!AY68&gt;Inputs!$F$9),Waterfall!AY7/Debt!AY68,"")</f>
        <v/>
      </c>
      <c r="AZ18" s="31">
        <f>IF(AND(Time!AZ37=1,Debt!AZ68&gt;Inputs!$F$9),Waterfall!AZ7/Debt!AZ68,"")</f>
        <v/>
      </c>
      <c r="BA18" s="31">
        <f>IF(AND(Time!BA37=1,Debt!BA68&gt;Inputs!$F$9),Waterfall!BA7/Debt!BA68,"")</f>
        <v/>
      </c>
      <c r="BB18" s="31">
        <f>IF(AND(Time!BB37=1,Debt!BB68&gt;Inputs!$F$9),Waterfall!BB7/Debt!BB68,"")</f>
        <v/>
      </c>
      <c r="BC18" s="31">
        <f>IF(AND(Time!BC37=1,Debt!BC68&gt;Inputs!$F$9),Waterfall!BC7/Debt!BC68,"")</f>
        <v/>
      </c>
      <c r="BD18" s="31">
        <f>IF(AND(Time!BD37=1,Debt!BD68&gt;Inputs!$F$9),Waterfall!BD7/Debt!BD68,"")</f>
        <v/>
      </c>
      <c r="BE18" s="31">
        <f>IF(AND(Time!BE37=1,Debt!BE68&gt;Inputs!$F$9),Waterfall!BE7/Debt!BE68,"")</f>
        <v/>
      </c>
      <c r="BF18" s="31">
        <f>IF(AND(Time!BF37=1,Debt!BF68&gt;Inputs!$F$9),Waterfall!BF7/Debt!BF68,"")</f>
        <v/>
      </c>
      <c r="BG18" s="31">
        <f>IF(AND(Time!BG37=1,Debt!BG68&gt;Inputs!$F$9),Waterfall!BG7/Debt!BG68,"")</f>
        <v/>
      </c>
      <c r="BH18" s="31">
        <f>IF(AND(Time!BH37=1,Debt!BH68&gt;Inputs!$F$9),Waterfall!BH7/Debt!BH68,"")</f>
        <v/>
      </c>
      <c r="BI18" s="31">
        <f>IF(AND(Time!BI37=1,Debt!BI68&gt;Inputs!$F$9),Waterfall!BI7/Debt!BI68,"")</f>
        <v/>
      </c>
      <c r="BJ18" s="31">
        <f>IF(AND(Time!BJ37=1,Debt!BJ68&gt;Inputs!$F$9),Waterfall!BJ7/Debt!BJ68,"")</f>
        <v/>
      </c>
      <c r="BK18" s="31">
        <f>IF(AND(Time!BK37=1,Debt!BK68&gt;Inputs!$F$9),Waterfall!BK7/Debt!BK68,"")</f>
        <v/>
      </c>
      <c r="BL18" s="31">
        <f>IF(AND(Time!BL37=1,Debt!BL68&gt;Inputs!$F$9),Waterfall!BL7/Debt!BL68,"")</f>
        <v/>
      </c>
      <c r="BM18" s="31">
        <f>IF(AND(Time!BM37=1,Debt!BM68&gt;Inputs!$F$9),Waterfall!BM7/Debt!BM68,"")</f>
        <v/>
      </c>
      <c r="BN18" s="31">
        <f>IF(AND(Time!BN37=1,Debt!BN68&gt;Inputs!$F$9),Waterfall!BN7/Debt!BN68,"")</f>
        <v/>
      </c>
      <c r="BO18" s="31">
        <f>IF(AND(Time!BO37=1,Debt!BO68&gt;Inputs!$F$9),Waterfall!BO7/Debt!BO68,"")</f>
        <v/>
      </c>
      <c r="BP18" s="31">
        <f>IF(AND(Time!BP37=1,Debt!BP68&gt;Inputs!$F$9),Waterfall!BP7/Debt!BP68,"")</f>
        <v/>
      </c>
      <c r="BQ18" s="31">
        <f>IF(AND(Time!BQ37=1,Debt!BQ68&gt;Inputs!$F$9),Waterfall!BQ7/Debt!BQ68,"")</f>
        <v/>
      </c>
      <c r="BR18" s="31">
        <f>IF(AND(Time!BR37=1,Debt!BR68&gt;Inputs!$F$9),Waterfall!BR7/Debt!BR68,"")</f>
        <v/>
      </c>
      <c r="BS18" s="31">
        <f>IF(AND(Time!BS37=1,Debt!BS68&gt;Inputs!$F$9),Waterfall!BS7/Debt!BS68,"")</f>
        <v/>
      </c>
      <c r="BT18" s="31">
        <f>IF(AND(Time!BT37=1,Debt!BT68&gt;Inputs!$F$9),Waterfall!BT7/Debt!BT68,"")</f>
        <v/>
      </c>
      <c r="BU18" s="31">
        <f>IF(AND(Time!BU37=1,Debt!BU68&gt;Inputs!$F$9),Waterfall!BU7/Debt!BU68,"")</f>
        <v/>
      </c>
      <c r="BV18" s="31">
        <f>IF(AND(Time!BV37=1,Debt!BV68&gt;Inputs!$F$9),Waterfall!BV7/Debt!BV68,"")</f>
        <v/>
      </c>
      <c r="BW18" s="31">
        <f>IF(AND(Time!BW37=1,Debt!BW68&gt;Inputs!$F$9),Waterfall!BW7/Debt!BW68,"")</f>
        <v/>
      </c>
      <c r="BX18" s="31">
        <f>IF(AND(Time!BX37=1,Debt!BX68&gt;Inputs!$F$9),Waterfall!BX7/Debt!BX68,"")</f>
        <v/>
      </c>
      <c r="BY18" s="31">
        <f>IF(AND(Time!BY37=1,Debt!BY68&gt;Inputs!$F$9),Waterfall!BY7/Debt!BY68,"")</f>
        <v/>
      </c>
      <c r="BZ18" s="31">
        <f>IF(AND(Time!BZ37=1,Debt!BZ68&gt;Inputs!$F$9),Waterfall!BZ7/Debt!BZ68,"")</f>
        <v/>
      </c>
      <c r="CA18" s="31">
        <f>IF(AND(Time!CA37=1,Debt!CA68&gt;Inputs!$F$9),Waterfall!CA7/Debt!CA68,"")</f>
        <v/>
      </c>
      <c r="CB18" s="31">
        <f>IF(AND(Time!CB37=1,Debt!CB68&gt;Inputs!$F$9),Waterfall!CB7/Debt!CB68,"")</f>
        <v/>
      </c>
      <c r="CC18" s="31">
        <f>IF(AND(Time!CC37=1,Debt!CC68&gt;Inputs!$F$9),Waterfall!CC7/Debt!CC68,"")</f>
        <v/>
      </c>
      <c r="CD18" s="31">
        <f>IF(AND(Time!CD37=1,Debt!CD68&gt;Inputs!$F$9),Waterfall!CD7/Debt!CD68,"")</f>
        <v/>
      </c>
      <c r="CE18" s="31">
        <f>IF(AND(Time!CE37=1,Debt!CE68&gt;Inputs!$F$9),Waterfall!CE7/Debt!CE68,"")</f>
        <v/>
      </c>
      <c r="CF18" s="31">
        <f>IF(AND(Time!CF37=1,Debt!CF68&gt;Inputs!$F$9),Waterfall!CF7/Debt!CF68,"")</f>
        <v/>
      </c>
      <c r="CG18" s="31">
        <f>IF(AND(Time!CG37=1,Debt!CG68&gt;Inputs!$F$9),Waterfall!CG7/Debt!CG68,"")</f>
        <v/>
      </c>
      <c r="CH18" s="31">
        <f>IF(AND(Time!CH37=1,Debt!CH68&gt;Inputs!$F$9),Waterfall!CH7/Debt!CH68,"")</f>
        <v/>
      </c>
      <c r="CI18" s="31">
        <f>IF(AND(Time!CI37=1,Debt!CI68&gt;Inputs!$F$9),Waterfall!CI7/Debt!CI68,"")</f>
        <v/>
      </c>
      <c r="CJ18" s="31">
        <f>IF(AND(Time!CJ37=1,Debt!CJ68&gt;Inputs!$F$9),Waterfall!CJ7/Debt!CJ68,"")</f>
        <v/>
      </c>
      <c r="CK18" s="31">
        <f>IF(AND(Time!CK37=1,Debt!CK68&gt;Inputs!$F$9),Waterfall!CK7/Debt!CK68,"")</f>
        <v/>
      </c>
      <c r="CL18" s="31">
        <f>IF(AND(Time!CL37=1,Debt!CL68&gt;Inputs!$F$9),Waterfall!CL7/Debt!CL68,"")</f>
        <v/>
      </c>
      <c r="CM18" s="31">
        <f>IF(AND(Time!CM37=1,Debt!CM68&gt;Inputs!$F$9),Waterfall!CM7/Debt!CM68,"")</f>
        <v/>
      </c>
      <c r="CN18" s="31">
        <f>IF(AND(Time!CN37=1,Debt!CN68&gt;Inputs!$F$9),Waterfall!CN7/Debt!CN68,"")</f>
        <v/>
      </c>
      <c r="CO18" s="31">
        <f>IF(AND(Time!CO37=1,Debt!CO68&gt;Inputs!$F$9),Waterfall!CO7/Debt!CO68,"")</f>
        <v/>
      </c>
      <c r="CP18" s="31">
        <f>IF(AND(Time!CP37=1,Debt!CP68&gt;Inputs!$F$9),Waterfall!CP7/Debt!CP68,"")</f>
        <v/>
      </c>
      <c r="CQ18" s="31">
        <f>IF(AND(Time!CQ37=1,Debt!CQ68&gt;Inputs!$F$9),Waterfall!CQ7/Debt!CQ68,"")</f>
        <v/>
      </c>
      <c r="CR18" s="31">
        <f>IF(AND(Time!CR37=1,Debt!CR68&gt;Inputs!$F$9),Waterfall!CR7/Debt!CR68,"")</f>
        <v/>
      </c>
      <c r="CS18" s="31">
        <f>IF(AND(Time!CS37=1,Debt!CS68&gt;Inputs!$F$9),Waterfall!CS7/Debt!CS68,"")</f>
        <v/>
      </c>
      <c r="CT18" s="31">
        <f>IF(AND(Time!CT37=1,Debt!CT68&gt;Inputs!$F$9),Waterfall!CT7/Debt!CT68,"")</f>
        <v/>
      </c>
      <c r="CU18" s="31">
        <f>IF(AND(Time!CU37=1,Debt!CU68&gt;Inputs!$F$9),Waterfall!CU7/Debt!CU68,"")</f>
        <v/>
      </c>
      <c r="CV18" s="31">
        <f>IF(AND(Time!CV37=1,Debt!CV68&gt;Inputs!$F$9),Waterfall!CV7/Debt!CV68,"")</f>
        <v/>
      </c>
      <c r="CW18" s="31">
        <f>IF(AND(Time!CW37=1,Debt!CW68&gt;Inputs!$F$9),Waterfall!CW7/Debt!CW68,"")</f>
        <v/>
      </c>
      <c r="CX18" s="31">
        <f>IF(AND(Time!CX37=1,Debt!CX68&gt;Inputs!$F$9),Waterfall!CX7/Debt!CX68,"")</f>
        <v/>
      </c>
      <c r="CY18" s="31">
        <f>IF(AND(Time!CY37=1,Debt!CY68&gt;Inputs!$F$9),Waterfall!CY7/Debt!CY68,"")</f>
        <v/>
      </c>
      <c r="CZ18" s="31">
        <f>IF(AND(Time!CZ37=1,Debt!CZ68&gt;Inputs!$F$9),Waterfall!CZ7/Debt!CZ68,"")</f>
        <v/>
      </c>
      <c r="DA18" s="31">
        <f>IF(AND(Time!DA37=1,Debt!DA68&gt;Inputs!$F$9),Waterfall!DA7/Debt!DA68,"")</f>
        <v/>
      </c>
      <c r="DB18" s="31">
        <f>IF(AND(Time!DB37=1,Debt!DB68&gt;Inputs!$F$9),Waterfall!DB7/Debt!DB68,"")</f>
        <v/>
      </c>
    </row>
    <row r="19">
      <c r="D19" t="inlineStr">
        <is>
          <t>Minimum notes DSCR</t>
        </is>
      </c>
      <c r="E19" t="inlineStr">
        <is>
          <t>x</t>
        </is>
      </c>
      <c r="F19" s="31">
        <f>IF(COUNT($J$18:$DB$18)&gt;0,MIN($J$18:$DB$18),0)</f>
        <v/>
      </c>
    </row>
    <row r="20">
      <c r="D20" t="inlineStr">
        <is>
          <t>Average notes DSCR</t>
        </is>
      </c>
      <c r="E20" t="inlineStr">
        <is>
          <t>x</t>
        </is>
      </c>
      <c r="F20" s="31">
        <f>IF(COUNT($J$18:$DB$18)&gt;0,AVERAGE($J$18:$DB$18),0)</f>
        <v/>
      </c>
    </row>
    <row r="21">
      <c r="D21" t="inlineStr">
        <is>
          <t>Lock-up periods after the first repayment date</t>
        </is>
      </c>
      <c r="E21" t="inlineStr">
        <is>
          <t>#</t>
        </is>
      </c>
      <c r="F21" s="14">
        <f>SUMPRODUCT(Waterfall!$J$48:$DB$48,Time!$J$26:$DB$26,1-Time!$J$33:$DB$33)</f>
        <v/>
      </c>
    </row>
    <row r="22">
      <c r="D22" t="inlineStr">
        <is>
          <t>DSRA drawn in total</t>
        </is>
      </c>
      <c r="E22" t="inlineStr">
        <is>
          <t>ARD m</t>
        </is>
      </c>
      <c r="F22" s="19">
        <f>SUM(Waterfall!$J$23:$DB$23)</f>
        <v/>
      </c>
    </row>
    <row r="23">
      <c r="D23" t="inlineStr">
        <is>
          <t>Senior debt, % of funding net of contribution</t>
        </is>
      </c>
      <c r="E23" t="inlineStr">
        <is>
          <t>%</t>
        </is>
      </c>
      <c r="F23" s="26">
        <f>IFERROR(Debt!$F$26/Funding!$F$25,0)</f>
        <v/>
      </c>
    </row>
    <row r="24">
      <c r="D24" t="inlineStr">
        <is>
          <t>NILO, % of funding net of contribution</t>
        </is>
      </c>
      <c r="E24" t="inlineStr">
        <is>
          <t>%</t>
        </is>
      </c>
      <c r="F24" s="26">
        <f>IFERROR(Debt!$F$28/Funding!$F$25,0)</f>
        <v/>
      </c>
    </row>
    <row r="25">
      <c r="D25" t="inlineStr">
        <is>
          <t>Equity, % of funding net of contribution</t>
        </is>
      </c>
      <c r="E25" t="inlineStr">
        <is>
          <t>%</t>
        </is>
      </c>
      <c r="F25" s="26">
        <f>IFERROR(Debt!$F$29/Funding!$F$25,0)</f>
        <v/>
      </c>
    </row>
    <row r="26">
      <c r="D26" t="inlineStr">
        <is>
          <t>NILO, % of eligible costs</t>
        </is>
      </c>
      <c r="E26" t="inlineStr">
        <is>
          <t>%</t>
        </is>
      </c>
      <c r="F26" s="26">
        <f>IFERROR(Debt!$F$28/Funding!$F$24,0)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D1:DB51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Returns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Original sponsors' equity</t>
        </is>
      </c>
    </row>
    <row r="6">
      <c r="D6" t="inlineStr">
        <is>
          <t>Equity cash flow</t>
        </is>
      </c>
      <c r="E6" t="inlineStr">
        <is>
          <t>ARD m</t>
        </is>
      </c>
      <c r="G6" s="19">
        <f>SUM(J6:DB6)</f>
        <v/>
      </c>
      <c r="J6" s="29">
        <f>Waterfall!J61</f>
        <v/>
      </c>
      <c r="K6" s="29">
        <f>Waterfall!K61</f>
        <v/>
      </c>
      <c r="L6" s="29">
        <f>Waterfall!L61</f>
        <v/>
      </c>
      <c r="M6" s="29">
        <f>Waterfall!M61</f>
        <v/>
      </c>
      <c r="N6" s="29">
        <f>Waterfall!N61</f>
        <v/>
      </c>
      <c r="O6" s="29">
        <f>Waterfall!O61</f>
        <v/>
      </c>
      <c r="P6" s="29">
        <f>Waterfall!P61</f>
        <v/>
      </c>
      <c r="Q6" s="29">
        <f>Waterfall!Q61</f>
        <v/>
      </c>
      <c r="R6" s="29">
        <f>Waterfall!R61</f>
        <v/>
      </c>
      <c r="S6" s="29">
        <f>Waterfall!S61</f>
        <v/>
      </c>
      <c r="T6" s="29">
        <f>Waterfall!T61</f>
        <v/>
      </c>
      <c r="U6" s="29">
        <f>Waterfall!U61</f>
        <v/>
      </c>
      <c r="V6" s="29">
        <f>Waterfall!V61</f>
        <v/>
      </c>
      <c r="W6" s="29">
        <f>Waterfall!W61</f>
        <v/>
      </c>
      <c r="X6" s="29">
        <f>Waterfall!X61</f>
        <v/>
      </c>
      <c r="Y6" s="29">
        <f>Waterfall!Y61</f>
        <v/>
      </c>
      <c r="Z6" s="29">
        <f>Waterfall!Z61</f>
        <v/>
      </c>
      <c r="AA6" s="29">
        <f>Waterfall!AA61</f>
        <v/>
      </c>
      <c r="AB6" s="29">
        <f>Waterfall!AB61</f>
        <v/>
      </c>
      <c r="AC6" s="29">
        <f>Waterfall!AC61</f>
        <v/>
      </c>
      <c r="AD6" s="29">
        <f>Waterfall!AD61</f>
        <v/>
      </c>
      <c r="AE6" s="29">
        <f>Waterfall!AE61</f>
        <v/>
      </c>
      <c r="AF6" s="29">
        <f>Waterfall!AF61</f>
        <v/>
      </c>
      <c r="AG6" s="29">
        <f>Waterfall!AG61</f>
        <v/>
      </c>
      <c r="AH6" s="29">
        <f>Waterfall!AH61</f>
        <v/>
      </c>
      <c r="AI6" s="29">
        <f>Waterfall!AI61</f>
        <v/>
      </c>
      <c r="AJ6" s="29">
        <f>Waterfall!AJ61</f>
        <v/>
      </c>
      <c r="AK6" s="29">
        <f>Waterfall!AK61</f>
        <v/>
      </c>
      <c r="AL6" s="29">
        <f>Waterfall!AL61</f>
        <v/>
      </c>
      <c r="AM6" s="29">
        <f>Waterfall!AM61</f>
        <v/>
      </c>
      <c r="AN6" s="29">
        <f>Waterfall!AN61</f>
        <v/>
      </c>
      <c r="AO6" s="29">
        <f>Waterfall!AO61</f>
        <v/>
      </c>
      <c r="AP6" s="29">
        <f>Waterfall!AP61</f>
        <v/>
      </c>
      <c r="AQ6" s="29">
        <f>Waterfall!AQ61</f>
        <v/>
      </c>
      <c r="AR6" s="29">
        <f>Waterfall!AR61</f>
        <v/>
      </c>
      <c r="AS6" s="29">
        <f>Waterfall!AS61</f>
        <v/>
      </c>
      <c r="AT6" s="29">
        <f>Waterfall!AT61</f>
        <v/>
      </c>
      <c r="AU6" s="29">
        <f>Waterfall!AU61</f>
        <v/>
      </c>
      <c r="AV6" s="29">
        <f>Waterfall!AV61</f>
        <v/>
      </c>
      <c r="AW6" s="29">
        <f>Waterfall!AW61</f>
        <v/>
      </c>
      <c r="AX6" s="29">
        <f>Waterfall!AX61</f>
        <v/>
      </c>
      <c r="AY6" s="29">
        <f>Waterfall!AY61</f>
        <v/>
      </c>
      <c r="AZ6" s="29">
        <f>Waterfall!AZ61</f>
        <v/>
      </c>
      <c r="BA6" s="29">
        <f>Waterfall!BA61</f>
        <v/>
      </c>
      <c r="BB6" s="29">
        <f>Waterfall!BB61</f>
        <v/>
      </c>
      <c r="BC6" s="29">
        <f>Waterfall!BC61</f>
        <v/>
      </c>
      <c r="BD6" s="29">
        <f>Waterfall!BD61</f>
        <v/>
      </c>
      <c r="BE6" s="29">
        <f>Waterfall!BE61</f>
        <v/>
      </c>
      <c r="BF6" s="29">
        <f>Waterfall!BF61</f>
        <v/>
      </c>
      <c r="BG6" s="29">
        <f>Waterfall!BG61</f>
        <v/>
      </c>
      <c r="BH6" s="29">
        <f>Waterfall!BH61</f>
        <v/>
      </c>
      <c r="BI6" s="29">
        <f>Waterfall!BI61</f>
        <v/>
      </c>
      <c r="BJ6" s="29">
        <f>Waterfall!BJ61</f>
        <v/>
      </c>
      <c r="BK6" s="29">
        <f>Waterfall!BK61</f>
        <v/>
      </c>
      <c r="BL6" s="29">
        <f>Waterfall!BL61</f>
        <v/>
      </c>
      <c r="BM6" s="29">
        <f>Waterfall!BM61</f>
        <v/>
      </c>
      <c r="BN6" s="29">
        <f>Waterfall!BN61</f>
        <v/>
      </c>
      <c r="BO6" s="29">
        <f>Waterfall!BO61</f>
        <v/>
      </c>
      <c r="BP6" s="29">
        <f>Waterfall!BP61</f>
        <v/>
      </c>
      <c r="BQ6" s="29">
        <f>Waterfall!BQ61</f>
        <v/>
      </c>
      <c r="BR6" s="29">
        <f>Waterfall!BR61</f>
        <v/>
      </c>
      <c r="BS6" s="29">
        <f>Waterfall!BS61</f>
        <v/>
      </c>
      <c r="BT6" s="29">
        <f>Waterfall!BT61</f>
        <v/>
      </c>
      <c r="BU6" s="29">
        <f>Waterfall!BU61</f>
        <v/>
      </c>
      <c r="BV6" s="29">
        <f>Waterfall!BV61</f>
        <v/>
      </c>
      <c r="BW6" s="29">
        <f>Waterfall!BW61</f>
        <v/>
      </c>
      <c r="BX6" s="29">
        <f>Waterfall!BX61</f>
        <v/>
      </c>
      <c r="BY6" s="29">
        <f>Waterfall!BY61</f>
        <v/>
      </c>
      <c r="BZ6" s="29">
        <f>Waterfall!BZ61</f>
        <v/>
      </c>
      <c r="CA6" s="29">
        <f>Waterfall!CA61</f>
        <v/>
      </c>
      <c r="CB6" s="29">
        <f>Waterfall!CB61</f>
        <v/>
      </c>
      <c r="CC6" s="29">
        <f>Waterfall!CC61</f>
        <v/>
      </c>
      <c r="CD6" s="29">
        <f>Waterfall!CD61</f>
        <v/>
      </c>
      <c r="CE6" s="29">
        <f>Waterfall!CE61</f>
        <v/>
      </c>
      <c r="CF6" s="29">
        <f>Waterfall!CF61</f>
        <v/>
      </c>
      <c r="CG6" s="29">
        <f>Waterfall!CG61</f>
        <v/>
      </c>
      <c r="CH6" s="29">
        <f>Waterfall!CH61</f>
        <v/>
      </c>
      <c r="CI6" s="29">
        <f>Waterfall!CI61</f>
        <v/>
      </c>
      <c r="CJ6" s="29">
        <f>Waterfall!CJ61</f>
        <v/>
      </c>
      <c r="CK6" s="29">
        <f>Waterfall!CK61</f>
        <v/>
      </c>
      <c r="CL6" s="29">
        <f>Waterfall!CL61</f>
        <v/>
      </c>
      <c r="CM6" s="29">
        <f>Waterfall!CM61</f>
        <v/>
      </c>
      <c r="CN6" s="29">
        <f>Waterfall!CN61</f>
        <v/>
      </c>
      <c r="CO6" s="29">
        <f>Waterfall!CO61</f>
        <v/>
      </c>
      <c r="CP6" s="29">
        <f>Waterfall!CP61</f>
        <v/>
      </c>
      <c r="CQ6" s="29">
        <f>Waterfall!CQ61</f>
        <v/>
      </c>
      <c r="CR6" s="29">
        <f>Waterfall!CR61</f>
        <v/>
      </c>
      <c r="CS6" s="29">
        <f>Waterfall!CS61</f>
        <v/>
      </c>
      <c r="CT6" s="29">
        <f>Waterfall!CT61</f>
        <v/>
      </c>
      <c r="CU6" s="29">
        <f>Waterfall!CU61</f>
        <v/>
      </c>
      <c r="CV6" s="29">
        <f>Waterfall!CV61</f>
        <v/>
      </c>
      <c r="CW6" s="29">
        <f>Waterfall!CW61</f>
        <v/>
      </c>
      <c r="CX6" s="29">
        <f>Waterfall!CX61</f>
        <v/>
      </c>
      <c r="CY6" s="29">
        <f>Waterfall!CY61</f>
        <v/>
      </c>
      <c r="CZ6" s="29">
        <f>Waterfall!CZ61</f>
        <v/>
      </c>
      <c r="DA6" s="29">
        <f>Waterfall!DA61</f>
        <v/>
      </c>
      <c r="DB6" s="29">
        <f>Waterfall!DB61</f>
        <v/>
      </c>
    </row>
    <row r="7">
      <c r="D7" t="inlineStr">
        <is>
          <t>Equity IRR (XIRR on period-end dates)</t>
        </is>
      </c>
      <c r="E7" t="inlineStr">
        <is>
          <t>%</t>
        </is>
      </c>
      <c r="F7" s="26">
        <f>IFERROR(XIRR($J$6:$DB$6,Time!$J$8:$DB$8),"n/a")</f>
        <v/>
      </c>
    </row>
    <row r="8">
      <c r="D8" t="inlineStr">
        <is>
          <t>Equity NPV at 11.4% at financial close</t>
        </is>
      </c>
      <c r="E8" t="inlineStr">
        <is>
          <t>ARD m</t>
        </is>
      </c>
      <c r="F8" s="19">
        <f>SUMPRODUCT($J$6:$DB$6/(1+Inputs!$F$91)^((Time!$J$8:$DB$8-Inputs!$F$14)/Inputs!$F$46))</f>
        <v/>
      </c>
    </row>
    <row r="9">
      <c r="D9" t="inlineStr">
        <is>
          <t>Equity invested (incl. sponsor support)</t>
        </is>
      </c>
      <c r="E9" t="inlineStr">
        <is>
          <t>ARD m</t>
        </is>
      </c>
      <c r="F9" s="19">
        <f>SUM(Funding!$J$27:$DB$27)+SUM(Waterfall!$J$9:$DB$9)</f>
        <v/>
      </c>
    </row>
    <row r="10">
      <c r="D10" s="3" t="inlineStr">
        <is>
          <t>Project cash flow (post-tax, before financing)</t>
        </is>
      </c>
    </row>
    <row r="11">
      <c r="D11" t="inlineStr">
        <is>
          <t>Project cash flow</t>
        </is>
      </c>
      <c r="E11" t="inlineStr">
        <is>
          <t>ARD m</t>
        </is>
      </c>
      <c r="G11" s="19">
        <f>SUM(J11:DB11)</f>
        <v/>
      </c>
      <c r="J11" s="19">
        <f>-Construction!J13+Funding!J39+Waterfall!J7*(1-Time!J20)-Operations!J46</f>
        <v/>
      </c>
      <c r="K11" s="19">
        <f>-Construction!K13+Funding!K39+Waterfall!K7*(1-Time!K20)-Operations!K46</f>
        <v/>
      </c>
      <c r="L11" s="19">
        <f>-Construction!L13+Funding!L39+Waterfall!L7*(1-Time!L20)-Operations!L46</f>
        <v/>
      </c>
      <c r="M11" s="19">
        <f>-Construction!M13+Funding!M39+Waterfall!M7*(1-Time!M20)-Operations!M46</f>
        <v/>
      </c>
      <c r="N11" s="19">
        <f>-Construction!N13+Funding!N39+Waterfall!N7*(1-Time!N20)-Operations!N46</f>
        <v/>
      </c>
      <c r="O11" s="19">
        <f>-Construction!O13+Funding!O39+Waterfall!O7*(1-Time!O20)-Operations!O46</f>
        <v/>
      </c>
      <c r="P11" s="19">
        <f>-Construction!P13+Funding!P39+Waterfall!P7*(1-Time!P20)-Operations!P46</f>
        <v/>
      </c>
      <c r="Q11" s="19">
        <f>-Construction!Q13+Funding!Q39+Waterfall!Q7*(1-Time!Q20)-Operations!Q46</f>
        <v/>
      </c>
      <c r="R11" s="19">
        <f>-Construction!R13+Funding!R39+Waterfall!R7*(1-Time!R20)-Operations!R46</f>
        <v/>
      </c>
      <c r="S11" s="19">
        <f>-Construction!S13+Funding!S39+Waterfall!S7*(1-Time!S20)-Operations!S46</f>
        <v/>
      </c>
      <c r="T11" s="19">
        <f>-Construction!T13+Funding!T39+Waterfall!T7*(1-Time!T20)-Operations!T46</f>
        <v/>
      </c>
      <c r="U11" s="19">
        <f>-Construction!U13+Funding!U39+Waterfall!U7*(1-Time!U20)-Operations!U46</f>
        <v/>
      </c>
      <c r="V11" s="19">
        <f>-Construction!V13+Funding!V39+Waterfall!V7*(1-Time!V20)-Operations!V46</f>
        <v/>
      </c>
      <c r="W11" s="19">
        <f>-Construction!W13+Funding!W39+Waterfall!W7*(1-Time!W20)-Operations!W46</f>
        <v/>
      </c>
      <c r="X11" s="19">
        <f>-Construction!X13+Funding!X39+Waterfall!X7*(1-Time!X20)-Operations!X46</f>
        <v/>
      </c>
      <c r="Y11" s="19">
        <f>-Construction!Y13+Funding!Y39+Waterfall!Y7*(1-Time!Y20)-Operations!Y46</f>
        <v/>
      </c>
      <c r="Z11" s="19">
        <f>-Construction!Z13+Funding!Z39+Waterfall!Z7*(1-Time!Z20)-Operations!Z46</f>
        <v/>
      </c>
      <c r="AA11" s="19">
        <f>-Construction!AA13+Funding!AA39+Waterfall!AA7*(1-Time!AA20)-Operations!AA46</f>
        <v/>
      </c>
      <c r="AB11" s="19">
        <f>-Construction!AB13+Funding!AB39+Waterfall!AB7*(1-Time!AB20)-Operations!AB46</f>
        <v/>
      </c>
      <c r="AC11" s="19">
        <f>-Construction!AC13+Funding!AC39+Waterfall!AC7*(1-Time!AC20)-Operations!AC46</f>
        <v/>
      </c>
      <c r="AD11" s="19">
        <f>-Construction!AD13+Funding!AD39+Waterfall!AD7*(1-Time!AD20)-Operations!AD46</f>
        <v/>
      </c>
      <c r="AE11" s="19">
        <f>-Construction!AE13+Funding!AE39+Waterfall!AE7*(1-Time!AE20)-Operations!AE46</f>
        <v/>
      </c>
      <c r="AF11" s="19">
        <f>-Construction!AF13+Funding!AF39+Waterfall!AF7*(1-Time!AF20)-Operations!AF46</f>
        <v/>
      </c>
      <c r="AG11" s="19">
        <f>-Construction!AG13+Funding!AG39+Waterfall!AG7*(1-Time!AG20)-Operations!AG46</f>
        <v/>
      </c>
      <c r="AH11" s="19">
        <f>-Construction!AH13+Funding!AH39+Waterfall!AH7*(1-Time!AH20)-Operations!AH46</f>
        <v/>
      </c>
      <c r="AI11" s="19">
        <f>-Construction!AI13+Funding!AI39+Waterfall!AI7*(1-Time!AI20)-Operations!AI46</f>
        <v/>
      </c>
      <c r="AJ11" s="19">
        <f>-Construction!AJ13+Funding!AJ39+Waterfall!AJ7*(1-Time!AJ20)-Operations!AJ46</f>
        <v/>
      </c>
      <c r="AK11" s="19">
        <f>-Construction!AK13+Funding!AK39+Waterfall!AK7*(1-Time!AK20)-Operations!AK46</f>
        <v/>
      </c>
      <c r="AL11" s="19">
        <f>-Construction!AL13+Funding!AL39+Waterfall!AL7*(1-Time!AL20)-Operations!AL46</f>
        <v/>
      </c>
      <c r="AM11" s="19">
        <f>-Construction!AM13+Funding!AM39+Waterfall!AM7*(1-Time!AM20)-Operations!AM46</f>
        <v/>
      </c>
      <c r="AN11" s="19">
        <f>-Construction!AN13+Funding!AN39+Waterfall!AN7*(1-Time!AN20)-Operations!AN46</f>
        <v/>
      </c>
      <c r="AO11" s="19">
        <f>-Construction!AO13+Funding!AO39+Waterfall!AO7*(1-Time!AO20)-Operations!AO46</f>
        <v/>
      </c>
      <c r="AP11" s="19">
        <f>-Construction!AP13+Funding!AP39+Waterfall!AP7*(1-Time!AP20)-Operations!AP46</f>
        <v/>
      </c>
      <c r="AQ11" s="19">
        <f>-Construction!AQ13+Funding!AQ39+Waterfall!AQ7*(1-Time!AQ20)-Operations!AQ46</f>
        <v/>
      </c>
      <c r="AR11" s="19">
        <f>-Construction!AR13+Funding!AR39+Waterfall!AR7*(1-Time!AR20)-Operations!AR46</f>
        <v/>
      </c>
      <c r="AS11" s="19">
        <f>-Construction!AS13+Funding!AS39+Waterfall!AS7*(1-Time!AS20)-Operations!AS46</f>
        <v/>
      </c>
      <c r="AT11" s="19">
        <f>-Construction!AT13+Funding!AT39+Waterfall!AT7*(1-Time!AT20)-Operations!AT46</f>
        <v/>
      </c>
      <c r="AU11" s="19">
        <f>-Construction!AU13+Funding!AU39+Waterfall!AU7*(1-Time!AU20)-Operations!AU46</f>
        <v/>
      </c>
      <c r="AV11" s="19">
        <f>-Construction!AV13+Funding!AV39+Waterfall!AV7*(1-Time!AV20)-Operations!AV46</f>
        <v/>
      </c>
      <c r="AW11" s="19">
        <f>-Construction!AW13+Funding!AW39+Waterfall!AW7*(1-Time!AW20)-Operations!AW46</f>
        <v/>
      </c>
      <c r="AX11" s="19">
        <f>-Construction!AX13+Funding!AX39+Waterfall!AX7*(1-Time!AX20)-Operations!AX46</f>
        <v/>
      </c>
      <c r="AY11" s="19">
        <f>-Construction!AY13+Funding!AY39+Waterfall!AY7*(1-Time!AY20)-Operations!AY46</f>
        <v/>
      </c>
      <c r="AZ11" s="19">
        <f>-Construction!AZ13+Funding!AZ39+Waterfall!AZ7*(1-Time!AZ20)-Operations!AZ46</f>
        <v/>
      </c>
      <c r="BA11" s="19">
        <f>-Construction!BA13+Funding!BA39+Waterfall!BA7*(1-Time!BA20)-Operations!BA46</f>
        <v/>
      </c>
      <c r="BB11" s="19">
        <f>-Construction!BB13+Funding!BB39+Waterfall!BB7*(1-Time!BB20)-Operations!BB46</f>
        <v/>
      </c>
      <c r="BC11" s="19">
        <f>-Construction!BC13+Funding!BC39+Waterfall!BC7*(1-Time!BC20)-Operations!BC46</f>
        <v/>
      </c>
      <c r="BD11" s="19">
        <f>-Construction!BD13+Funding!BD39+Waterfall!BD7*(1-Time!BD20)-Operations!BD46</f>
        <v/>
      </c>
      <c r="BE11" s="19">
        <f>-Construction!BE13+Funding!BE39+Waterfall!BE7*(1-Time!BE20)-Operations!BE46</f>
        <v/>
      </c>
      <c r="BF11" s="19">
        <f>-Construction!BF13+Funding!BF39+Waterfall!BF7*(1-Time!BF20)-Operations!BF46</f>
        <v/>
      </c>
      <c r="BG11" s="19">
        <f>-Construction!BG13+Funding!BG39+Waterfall!BG7*(1-Time!BG20)-Operations!BG46</f>
        <v/>
      </c>
      <c r="BH11" s="19">
        <f>-Construction!BH13+Funding!BH39+Waterfall!BH7*(1-Time!BH20)-Operations!BH46</f>
        <v/>
      </c>
      <c r="BI11" s="19">
        <f>-Construction!BI13+Funding!BI39+Waterfall!BI7*(1-Time!BI20)-Operations!BI46</f>
        <v/>
      </c>
      <c r="BJ11" s="19">
        <f>-Construction!BJ13+Funding!BJ39+Waterfall!BJ7*(1-Time!BJ20)-Operations!BJ46</f>
        <v/>
      </c>
      <c r="BK11" s="19">
        <f>-Construction!BK13+Funding!BK39+Waterfall!BK7*(1-Time!BK20)-Operations!BK46</f>
        <v/>
      </c>
      <c r="BL11" s="19">
        <f>-Construction!BL13+Funding!BL39+Waterfall!BL7*(1-Time!BL20)-Operations!BL46</f>
        <v/>
      </c>
      <c r="BM11" s="19">
        <f>-Construction!BM13+Funding!BM39+Waterfall!BM7*(1-Time!BM20)-Operations!BM46</f>
        <v/>
      </c>
      <c r="BN11" s="19">
        <f>-Construction!BN13+Funding!BN39+Waterfall!BN7*(1-Time!BN20)-Operations!BN46</f>
        <v/>
      </c>
      <c r="BO11" s="19">
        <f>-Construction!BO13+Funding!BO39+Waterfall!BO7*(1-Time!BO20)-Operations!BO46</f>
        <v/>
      </c>
      <c r="BP11" s="19">
        <f>-Construction!BP13+Funding!BP39+Waterfall!BP7*(1-Time!BP20)-Operations!BP46</f>
        <v/>
      </c>
      <c r="BQ11" s="19">
        <f>-Construction!BQ13+Funding!BQ39+Waterfall!BQ7*(1-Time!BQ20)-Operations!BQ46</f>
        <v/>
      </c>
      <c r="BR11" s="19">
        <f>-Construction!BR13+Funding!BR39+Waterfall!BR7*(1-Time!BR20)-Operations!BR46</f>
        <v/>
      </c>
      <c r="BS11" s="19">
        <f>-Construction!BS13+Funding!BS39+Waterfall!BS7*(1-Time!BS20)-Operations!BS46</f>
        <v/>
      </c>
      <c r="BT11" s="19">
        <f>-Construction!BT13+Funding!BT39+Waterfall!BT7*(1-Time!BT20)-Operations!BT46</f>
        <v/>
      </c>
      <c r="BU11" s="19">
        <f>-Construction!BU13+Funding!BU39+Waterfall!BU7*(1-Time!BU20)-Operations!BU46</f>
        <v/>
      </c>
      <c r="BV11" s="19">
        <f>-Construction!BV13+Funding!BV39+Waterfall!BV7*(1-Time!BV20)-Operations!BV46</f>
        <v/>
      </c>
      <c r="BW11" s="19">
        <f>-Construction!BW13+Funding!BW39+Waterfall!BW7*(1-Time!BW20)-Operations!BW46</f>
        <v/>
      </c>
      <c r="BX11" s="19">
        <f>-Construction!BX13+Funding!BX39+Waterfall!BX7*(1-Time!BX20)-Operations!BX46</f>
        <v/>
      </c>
      <c r="BY11" s="19">
        <f>-Construction!BY13+Funding!BY39+Waterfall!BY7*(1-Time!BY20)-Operations!BY46</f>
        <v/>
      </c>
      <c r="BZ11" s="19">
        <f>-Construction!BZ13+Funding!BZ39+Waterfall!BZ7*(1-Time!BZ20)-Operations!BZ46</f>
        <v/>
      </c>
      <c r="CA11" s="19">
        <f>-Construction!CA13+Funding!CA39+Waterfall!CA7*(1-Time!CA20)-Operations!CA46</f>
        <v/>
      </c>
      <c r="CB11" s="19">
        <f>-Construction!CB13+Funding!CB39+Waterfall!CB7*(1-Time!CB20)-Operations!CB46</f>
        <v/>
      </c>
      <c r="CC11" s="19">
        <f>-Construction!CC13+Funding!CC39+Waterfall!CC7*(1-Time!CC20)-Operations!CC46</f>
        <v/>
      </c>
      <c r="CD11" s="19">
        <f>-Construction!CD13+Funding!CD39+Waterfall!CD7*(1-Time!CD20)-Operations!CD46</f>
        <v/>
      </c>
      <c r="CE11" s="19">
        <f>-Construction!CE13+Funding!CE39+Waterfall!CE7*(1-Time!CE20)-Operations!CE46</f>
        <v/>
      </c>
      <c r="CF11" s="19">
        <f>-Construction!CF13+Funding!CF39+Waterfall!CF7*(1-Time!CF20)-Operations!CF46</f>
        <v/>
      </c>
      <c r="CG11" s="19">
        <f>-Construction!CG13+Funding!CG39+Waterfall!CG7*(1-Time!CG20)-Operations!CG46</f>
        <v/>
      </c>
      <c r="CH11" s="19">
        <f>-Construction!CH13+Funding!CH39+Waterfall!CH7*(1-Time!CH20)-Operations!CH46</f>
        <v/>
      </c>
      <c r="CI11" s="19">
        <f>-Construction!CI13+Funding!CI39+Waterfall!CI7*(1-Time!CI20)-Operations!CI46</f>
        <v/>
      </c>
      <c r="CJ11" s="19">
        <f>-Construction!CJ13+Funding!CJ39+Waterfall!CJ7*(1-Time!CJ20)-Operations!CJ46</f>
        <v/>
      </c>
      <c r="CK11" s="19">
        <f>-Construction!CK13+Funding!CK39+Waterfall!CK7*(1-Time!CK20)-Operations!CK46</f>
        <v/>
      </c>
      <c r="CL11" s="19">
        <f>-Construction!CL13+Funding!CL39+Waterfall!CL7*(1-Time!CL20)-Operations!CL46</f>
        <v/>
      </c>
      <c r="CM11" s="19">
        <f>-Construction!CM13+Funding!CM39+Waterfall!CM7*(1-Time!CM20)-Operations!CM46</f>
        <v/>
      </c>
      <c r="CN11" s="19">
        <f>-Construction!CN13+Funding!CN39+Waterfall!CN7*(1-Time!CN20)-Operations!CN46</f>
        <v/>
      </c>
      <c r="CO11" s="19">
        <f>-Construction!CO13+Funding!CO39+Waterfall!CO7*(1-Time!CO20)-Operations!CO46</f>
        <v/>
      </c>
      <c r="CP11" s="19">
        <f>-Construction!CP13+Funding!CP39+Waterfall!CP7*(1-Time!CP20)-Operations!CP46</f>
        <v/>
      </c>
      <c r="CQ11" s="19">
        <f>-Construction!CQ13+Funding!CQ39+Waterfall!CQ7*(1-Time!CQ20)-Operations!CQ46</f>
        <v/>
      </c>
      <c r="CR11" s="19">
        <f>-Construction!CR13+Funding!CR39+Waterfall!CR7*(1-Time!CR20)-Operations!CR46</f>
        <v/>
      </c>
      <c r="CS11" s="19">
        <f>-Construction!CS13+Funding!CS39+Waterfall!CS7*(1-Time!CS20)-Operations!CS46</f>
        <v/>
      </c>
      <c r="CT11" s="19">
        <f>-Construction!CT13+Funding!CT39+Waterfall!CT7*(1-Time!CT20)-Operations!CT46</f>
        <v/>
      </c>
      <c r="CU11" s="19">
        <f>-Construction!CU13+Funding!CU39+Waterfall!CU7*(1-Time!CU20)-Operations!CU46</f>
        <v/>
      </c>
      <c r="CV11" s="19">
        <f>-Construction!CV13+Funding!CV39+Waterfall!CV7*(1-Time!CV20)-Operations!CV46</f>
        <v/>
      </c>
      <c r="CW11" s="19">
        <f>-Construction!CW13+Funding!CW39+Waterfall!CW7*(1-Time!CW20)-Operations!CW46</f>
        <v/>
      </c>
      <c r="CX11" s="19">
        <f>-Construction!CX13+Funding!CX39+Waterfall!CX7*(1-Time!CX20)-Operations!CX46</f>
        <v/>
      </c>
      <c r="CY11" s="19">
        <f>-Construction!CY13+Funding!CY39+Waterfall!CY7*(1-Time!CY20)-Operations!CY46</f>
        <v/>
      </c>
      <c r="CZ11" s="19">
        <f>-Construction!CZ13+Funding!CZ39+Waterfall!CZ7*(1-Time!CZ20)-Operations!CZ46</f>
        <v/>
      </c>
      <c r="DA11" s="19">
        <f>-Construction!DA13+Funding!DA39+Waterfall!DA7*(1-Time!DA20)-Operations!DA46</f>
        <v/>
      </c>
      <c r="DB11" s="19">
        <f>-Construction!DB13+Funding!DB39+Waterfall!DB7*(1-Time!DB20)-Operations!DB46</f>
        <v/>
      </c>
    </row>
    <row r="12">
      <c r="D12" t="inlineStr">
        <is>
          <t>Project IRR, post-tax</t>
        </is>
      </c>
      <c r="E12" t="inlineStr">
        <is>
          <t>%</t>
        </is>
      </c>
      <c r="F12" s="26">
        <f>IFERROR(XIRR($J$11:$DB$11,Time!$J$8:$DB$8),"n/a")</f>
        <v/>
      </c>
    </row>
    <row r="13">
      <c r="D13" t="inlineStr">
        <is>
          <t>Project cash flow before tax</t>
        </is>
      </c>
      <c r="E13" t="inlineStr">
        <is>
          <t>ARD m</t>
        </is>
      </c>
      <c r="G13" s="19">
        <f>SUM(J13:DB13)</f>
        <v/>
      </c>
      <c r="J13" s="19">
        <f>J11+Tax!J23</f>
        <v/>
      </c>
      <c r="K13" s="19">
        <f>K11+Tax!K23</f>
        <v/>
      </c>
      <c r="L13" s="19">
        <f>L11+Tax!L23</f>
        <v/>
      </c>
      <c r="M13" s="19">
        <f>M11+Tax!M23</f>
        <v/>
      </c>
      <c r="N13" s="19">
        <f>N11+Tax!N23</f>
        <v/>
      </c>
      <c r="O13" s="19">
        <f>O11+Tax!O23</f>
        <v/>
      </c>
      <c r="P13" s="19">
        <f>P11+Tax!P23</f>
        <v/>
      </c>
      <c r="Q13" s="19">
        <f>Q11+Tax!Q23</f>
        <v/>
      </c>
      <c r="R13" s="19">
        <f>R11+Tax!R23</f>
        <v/>
      </c>
      <c r="S13" s="19">
        <f>S11+Tax!S23</f>
        <v/>
      </c>
      <c r="T13" s="19">
        <f>T11+Tax!T23</f>
        <v/>
      </c>
      <c r="U13" s="19">
        <f>U11+Tax!U23</f>
        <v/>
      </c>
      <c r="V13" s="19">
        <f>V11+Tax!V23</f>
        <v/>
      </c>
      <c r="W13" s="19">
        <f>W11+Tax!W23</f>
        <v/>
      </c>
      <c r="X13" s="19">
        <f>X11+Tax!X23</f>
        <v/>
      </c>
      <c r="Y13" s="19">
        <f>Y11+Tax!Y23</f>
        <v/>
      </c>
      <c r="Z13" s="19">
        <f>Z11+Tax!Z23</f>
        <v/>
      </c>
      <c r="AA13" s="19">
        <f>AA11+Tax!AA23</f>
        <v/>
      </c>
      <c r="AB13" s="19">
        <f>AB11+Tax!AB23</f>
        <v/>
      </c>
      <c r="AC13" s="19">
        <f>AC11+Tax!AC23</f>
        <v/>
      </c>
      <c r="AD13" s="19">
        <f>AD11+Tax!AD23</f>
        <v/>
      </c>
      <c r="AE13" s="19">
        <f>AE11+Tax!AE23</f>
        <v/>
      </c>
      <c r="AF13" s="19">
        <f>AF11+Tax!AF23</f>
        <v/>
      </c>
      <c r="AG13" s="19">
        <f>AG11+Tax!AG23</f>
        <v/>
      </c>
      <c r="AH13" s="19">
        <f>AH11+Tax!AH23</f>
        <v/>
      </c>
      <c r="AI13" s="19">
        <f>AI11+Tax!AI23</f>
        <v/>
      </c>
      <c r="AJ13" s="19">
        <f>AJ11+Tax!AJ23</f>
        <v/>
      </c>
      <c r="AK13" s="19">
        <f>AK11+Tax!AK23</f>
        <v/>
      </c>
      <c r="AL13" s="19">
        <f>AL11+Tax!AL23</f>
        <v/>
      </c>
      <c r="AM13" s="19">
        <f>AM11+Tax!AM23</f>
        <v/>
      </c>
      <c r="AN13" s="19">
        <f>AN11+Tax!AN23</f>
        <v/>
      </c>
      <c r="AO13" s="19">
        <f>AO11+Tax!AO23</f>
        <v/>
      </c>
      <c r="AP13" s="19">
        <f>AP11+Tax!AP23</f>
        <v/>
      </c>
      <c r="AQ13" s="19">
        <f>AQ11+Tax!AQ23</f>
        <v/>
      </c>
      <c r="AR13" s="19">
        <f>AR11+Tax!AR23</f>
        <v/>
      </c>
      <c r="AS13" s="19">
        <f>AS11+Tax!AS23</f>
        <v/>
      </c>
      <c r="AT13" s="19">
        <f>AT11+Tax!AT23</f>
        <v/>
      </c>
      <c r="AU13" s="19">
        <f>AU11+Tax!AU23</f>
        <v/>
      </c>
      <c r="AV13" s="19">
        <f>AV11+Tax!AV23</f>
        <v/>
      </c>
      <c r="AW13" s="19">
        <f>AW11+Tax!AW23</f>
        <v/>
      </c>
      <c r="AX13" s="19">
        <f>AX11+Tax!AX23</f>
        <v/>
      </c>
      <c r="AY13" s="19">
        <f>AY11+Tax!AY23</f>
        <v/>
      </c>
      <c r="AZ13" s="19">
        <f>AZ11+Tax!AZ23</f>
        <v/>
      </c>
      <c r="BA13" s="19">
        <f>BA11+Tax!BA23</f>
        <v/>
      </c>
      <c r="BB13" s="19">
        <f>BB11+Tax!BB23</f>
        <v/>
      </c>
      <c r="BC13" s="19">
        <f>BC11+Tax!BC23</f>
        <v/>
      </c>
      <c r="BD13" s="19">
        <f>BD11+Tax!BD23</f>
        <v/>
      </c>
      <c r="BE13" s="19">
        <f>BE11+Tax!BE23</f>
        <v/>
      </c>
      <c r="BF13" s="19">
        <f>BF11+Tax!BF23</f>
        <v/>
      </c>
      <c r="BG13" s="19">
        <f>BG11+Tax!BG23</f>
        <v/>
      </c>
      <c r="BH13" s="19">
        <f>BH11+Tax!BH23</f>
        <v/>
      </c>
      <c r="BI13" s="19">
        <f>BI11+Tax!BI23</f>
        <v/>
      </c>
      <c r="BJ13" s="19">
        <f>BJ11+Tax!BJ23</f>
        <v/>
      </c>
      <c r="BK13" s="19">
        <f>BK11+Tax!BK23</f>
        <v/>
      </c>
      <c r="BL13" s="19">
        <f>BL11+Tax!BL23</f>
        <v/>
      </c>
      <c r="BM13" s="19">
        <f>BM11+Tax!BM23</f>
        <v/>
      </c>
      <c r="BN13" s="19">
        <f>BN11+Tax!BN23</f>
        <v/>
      </c>
      <c r="BO13" s="19">
        <f>BO11+Tax!BO23</f>
        <v/>
      </c>
      <c r="BP13" s="19">
        <f>BP11+Tax!BP23</f>
        <v/>
      </c>
      <c r="BQ13" s="19">
        <f>BQ11+Tax!BQ23</f>
        <v/>
      </c>
      <c r="BR13" s="19">
        <f>BR11+Tax!BR23</f>
        <v/>
      </c>
      <c r="BS13" s="19">
        <f>BS11+Tax!BS23</f>
        <v/>
      </c>
      <c r="BT13" s="19">
        <f>BT11+Tax!BT23</f>
        <v/>
      </c>
      <c r="BU13" s="19">
        <f>BU11+Tax!BU23</f>
        <v/>
      </c>
      <c r="BV13" s="19">
        <f>BV11+Tax!BV23</f>
        <v/>
      </c>
      <c r="BW13" s="19">
        <f>BW11+Tax!BW23</f>
        <v/>
      </c>
      <c r="BX13" s="19">
        <f>BX11+Tax!BX23</f>
        <v/>
      </c>
      <c r="BY13" s="19">
        <f>BY11+Tax!BY23</f>
        <v/>
      </c>
      <c r="BZ13" s="19">
        <f>BZ11+Tax!BZ23</f>
        <v/>
      </c>
      <c r="CA13" s="19">
        <f>CA11+Tax!CA23</f>
        <v/>
      </c>
      <c r="CB13" s="19">
        <f>CB11+Tax!CB23</f>
        <v/>
      </c>
      <c r="CC13" s="19">
        <f>CC11+Tax!CC23</f>
        <v/>
      </c>
      <c r="CD13" s="19">
        <f>CD11+Tax!CD23</f>
        <v/>
      </c>
      <c r="CE13" s="19">
        <f>CE11+Tax!CE23</f>
        <v/>
      </c>
      <c r="CF13" s="19">
        <f>CF11+Tax!CF23</f>
        <v/>
      </c>
      <c r="CG13" s="19">
        <f>CG11+Tax!CG23</f>
        <v/>
      </c>
      <c r="CH13" s="19">
        <f>CH11+Tax!CH23</f>
        <v/>
      </c>
      <c r="CI13" s="19">
        <f>CI11+Tax!CI23</f>
        <v/>
      </c>
      <c r="CJ13" s="19">
        <f>CJ11+Tax!CJ23</f>
        <v/>
      </c>
      <c r="CK13" s="19">
        <f>CK11+Tax!CK23</f>
        <v/>
      </c>
      <c r="CL13" s="19">
        <f>CL11+Tax!CL23</f>
        <v/>
      </c>
      <c r="CM13" s="19">
        <f>CM11+Tax!CM23</f>
        <v/>
      </c>
      <c r="CN13" s="19">
        <f>CN11+Tax!CN23</f>
        <v/>
      </c>
      <c r="CO13" s="19">
        <f>CO11+Tax!CO23</f>
        <v/>
      </c>
      <c r="CP13" s="19">
        <f>CP11+Tax!CP23</f>
        <v/>
      </c>
      <c r="CQ13" s="19">
        <f>CQ11+Tax!CQ23</f>
        <v/>
      </c>
      <c r="CR13" s="19">
        <f>CR11+Tax!CR23</f>
        <v/>
      </c>
      <c r="CS13" s="19">
        <f>CS11+Tax!CS23</f>
        <v/>
      </c>
      <c r="CT13" s="19">
        <f>CT11+Tax!CT23</f>
        <v/>
      </c>
      <c r="CU13" s="19">
        <f>CU11+Tax!CU23</f>
        <v/>
      </c>
      <c r="CV13" s="19">
        <f>CV11+Tax!CV23</f>
        <v/>
      </c>
      <c r="CW13" s="19">
        <f>CW11+Tax!CW23</f>
        <v/>
      </c>
      <c r="CX13" s="19">
        <f>CX11+Tax!CX23</f>
        <v/>
      </c>
      <c r="CY13" s="19">
        <f>CY11+Tax!CY23</f>
        <v/>
      </c>
      <c r="CZ13" s="19">
        <f>CZ11+Tax!CZ23</f>
        <v/>
      </c>
      <c r="DA13" s="19">
        <f>DA11+Tax!DA23</f>
        <v/>
      </c>
      <c r="DB13" s="19">
        <f>DB11+Tax!DB23</f>
        <v/>
      </c>
    </row>
    <row r="14">
      <c r="D14" t="inlineStr">
        <is>
          <t>Project IRR, pre-tax</t>
        </is>
      </c>
      <c r="E14" t="inlineStr">
        <is>
          <t>%</t>
        </is>
      </c>
      <c r="F14" s="26">
        <f>IFERROR(XIRR($J$13:$DB$13,Time!$J$8:$DB$8),"n/a")</f>
        <v/>
      </c>
    </row>
    <row r="15">
      <c r="D15" s="3" t="inlineStr">
        <is>
          <t>Termination values at 2022-06-30</t>
        </is>
      </c>
    </row>
    <row r="16">
      <c r="D16" t="inlineStr">
        <is>
          <t>NPV at 11.4% of distributions after 2022-06-30 (authority-default equity compensation when run on the bid base)</t>
        </is>
      </c>
      <c r="E16" t="inlineStr">
        <is>
          <t>ARD m</t>
        </is>
      </c>
      <c r="F16" s="19">
        <f>SUMPRODUCT((Time!$J$8:$DB$8&gt;Inputs!$F$37)*Waterfall!$J$49:$DB$49/(1+Inputs!$F$91)^((Time!$J$8:$DB$8-Inputs!$F$37)/Inputs!$F$46))</f>
        <v/>
      </c>
    </row>
    <row r="17">
      <c r="D17" t="inlineStr">
        <is>
          <t>Pre-tax unlevered cash flow (retender valuation)</t>
        </is>
      </c>
      <c r="E17" t="inlineStr">
        <is>
          <t>ARD m</t>
        </is>
      </c>
      <c r="G17" s="19">
        <f>SUM(J17:DB17)</f>
        <v/>
      </c>
      <c r="J17" s="19">
        <f>Operations!J33-Operations!J45-Operations!J37-Reserves!J22+Operations!J31</f>
        <v/>
      </c>
      <c r="K17" s="19">
        <f>Operations!K33-Operations!K45-Operations!K37-Reserves!K22+Operations!K31</f>
        <v/>
      </c>
      <c r="L17" s="19">
        <f>Operations!L33-Operations!L45-Operations!L37-Reserves!L22+Operations!L31</f>
        <v/>
      </c>
      <c r="M17" s="19">
        <f>Operations!M33-Operations!M45-Operations!M37-Reserves!M22+Operations!M31</f>
        <v/>
      </c>
      <c r="N17" s="19">
        <f>Operations!N33-Operations!N45-Operations!N37-Reserves!N22+Operations!N31</f>
        <v/>
      </c>
      <c r="O17" s="19">
        <f>Operations!O33-Operations!O45-Operations!O37-Reserves!O22+Operations!O31</f>
        <v/>
      </c>
      <c r="P17" s="19">
        <f>Operations!P33-Operations!P45-Operations!P37-Reserves!P22+Operations!P31</f>
        <v/>
      </c>
      <c r="Q17" s="19">
        <f>Operations!Q33-Operations!Q45-Operations!Q37-Reserves!Q22+Operations!Q31</f>
        <v/>
      </c>
      <c r="R17" s="19">
        <f>Operations!R33-Operations!R45-Operations!R37-Reserves!R22+Operations!R31</f>
        <v/>
      </c>
      <c r="S17" s="19">
        <f>Operations!S33-Operations!S45-Operations!S37-Reserves!S22+Operations!S31</f>
        <v/>
      </c>
      <c r="T17" s="19">
        <f>Operations!T33-Operations!T45-Operations!T37-Reserves!T22+Operations!T31</f>
        <v/>
      </c>
      <c r="U17" s="19">
        <f>Operations!U33-Operations!U45-Operations!U37-Reserves!U22+Operations!U31</f>
        <v/>
      </c>
      <c r="V17" s="19">
        <f>Operations!V33-Operations!V45-Operations!V37-Reserves!V22+Operations!V31</f>
        <v/>
      </c>
      <c r="W17" s="19">
        <f>Operations!W33-Operations!W45-Operations!W37-Reserves!W22+Operations!W31</f>
        <v/>
      </c>
      <c r="X17" s="19">
        <f>Operations!X33-Operations!X45-Operations!X37-Reserves!X22+Operations!X31</f>
        <v/>
      </c>
      <c r="Y17" s="19">
        <f>Operations!Y33-Operations!Y45-Operations!Y37-Reserves!Y22+Operations!Y31</f>
        <v/>
      </c>
      <c r="Z17" s="19">
        <f>Operations!Z33-Operations!Z45-Operations!Z37-Reserves!Z22+Operations!Z31</f>
        <v/>
      </c>
      <c r="AA17" s="19">
        <f>Operations!AA33-Operations!AA45-Operations!AA37-Reserves!AA22+Operations!AA31</f>
        <v/>
      </c>
      <c r="AB17" s="19">
        <f>Operations!AB33-Operations!AB45-Operations!AB37-Reserves!AB22+Operations!AB31</f>
        <v/>
      </c>
      <c r="AC17" s="19">
        <f>Operations!AC33-Operations!AC45-Operations!AC37-Reserves!AC22+Operations!AC31</f>
        <v/>
      </c>
      <c r="AD17" s="19">
        <f>Operations!AD33-Operations!AD45-Operations!AD37-Reserves!AD22+Operations!AD31</f>
        <v/>
      </c>
      <c r="AE17" s="19">
        <f>Operations!AE33-Operations!AE45-Operations!AE37-Reserves!AE22+Operations!AE31</f>
        <v/>
      </c>
      <c r="AF17" s="19">
        <f>Operations!AF33-Operations!AF45-Operations!AF37-Reserves!AF22+Operations!AF31</f>
        <v/>
      </c>
      <c r="AG17" s="19">
        <f>Operations!AG33-Operations!AG45-Operations!AG37-Reserves!AG22+Operations!AG31</f>
        <v/>
      </c>
      <c r="AH17" s="19">
        <f>Operations!AH33-Operations!AH45-Operations!AH37-Reserves!AH22+Operations!AH31</f>
        <v/>
      </c>
      <c r="AI17" s="19">
        <f>Operations!AI33-Operations!AI45-Operations!AI37-Reserves!AI22+Operations!AI31</f>
        <v/>
      </c>
      <c r="AJ17" s="19">
        <f>Operations!AJ33-Operations!AJ45-Operations!AJ37-Reserves!AJ22+Operations!AJ31</f>
        <v/>
      </c>
      <c r="AK17" s="19">
        <f>Operations!AK33-Operations!AK45-Operations!AK37-Reserves!AK22+Operations!AK31</f>
        <v/>
      </c>
      <c r="AL17" s="19">
        <f>Operations!AL33-Operations!AL45-Operations!AL37-Reserves!AL22+Operations!AL31</f>
        <v/>
      </c>
      <c r="AM17" s="19">
        <f>Operations!AM33-Operations!AM45-Operations!AM37-Reserves!AM22+Operations!AM31</f>
        <v/>
      </c>
      <c r="AN17" s="19">
        <f>Operations!AN33-Operations!AN45-Operations!AN37-Reserves!AN22+Operations!AN31</f>
        <v/>
      </c>
      <c r="AO17" s="19">
        <f>Operations!AO33-Operations!AO45-Operations!AO37-Reserves!AO22+Operations!AO31</f>
        <v/>
      </c>
      <c r="AP17" s="19">
        <f>Operations!AP33-Operations!AP45-Operations!AP37-Reserves!AP22+Operations!AP31</f>
        <v/>
      </c>
      <c r="AQ17" s="19">
        <f>Operations!AQ33-Operations!AQ45-Operations!AQ37-Reserves!AQ22+Operations!AQ31</f>
        <v/>
      </c>
      <c r="AR17" s="19">
        <f>Operations!AR33-Operations!AR45-Operations!AR37-Reserves!AR22+Operations!AR31</f>
        <v/>
      </c>
      <c r="AS17" s="19">
        <f>Operations!AS33-Operations!AS45-Operations!AS37-Reserves!AS22+Operations!AS31</f>
        <v/>
      </c>
      <c r="AT17" s="19">
        <f>Operations!AT33-Operations!AT45-Operations!AT37-Reserves!AT22+Operations!AT31</f>
        <v/>
      </c>
      <c r="AU17" s="19">
        <f>Operations!AU33-Operations!AU45-Operations!AU37-Reserves!AU22+Operations!AU31</f>
        <v/>
      </c>
      <c r="AV17" s="19">
        <f>Operations!AV33-Operations!AV45-Operations!AV37-Reserves!AV22+Operations!AV31</f>
        <v/>
      </c>
      <c r="AW17" s="19">
        <f>Operations!AW33-Operations!AW45-Operations!AW37-Reserves!AW22+Operations!AW31</f>
        <v/>
      </c>
      <c r="AX17" s="19">
        <f>Operations!AX33-Operations!AX45-Operations!AX37-Reserves!AX22+Operations!AX31</f>
        <v/>
      </c>
      <c r="AY17" s="19">
        <f>Operations!AY33-Operations!AY45-Operations!AY37-Reserves!AY22+Operations!AY31</f>
        <v/>
      </c>
      <c r="AZ17" s="19">
        <f>Operations!AZ33-Operations!AZ45-Operations!AZ37-Reserves!AZ22+Operations!AZ31</f>
        <v/>
      </c>
      <c r="BA17" s="19">
        <f>Operations!BA33-Operations!BA45-Operations!BA37-Reserves!BA22+Operations!BA31</f>
        <v/>
      </c>
      <c r="BB17" s="19">
        <f>Operations!BB33-Operations!BB45-Operations!BB37-Reserves!BB22+Operations!BB31</f>
        <v/>
      </c>
      <c r="BC17" s="19">
        <f>Operations!BC33-Operations!BC45-Operations!BC37-Reserves!BC22+Operations!BC31</f>
        <v/>
      </c>
      <c r="BD17" s="19">
        <f>Operations!BD33-Operations!BD45-Operations!BD37-Reserves!BD22+Operations!BD31</f>
        <v/>
      </c>
      <c r="BE17" s="19">
        <f>Operations!BE33-Operations!BE45-Operations!BE37-Reserves!BE22+Operations!BE31</f>
        <v/>
      </c>
      <c r="BF17" s="19">
        <f>Operations!BF33-Operations!BF45-Operations!BF37-Reserves!BF22+Operations!BF31</f>
        <v/>
      </c>
      <c r="BG17" s="19">
        <f>Operations!BG33-Operations!BG45-Operations!BG37-Reserves!BG22+Operations!BG31</f>
        <v/>
      </c>
      <c r="BH17" s="19">
        <f>Operations!BH33-Operations!BH45-Operations!BH37-Reserves!BH22+Operations!BH31</f>
        <v/>
      </c>
      <c r="BI17" s="19">
        <f>Operations!BI33-Operations!BI45-Operations!BI37-Reserves!BI22+Operations!BI31</f>
        <v/>
      </c>
      <c r="BJ17" s="19">
        <f>Operations!BJ33-Operations!BJ45-Operations!BJ37-Reserves!BJ22+Operations!BJ31</f>
        <v/>
      </c>
      <c r="BK17" s="19">
        <f>Operations!BK33-Operations!BK45-Operations!BK37-Reserves!BK22+Operations!BK31</f>
        <v/>
      </c>
      <c r="BL17" s="19">
        <f>Operations!BL33-Operations!BL45-Operations!BL37-Reserves!BL22+Operations!BL31</f>
        <v/>
      </c>
      <c r="BM17" s="19">
        <f>Operations!BM33-Operations!BM45-Operations!BM37-Reserves!BM22+Operations!BM31</f>
        <v/>
      </c>
      <c r="BN17" s="19">
        <f>Operations!BN33-Operations!BN45-Operations!BN37-Reserves!BN22+Operations!BN31</f>
        <v/>
      </c>
      <c r="BO17" s="19">
        <f>Operations!BO33-Operations!BO45-Operations!BO37-Reserves!BO22+Operations!BO31</f>
        <v/>
      </c>
      <c r="BP17" s="19">
        <f>Operations!BP33-Operations!BP45-Operations!BP37-Reserves!BP22+Operations!BP31</f>
        <v/>
      </c>
      <c r="BQ17" s="19">
        <f>Operations!BQ33-Operations!BQ45-Operations!BQ37-Reserves!BQ22+Operations!BQ31</f>
        <v/>
      </c>
      <c r="BR17" s="19">
        <f>Operations!BR33-Operations!BR45-Operations!BR37-Reserves!BR22+Operations!BR31</f>
        <v/>
      </c>
      <c r="BS17" s="19">
        <f>Operations!BS33-Operations!BS45-Operations!BS37-Reserves!BS22+Operations!BS31</f>
        <v/>
      </c>
      <c r="BT17" s="19">
        <f>Operations!BT33-Operations!BT45-Operations!BT37-Reserves!BT22+Operations!BT31</f>
        <v/>
      </c>
      <c r="BU17" s="19">
        <f>Operations!BU33-Operations!BU45-Operations!BU37-Reserves!BU22+Operations!BU31</f>
        <v/>
      </c>
      <c r="BV17" s="19">
        <f>Operations!BV33-Operations!BV45-Operations!BV37-Reserves!BV22+Operations!BV31</f>
        <v/>
      </c>
      <c r="BW17" s="19">
        <f>Operations!BW33-Operations!BW45-Operations!BW37-Reserves!BW22+Operations!BW31</f>
        <v/>
      </c>
      <c r="BX17" s="19">
        <f>Operations!BX33-Operations!BX45-Operations!BX37-Reserves!BX22+Operations!BX31</f>
        <v/>
      </c>
      <c r="BY17" s="19">
        <f>Operations!BY33-Operations!BY45-Operations!BY37-Reserves!BY22+Operations!BY31</f>
        <v/>
      </c>
      <c r="BZ17" s="19">
        <f>Operations!BZ33-Operations!BZ45-Operations!BZ37-Reserves!BZ22+Operations!BZ31</f>
        <v/>
      </c>
      <c r="CA17" s="19">
        <f>Operations!CA33-Operations!CA45-Operations!CA37-Reserves!CA22+Operations!CA31</f>
        <v/>
      </c>
      <c r="CB17" s="19">
        <f>Operations!CB33-Operations!CB45-Operations!CB37-Reserves!CB22+Operations!CB31</f>
        <v/>
      </c>
      <c r="CC17" s="19">
        <f>Operations!CC33-Operations!CC45-Operations!CC37-Reserves!CC22+Operations!CC31</f>
        <v/>
      </c>
      <c r="CD17" s="19">
        <f>Operations!CD33-Operations!CD45-Operations!CD37-Reserves!CD22+Operations!CD31</f>
        <v/>
      </c>
      <c r="CE17" s="19">
        <f>Operations!CE33-Operations!CE45-Operations!CE37-Reserves!CE22+Operations!CE31</f>
        <v/>
      </c>
      <c r="CF17" s="19">
        <f>Operations!CF33-Operations!CF45-Operations!CF37-Reserves!CF22+Operations!CF31</f>
        <v/>
      </c>
      <c r="CG17" s="19">
        <f>Operations!CG33-Operations!CG45-Operations!CG37-Reserves!CG22+Operations!CG31</f>
        <v/>
      </c>
      <c r="CH17" s="19">
        <f>Operations!CH33-Operations!CH45-Operations!CH37-Reserves!CH22+Operations!CH31</f>
        <v/>
      </c>
      <c r="CI17" s="19">
        <f>Operations!CI33-Operations!CI45-Operations!CI37-Reserves!CI22+Operations!CI31</f>
        <v/>
      </c>
      <c r="CJ17" s="19">
        <f>Operations!CJ33-Operations!CJ45-Operations!CJ37-Reserves!CJ22+Operations!CJ31</f>
        <v/>
      </c>
      <c r="CK17" s="19">
        <f>Operations!CK33-Operations!CK45-Operations!CK37-Reserves!CK22+Operations!CK31</f>
        <v/>
      </c>
      <c r="CL17" s="19">
        <f>Operations!CL33-Operations!CL45-Operations!CL37-Reserves!CL22+Operations!CL31</f>
        <v/>
      </c>
      <c r="CM17" s="19">
        <f>Operations!CM33-Operations!CM45-Operations!CM37-Reserves!CM22+Operations!CM31</f>
        <v/>
      </c>
      <c r="CN17" s="19">
        <f>Operations!CN33-Operations!CN45-Operations!CN37-Reserves!CN22+Operations!CN31</f>
        <v/>
      </c>
      <c r="CO17" s="19">
        <f>Operations!CO33-Operations!CO45-Operations!CO37-Reserves!CO22+Operations!CO31</f>
        <v/>
      </c>
      <c r="CP17" s="19">
        <f>Operations!CP33-Operations!CP45-Operations!CP37-Reserves!CP22+Operations!CP31</f>
        <v/>
      </c>
      <c r="CQ17" s="19">
        <f>Operations!CQ33-Operations!CQ45-Operations!CQ37-Reserves!CQ22+Operations!CQ31</f>
        <v/>
      </c>
      <c r="CR17" s="19">
        <f>Operations!CR33-Operations!CR45-Operations!CR37-Reserves!CR22+Operations!CR31</f>
        <v/>
      </c>
      <c r="CS17" s="19">
        <f>Operations!CS33-Operations!CS45-Operations!CS37-Reserves!CS22+Operations!CS31</f>
        <v/>
      </c>
      <c r="CT17" s="19">
        <f>Operations!CT33-Operations!CT45-Operations!CT37-Reserves!CT22+Operations!CT31</f>
        <v/>
      </c>
      <c r="CU17" s="19">
        <f>Operations!CU33-Operations!CU45-Operations!CU37-Reserves!CU22+Operations!CU31</f>
        <v/>
      </c>
      <c r="CV17" s="19">
        <f>Operations!CV33-Operations!CV45-Operations!CV37-Reserves!CV22+Operations!CV31</f>
        <v/>
      </c>
      <c r="CW17" s="19">
        <f>Operations!CW33-Operations!CW45-Operations!CW37-Reserves!CW22+Operations!CW31</f>
        <v/>
      </c>
      <c r="CX17" s="19">
        <f>Operations!CX33-Operations!CX45-Operations!CX37-Reserves!CX22+Operations!CX31</f>
        <v/>
      </c>
      <c r="CY17" s="19">
        <f>Operations!CY33-Operations!CY45-Operations!CY37-Reserves!CY22+Operations!CY31</f>
        <v/>
      </c>
      <c r="CZ17" s="19">
        <f>Operations!CZ33-Operations!CZ45-Operations!CZ37-Reserves!CZ22+Operations!CZ31</f>
        <v/>
      </c>
      <c r="DA17" s="19">
        <f>Operations!DA33-Operations!DA45-Operations!DA37-Reserves!DA22+Operations!DA31</f>
        <v/>
      </c>
      <c r="DB17" s="19">
        <f>Operations!DB33-Operations!DB45-Operations!DB37-Reserves!DB22+Operations!DB31</f>
        <v/>
      </c>
    </row>
    <row r="18">
      <c r="D18" t="inlineStr">
        <is>
          <t>Estimated fair value at 2022-06-30 (run in Scenario 6)</t>
        </is>
      </c>
      <c r="E18" t="inlineStr">
        <is>
          <t>ARD m</t>
        </is>
      </c>
      <c r="F18" s="19">
        <f>SUMPRODUCT((Time!$J$8:$DB$8&gt;Inputs!$F$37)*$J$17:$DB$17/(1+Inputs!$F$181)^((Time!$J$8:$DB$8-Inputs!$F$37)/Inputs!$F$46))</f>
        <v/>
      </c>
    </row>
    <row r="19">
      <c r="D19" t="inlineStr">
        <is>
          <t>Concessionaire-default compensation (fair value less retendering costs)</t>
        </is>
      </c>
      <c r="E19" t="inlineStr">
        <is>
          <t>ARD m</t>
        </is>
      </c>
      <c r="F19" s="19">
        <f>$F$18-Inputs!$F$182</f>
        <v/>
      </c>
    </row>
    <row r="20">
      <c r="D20" t="inlineStr">
        <is>
          <t>Senior claims at 2022-06-30 (principal plus arrears)</t>
        </is>
      </c>
      <c r="E20" t="inlineStr">
        <is>
          <t>ARD m</t>
        </is>
      </c>
      <c r="F20" s="19">
        <f>SUMPRODUCT((Time!$J$8:$DB$8=Inputs!$F$37)*(Debt!$J$47:$DB$47+Debt!$J$54:$DB$54+Debt!$J$60:$DB$60+Debt!$J$61:$DB$61))</f>
        <v/>
      </c>
    </row>
    <row r="21">
      <c r="D21" t="inlineStr">
        <is>
          <t>NILO outstanding at 2022-06-30</t>
        </is>
      </c>
      <c r="E21" t="inlineStr">
        <is>
          <t>ARD m</t>
        </is>
      </c>
      <c r="F21" s="19">
        <f>SUMPRODUCT((Time!$J$8:$DB$8=Inputs!$F$37)*Debt!$J$102:$DB$102)</f>
        <v/>
      </c>
    </row>
    <row r="22">
      <c r="D22" t="inlineStr">
        <is>
          <t>Equity contributed less distributions to 2022-06-30</t>
        </is>
      </c>
      <c r="E22" t="inlineStr">
        <is>
          <t>ARD m</t>
        </is>
      </c>
      <c r="F22" s="19">
        <f>SUMPRODUCT((Time!$J$8:$DB$8&lt;=Inputs!$F$37)*(Funding!$J$27:$DB$27+Waterfall!$J$9:$DB$9-Waterfall!$J$49:$DB$49))</f>
        <v/>
      </c>
    </row>
    <row r="23">
      <c r="D23" t="inlineStr">
        <is>
          <t>Prolonged force majeure compensation</t>
        </is>
      </c>
      <c r="E23" t="inlineStr">
        <is>
          <t>ARD m</t>
        </is>
      </c>
      <c r="F23" s="19">
        <f>$F$20+$F$21+$F$22</f>
        <v/>
      </c>
    </row>
    <row r="24">
      <c r="D24" s="3" t="inlineStr">
        <is>
          <t>Restructuring valuation (run in Scenario 5)</t>
        </is>
      </c>
    </row>
    <row r="25">
      <c r="D25" t="inlineStr">
        <is>
          <t>New equity value at the plan rate (14.0%)</t>
        </is>
      </c>
      <c r="E25" t="inlineStr">
        <is>
          <t>ARD m</t>
        </is>
      </c>
      <c r="F25" s="19">
        <f>SUMPRODUCT((Time!$J$8:$DB$8&gt;Inputs!$F$21)*Waterfall!$J$49:$DB$49/(1+Inputs!$F$179)^((Time!$J$8:$DB$8-Inputs!$F$21)/Inputs!$F$46))</f>
        <v/>
      </c>
    </row>
    <row r="26">
      <c r="D26" t="inlineStr">
        <is>
          <t>Flag_NotesRepaid</t>
        </is>
      </c>
      <c r="E26" t="inlineStr">
        <is>
          <t>flag</t>
        </is>
      </c>
      <c r="J26" s="14">
        <f>IF(AND(Inputs!$F$216=1,Time!J8&gt;Inputs!$F$21,Debt!J93&lt;=Inputs!$F$9),1,0)</f>
        <v/>
      </c>
      <c r="K26" s="14">
        <f>IF(AND(Inputs!$F$216=1,Time!K8&gt;Inputs!$F$21,Debt!K93&lt;=Inputs!$F$9),1,0)</f>
        <v/>
      </c>
      <c r="L26" s="14">
        <f>IF(AND(Inputs!$F$216=1,Time!L8&gt;Inputs!$F$21,Debt!L93&lt;=Inputs!$F$9),1,0)</f>
        <v/>
      </c>
      <c r="M26" s="14">
        <f>IF(AND(Inputs!$F$216=1,Time!M8&gt;Inputs!$F$21,Debt!M93&lt;=Inputs!$F$9),1,0)</f>
        <v/>
      </c>
      <c r="N26" s="14">
        <f>IF(AND(Inputs!$F$216=1,Time!N8&gt;Inputs!$F$21,Debt!N93&lt;=Inputs!$F$9),1,0)</f>
        <v/>
      </c>
      <c r="O26" s="14">
        <f>IF(AND(Inputs!$F$216=1,Time!O8&gt;Inputs!$F$21,Debt!O93&lt;=Inputs!$F$9),1,0)</f>
        <v/>
      </c>
      <c r="P26" s="14">
        <f>IF(AND(Inputs!$F$216=1,Time!P8&gt;Inputs!$F$21,Debt!P93&lt;=Inputs!$F$9),1,0)</f>
        <v/>
      </c>
      <c r="Q26" s="14">
        <f>IF(AND(Inputs!$F$216=1,Time!Q8&gt;Inputs!$F$21,Debt!Q93&lt;=Inputs!$F$9),1,0)</f>
        <v/>
      </c>
      <c r="R26" s="14">
        <f>IF(AND(Inputs!$F$216=1,Time!R8&gt;Inputs!$F$21,Debt!R93&lt;=Inputs!$F$9),1,0)</f>
        <v/>
      </c>
      <c r="S26" s="14">
        <f>IF(AND(Inputs!$F$216=1,Time!S8&gt;Inputs!$F$21,Debt!S93&lt;=Inputs!$F$9),1,0)</f>
        <v/>
      </c>
      <c r="T26" s="14">
        <f>IF(AND(Inputs!$F$216=1,Time!T8&gt;Inputs!$F$21,Debt!T93&lt;=Inputs!$F$9),1,0)</f>
        <v/>
      </c>
      <c r="U26" s="14">
        <f>IF(AND(Inputs!$F$216=1,Time!U8&gt;Inputs!$F$21,Debt!U93&lt;=Inputs!$F$9),1,0)</f>
        <v/>
      </c>
      <c r="V26" s="14">
        <f>IF(AND(Inputs!$F$216=1,Time!V8&gt;Inputs!$F$21,Debt!V93&lt;=Inputs!$F$9),1,0)</f>
        <v/>
      </c>
      <c r="W26" s="14">
        <f>IF(AND(Inputs!$F$216=1,Time!W8&gt;Inputs!$F$21,Debt!W93&lt;=Inputs!$F$9),1,0)</f>
        <v/>
      </c>
      <c r="X26" s="14">
        <f>IF(AND(Inputs!$F$216=1,Time!X8&gt;Inputs!$F$21,Debt!X93&lt;=Inputs!$F$9),1,0)</f>
        <v/>
      </c>
      <c r="Y26" s="14">
        <f>IF(AND(Inputs!$F$216=1,Time!Y8&gt;Inputs!$F$21,Debt!Y93&lt;=Inputs!$F$9),1,0)</f>
        <v/>
      </c>
      <c r="Z26" s="14">
        <f>IF(AND(Inputs!$F$216=1,Time!Z8&gt;Inputs!$F$21,Debt!Z93&lt;=Inputs!$F$9),1,0)</f>
        <v/>
      </c>
      <c r="AA26" s="14">
        <f>IF(AND(Inputs!$F$216=1,Time!AA8&gt;Inputs!$F$21,Debt!AA93&lt;=Inputs!$F$9),1,0)</f>
        <v/>
      </c>
      <c r="AB26" s="14">
        <f>IF(AND(Inputs!$F$216=1,Time!AB8&gt;Inputs!$F$21,Debt!AB93&lt;=Inputs!$F$9),1,0)</f>
        <v/>
      </c>
      <c r="AC26" s="14">
        <f>IF(AND(Inputs!$F$216=1,Time!AC8&gt;Inputs!$F$21,Debt!AC93&lt;=Inputs!$F$9),1,0)</f>
        <v/>
      </c>
      <c r="AD26" s="14">
        <f>IF(AND(Inputs!$F$216=1,Time!AD8&gt;Inputs!$F$21,Debt!AD93&lt;=Inputs!$F$9),1,0)</f>
        <v/>
      </c>
      <c r="AE26" s="14">
        <f>IF(AND(Inputs!$F$216=1,Time!AE8&gt;Inputs!$F$21,Debt!AE93&lt;=Inputs!$F$9),1,0)</f>
        <v/>
      </c>
      <c r="AF26" s="14">
        <f>IF(AND(Inputs!$F$216=1,Time!AF8&gt;Inputs!$F$21,Debt!AF93&lt;=Inputs!$F$9),1,0)</f>
        <v/>
      </c>
      <c r="AG26" s="14">
        <f>IF(AND(Inputs!$F$216=1,Time!AG8&gt;Inputs!$F$21,Debt!AG93&lt;=Inputs!$F$9),1,0)</f>
        <v/>
      </c>
      <c r="AH26" s="14">
        <f>IF(AND(Inputs!$F$216=1,Time!AH8&gt;Inputs!$F$21,Debt!AH93&lt;=Inputs!$F$9),1,0)</f>
        <v/>
      </c>
      <c r="AI26" s="14">
        <f>IF(AND(Inputs!$F$216=1,Time!AI8&gt;Inputs!$F$21,Debt!AI93&lt;=Inputs!$F$9),1,0)</f>
        <v/>
      </c>
      <c r="AJ26" s="14">
        <f>IF(AND(Inputs!$F$216=1,Time!AJ8&gt;Inputs!$F$21,Debt!AJ93&lt;=Inputs!$F$9),1,0)</f>
        <v/>
      </c>
      <c r="AK26" s="14">
        <f>IF(AND(Inputs!$F$216=1,Time!AK8&gt;Inputs!$F$21,Debt!AK93&lt;=Inputs!$F$9),1,0)</f>
        <v/>
      </c>
      <c r="AL26" s="14">
        <f>IF(AND(Inputs!$F$216=1,Time!AL8&gt;Inputs!$F$21,Debt!AL93&lt;=Inputs!$F$9),1,0)</f>
        <v/>
      </c>
      <c r="AM26" s="14">
        <f>IF(AND(Inputs!$F$216=1,Time!AM8&gt;Inputs!$F$21,Debt!AM93&lt;=Inputs!$F$9),1,0)</f>
        <v/>
      </c>
      <c r="AN26" s="14">
        <f>IF(AND(Inputs!$F$216=1,Time!AN8&gt;Inputs!$F$21,Debt!AN93&lt;=Inputs!$F$9),1,0)</f>
        <v/>
      </c>
      <c r="AO26" s="14">
        <f>IF(AND(Inputs!$F$216=1,Time!AO8&gt;Inputs!$F$21,Debt!AO93&lt;=Inputs!$F$9),1,0)</f>
        <v/>
      </c>
      <c r="AP26" s="14">
        <f>IF(AND(Inputs!$F$216=1,Time!AP8&gt;Inputs!$F$21,Debt!AP93&lt;=Inputs!$F$9),1,0)</f>
        <v/>
      </c>
      <c r="AQ26" s="14">
        <f>IF(AND(Inputs!$F$216=1,Time!AQ8&gt;Inputs!$F$21,Debt!AQ93&lt;=Inputs!$F$9),1,0)</f>
        <v/>
      </c>
      <c r="AR26" s="14">
        <f>IF(AND(Inputs!$F$216=1,Time!AR8&gt;Inputs!$F$21,Debt!AR93&lt;=Inputs!$F$9),1,0)</f>
        <v/>
      </c>
      <c r="AS26" s="14">
        <f>IF(AND(Inputs!$F$216=1,Time!AS8&gt;Inputs!$F$21,Debt!AS93&lt;=Inputs!$F$9),1,0)</f>
        <v/>
      </c>
      <c r="AT26" s="14">
        <f>IF(AND(Inputs!$F$216=1,Time!AT8&gt;Inputs!$F$21,Debt!AT93&lt;=Inputs!$F$9),1,0)</f>
        <v/>
      </c>
      <c r="AU26" s="14">
        <f>IF(AND(Inputs!$F$216=1,Time!AU8&gt;Inputs!$F$21,Debt!AU93&lt;=Inputs!$F$9),1,0)</f>
        <v/>
      </c>
      <c r="AV26" s="14">
        <f>IF(AND(Inputs!$F$216=1,Time!AV8&gt;Inputs!$F$21,Debt!AV93&lt;=Inputs!$F$9),1,0)</f>
        <v/>
      </c>
      <c r="AW26" s="14">
        <f>IF(AND(Inputs!$F$216=1,Time!AW8&gt;Inputs!$F$21,Debt!AW93&lt;=Inputs!$F$9),1,0)</f>
        <v/>
      </c>
      <c r="AX26" s="14">
        <f>IF(AND(Inputs!$F$216=1,Time!AX8&gt;Inputs!$F$21,Debt!AX93&lt;=Inputs!$F$9),1,0)</f>
        <v/>
      </c>
      <c r="AY26" s="14">
        <f>IF(AND(Inputs!$F$216=1,Time!AY8&gt;Inputs!$F$21,Debt!AY93&lt;=Inputs!$F$9),1,0)</f>
        <v/>
      </c>
      <c r="AZ26" s="14">
        <f>IF(AND(Inputs!$F$216=1,Time!AZ8&gt;Inputs!$F$21,Debt!AZ93&lt;=Inputs!$F$9),1,0)</f>
        <v/>
      </c>
      <c r="BA26" s="14">
        <f>IF(AND(Inputs!$F$216=1,Time!BA8&gt;Inputs!$F$21,Debt!BA93&lt;=Inputs!$F$9),1,0)</f>
        <v/>
      </c>
      <c r="BB26" s="14">
        <f>IF(AND(Inputs!$F$216=1,Time!BB8&gt;Inputs!$F$21,Debt!BB93&lt;=Inputs!$F$9),1,0)</f>
        <v/>
      </c>
      <c r="BC26" s="14">
        <f>IF(AND(Inputs!$F$216=1,Time!BC8&gt;Inputs!$F$21,Debt!BC93&lt;=Inputs!$F$9),1,0)</f>
        <v/>
      </c>
      <c r="BD26" s="14">
        <f>IF(AND(Inputs!$F$216=1,Time!BD8&gt;Inputs!$F$21,Debt!BD93&lt;=Inputs!$F$9),1,0)</f>
        <v/>
      </c>
      <c r="BE26" s="14">
        <f>IF(AND(Inputs!$F$216=1,Time!BE8&gt;Inputs!$F$21,Debt!BE93&lt;=Inputs!$F$9),1,0)</f>
        <v/>
      </c>
      <c r="BF26" s="14">
        <f>IF(AND(Inputs!$F$216=1,Time!BF8&gt;Inputs!$F$21,Debt!BF93&lt;=Inputs!$F$9),1,0)</f>
        <v/>
      </c>
      <c r="BG26" s="14">
        <f>IF(AND(Inputs!$F$216=1,Time!BG8&gt;Inputs!$F$21,Debt!BG93&lt;=Inputs!$F$9),1,0)</f>
        <v/>
      </c>
      <c r="BH26" s="14">
        <f>IF(AND(Inputs!$F$216=1,Time!BH8&gt;Inputs!$F$21,Debt!BH93&lt;=Inputs!$F$9),1,0)</f>
        <v/>
      </c>
      <c r="BI26" s="14">
        <f>IF(AND(Inputs!$F$216=1,Time!BI8&gt;Inputs!$F$21,Debt!BI93&lt;=Inputs!$F$9),1,0)</f>
        <v/>
      </c>
      <c r="BJ26" s="14">
        <f>IF(AND(Inputs!$F$216=1,Time!BJ8&gt;Inputs!$F$21,Debt!BJ93&lt;=Inputs!$F$9),1,0)</f>
        <v/>
      </c>
      <c r="BK26" s="14">
        <f>IF(AND(Inputs!$F$216=1,Time!BK8&gt;Inputs!$F$21,Debt!BK93&lt;=Inputs!$F$9),1,0)</f>
        <v/>
      </c>
      <c r="BL26" s="14">
        <f>IF(AND(Inputs!$F$216=1,Time!BL8&gt;Inputs!$F$21,Debt!BL93&lt;=Inputs!$F$9),1,0)</f>
        <v/>
      </c>
      <c r="BM26" s="14">
        <f>IF(AND(Inputs!$F$216=1,Time!BM8&gt;Inputs!$F$21,Debt!BM93&lt;=Inputs!$F$9),1,0)</f>
        <v/>
      </c>
      <c r="BN26" s="14">
        <f>IF(AND(Inputs!$F$216=1,Time!BN8&gt;Inputs!$F$21,Debt!BN93&lt;=Inputs!$F$9),1,0)</f>
        <v/>
      </c>
      <c r="BO26" s="14">
        <f>IF(AND(Inputs!$F$216=1,Time!BO8&gt;Inputs!$F$21,Debt!BO93&lt;=Inputs!$F$9),1,0)</f>
        <v/>
      </c>
      <c r="BP26" s="14">
        <f>IF(AND(Inputs!$F$216=1,Time!BP8&gt;Inputs!$F$21,Debt!BP93&lt;=Inputs!$F$9),1,0)</f>
        <v/>
      </c>
      <c r="BQ26" s="14">
        <f>IF(AND(Inputs!$F$216=1,Time!BQ8&gt;Inputs!$F$21,Debt!BQ93&lt;=Inputs!$F$9),1,0)</f>
        <v/>
      </c>
      <c r="BR26" s="14">
        <f>IF(AND(Inputs!$F$216=1,Time!BR8&gt;Inputs!$F$21,Debt!BR93&lt;=Inputs!$F$9),1,0)</f>
        <v/>
      </c>
      <c r="BS26" s="14">
        <f>IF(AND(Inputs!$F$216=1,Time!BS8&gt;Inputs!$F$21,Debt!BS93&lt;=Inputs!$F$9),1,0)</f>
        <v/>
      </c>
      <c r="BT26" s="14">
        <f>IF(AND(Inputs!$F$216=1,Time!BT8&gt;Inputs!$F$21,Debt!BT93&lt;=Inputs!$F$9),1,0)</f>
        <v/>
      </c>
      <c r="BU26" s="14">
        <f>IF(AND(Inputs!$F$216=1,Time!BU8&gt;Inputs!$F$21,Debt!BU93&lt;=Inputs!$F$9),1,0)</f>
        <v/>
      </c>
      <c r="BV26" s="14">
        <f>IF(AND(Inputs!$F$216=1,Time!BV8&gt;Inputs!$F$21,Debt!BV93&lt;=Inputs!$F$9),1,0)</f>
        <v/>
      </c>
      <c r="BW26" s="14">
        <f>IF(AND(Inputs!$F$216=1,Time!BW8&gt;Inputs!$F$21,Debt!BW93&lt;=Inputs!$F$9),1,0)</f>
        <v/>
      </c>
      <c r="BX26" s="14">
        <f>IF(AND(Inputs!$F$216=1,Time!BX8&gt;Inputs!$F$21,Debt!BX93&lt;=Inputs!$F$9),1,0)</f>
        <v/>
      </c>
      <c r="BY26" s="14">
        <f>IF(AND(Inputs!$F$216=1,Time!BY8&gt;Inputs!$F$21,Debt!BY93&lt;=Inputs!$F$9),1,0)</f>
        <v/>
      </c>
      <c r="BZ26" s="14">
        <f>IF(AND(Inputs!$F$216=1,Time!BZ8&gt;Inputs!$F$21,Debt!BZ93&lt;=Inputs!$F$9),1,0)</f>
        <v/>
      </c>
      <c r="CA26" s="14">
        <f>IF(AND(Inputs!$F$216=1,Time!CA8&gt;Inputs!$F$21,Debt!CA93&lt;=Inputs!$F$9),1,0)</f>
        <v/>
      </c>
      <c r="CB26" s="14">
        <f>IF(AND(Inputs!$F$216=1,Time!CB8&gt;Inputs!$F$21,Debt!CB93&lt;=Inputs!$F$9),1,0)</f>
        <v/>
      </c>
      <c r="CC26" s="14">
        <f>IF(AND(Inputs!$F$216=1,Time!CC8&gt;Inputs!$F$21,Debt!CC93&lt;=Inputs!$F$9),1,0)</f>
        <v/>
      </c>
      <c r="CD26" s="14">
        <f>IF(AND(Inputs!$F$216=1,Time!CD8&gt;Inputs!$F$21,Debt!CD93&lt;=Inputs!$F$9),1,0)</f>
        <v/>
      </c>
      <c r="CE26" s="14">
        <f>IF(AND(Inputs!$F$216=1,Time!CE8&gt;Inputs!$F$21,Debt!CE93&lt;=Inputs!$F$9),1,0)</f>
        <v/>
      </c>
      <c r="CF26" s="14">
        <f>IF(AND(Inputs!$F$216=1,Time!CF8&gt;Inputs!$F$21,Debt!CF93&lt;=Inputs!$F$9),1,0)</f>
        <v/>
      </c>
      <c r="CG26" s="14">
        <f>IF(AND(Inputs!$F$216=1,Time!CG8&gt;Inputs!$F$21,Debt!CG93&lt;=Inputs!$F$9),1,0)</f>
        <v/>
      </c>
      <c r="CH26" s="14">
        <f>IF(AND(Inputs!$F$216=1,Time!CH8&gt;Inputs!$F$21,Debt!CH93&lt;=Inputs!$F$9),1,0)</f>
        <v/>
      </c>
      <c r="CI26" s="14">
        <f>IF(AND(Inputs!$F$216=1,Time!CI8&gt;Inputs!$F$21,Debt!CI93&lt;=Inputs!$F$9),1,0)</f>
        <v/>
      </c>
      <c r="CJ26" s="14">
        <f>IF(AND(Inputs!$F$216=1,Time!CJ8&gt;Inputs!$F$21,Debt!CJ93&lt;=Inputs!$F$9),1,0)</f>
        <v/>
      </c>
      <c r="CK26" s="14">
        <f>IF(AND(Inputs!$F$216=1,Time!CK8&gt;Inputs!$F$21,Debt!CK93&lt;=Inputs!$F$9),1,0)</f>
        <v/>
      </c>
      <c r="CL26" s="14">
        <f>IF(AND(Inputs!$F$216=1,Time!CL8&gt;Inputs!$F$21,Debt!CL93&lt;=Inputs!$F$9),1,0)</f>
        <v/>
      </c>
      <c r="CM26" s="14">
        <f>IF(AND(Inputs!$F$216=1,Time!CM8&gt;Inputs!$F$21,Debt!CM93&lt;=Inputs!$F$9),1,0)</f>
        <v/>
      </c>
      <c r="CN26" s="14">
        <f>IF(AND(Inputs!$F$216=1,Time!CN8&gt;Inputs!$F$21,Debt!CN93&lt;=Inputs!$F$9),1,0)</f>
        <v/>
      </c>
      <c r="CO26" s="14">
        <f>IF(AND(Inputs!$F$216=1,Time!CO8&gt;Inputs!$F$21,Debt!CO93&lt;=Inputs!$F$9),1,0)</f>
        <v/>
      </c>
      <c r="CP26" s="14">
        <f>IF(AND(Inputs!$F$216=1,Time!CP8&gt;Inputs!$F$21,Debt!CP93&lt;=Inputs!$F$9),1,0)</f>
        <v/>
      </c>
      <c r="CQ26" s="14">
        <f>IF(AND(Inputs!$F$216=1,Time!CQ8&gt;Inputs!$F$21,Debt!CQ93&lt;=Inputs!$F$9),1,0)</f>
        <v/>
      </c>
      <c r="CR26" s="14">
        <f>IF(AND(Inputs!$F$216=1,Time!CR8&gt;Inputs!$F$21,Debt!CR93&lt;=Inputs!$F$9),1,0)</f>
        <v/>
      </c>
      <c r="CS26" s="14">
        <f>IF(AND(Inputs!$F$216=1,Time!CS8&gt;Inputs!$F$21,Debt!CS93&lt;=Inputs!$F$9),1,0)</f>
        <v/>
      </c>
      <c r="CT26" s="14">
        <f>IF(AND(Inputs!$F$216=1,Time!CT8&gt;Inputs!$F$21,Debt!CT93&lt;=Inputs!$F$9),1,0)</f>
        <v/>
      </c>
      <c r="CU26" s="14">
        <f>IF(AND(Inputs!$F$216=1,Time!CU8&gt;Inputs!$F$21,Debt!CU93&lt;=Inputs!$F$9),1,0)</f>
        <v/>
      </c>
      <c r="CV26" s="14">
        <f>IF(AND(Inputs!$F$216=1,Time!CV8&gt;Inputs!$F$21,Debt!CV93&lt;=Inputs!$F$9),1,0)</f>
        <v/>
      </c>
      <c r="CW26" s="14">
        <f>IF(AND(Inputs!$F$216=1,Time!CW8&gt;Inputs!$F$21,Debt!CW93&lt;=Inputs!$F$9),1,0)</f>
        <v/>
      </c>
      <c r="CX26" s="14">
        <f>IF(AND(Inputs!$F$216=1,Time!CX8&gt;Inputs!$F$21,Debt!CX93&lt;=Inputs!$F$9),1,0)</f>
        <v/>
      </c>
      <c r="CY26" s="14">
        <f>IF(AND(Inputs!$F$216=1,Time!CY8&gt;Inputs!$F$21,Debt!CY93&lt;=Inputs!$F$9),1,0)</f>
        <v/>
      </c>
      <c r="CZ26" s="14">
        <f>IF(AND(Inputs!$F$216=1,Time!CZ8&gt;Inputs!$F$21,Debt!CZ93&lt;=Inputs!$F$9),1,0)</f>
        <v/>
      </c>
      <c r="DA26" s="14">
        <f>IF(AND(Inputs!$F$216=1,Time!DA8&gt;Inputs!$F$21,Debt!DA93&lt;=Inputs!$F$9),1,0)</f>
        <v/>
      </c>
      <c r="DB26" s="14">
        <f>IF(AND(Inputs!$F$216=1,Time!DB8&gt;Inputs!$F$21,Debt!DB93&lt;=Inputs!$F$9),1,0)</f>
        <v/>
      </c>
    </row>
    <row r="27">
      <c r="D27" t="inlineStr">
        <is>
          <t>Warrants: 3% of distributions after the notes are repaid</t>
        </is>
      </c>
      <c r="E27" t="inlineStr">
        <is>
          <t>ARD m</t>
        </is>
      </c>
      <c r="F27" s="19">
        <f>Inputs!$F$176*SUMPRODUCT($J$26:$DB$26*Waterfall!$J$49:$DB$49/(1+Inputs!$F$179)^((Time!$J$8:$DB$8-Inputs!$F$21)/Inputs!$F$46))</f>
        <v/>
      </c>
    </row>
    <row r="28">
      <c r="D28" t="inlineStr">
        <is>
          <t>Equity value to senior creditors (85%)</t>
        </is>
      </c>
      <c r="E28" t="inlineStr">
        <is>
          <t>ARD m</t>
        </is>
      </c>
      <c r="F28" s="19">
        <f>Inputs!$F$170*($F$25-$F$27)</f>
        <v/>
      </c>
    </row>
    <row r="29">
      <c r="D29" t="inlineStr">
        <is>
          <t>Equity value to the state (15%)</t>
        </is>
      </c>
      <c r="E29" t="inlineStr">
        <is>
          <t>ARD m</t>
        </is>
      </c>
      <c r="F29" s="19">
        <f>Inputs!$F$171*($F$25-$F$27)</f>
        <v/>
      </c>
    </row>
    <row r="30">
      <c r="D30" t="inlineStr">
        <is>
          <t>State money in excess of plan value (implied capital grant)</t>
        </is>
      </c>
      <c r="E30" t="inlineStr">
        <is>
          <t>ARD m</t>
        </is>
      </c>
      <c r="F30" s="19">
        <f>Inputs!$F$172-$F$29</f>
        <v/>
      </c>
    </row>
    <row r="31">
      <c r="D31" t="inlineStr">
        <is>
          <t>Payments to noteholders</t>
        </is>
      </c>
      <c r="E31" t="inlineStr">
        <is>
          <t>ARD m</t>
        </is>
      </c>
      <c r="G31" s="19">
        <f>SUM(J31:DB31)</f>
        <v/>
      </c>
      <c r="J31" s="19">
        <f>IF(Time!J23=1,Waterfall!J16+Waterfall!J22+Waterfall!J38,0)</f>
        <v/>
      </c>
      <c r="K31" s="19">
        <f>IF(Time!K23=1,Waterfall!K16+Waterfall!K22+Waterfall!K38,0)</f>
        <v/>
      </c>
      <c r="L31" s="19">
        <f>IF(Time!L23=1,Waterfall!L16+Waterfall!L22+Waterfall!L38,0)</f>
        <v/>
      </c>
      <c r="M31" s="19">
        <f>IF(Time!M23=1,Waterfall!M16+Waterfall!M22+Waterfall!M38,0)</f>
        <v/>
      </c>
      <c r="N31" s="19">
        <f>IF(Time!N23=1,Waterfall!N16+Waterfall!N22+Waterfall!N38,0)</f>
        <v/>
      </c>
      <c r="O31" s="19">
        <f>IF(Time!O23=1,Waterfall!O16+Waterfall!O22+Waterfall!O38,0)</f>
        <v/>
      </c>
      <c r="P31" s="19">
        <f>IF(Time!P23=1,Waterfall!P16+Waterfall!P22+Waterfall!P38,0)</f>
        <v/>
      </c>
      <c r="Q31" s="19">
        <f>IF(Time!Q23=1,Waterfall!Q16+Waterfall!Q22+Waterfall!Q38,0)</f>
        <v/>
      </c>
      <c r="R31" s="19">
        <f>IF(Time!R23=1,Waterfall!R16+Waterfall!R22+Waterfall!R38,0)</f>
        <v/>
      </c>
      <c r="S31" s="19">
        <f>IF(Time!S23=1,Waterfall!S16+Waterfall!S22+Waterfall!S38,0)</f>
        <v/>
      </c>
      <c r="T31" s="19">
        <f>IF(Time!T23=1,Waterfall!T16+Waterfall!T22+Waterfall!T38,0)</f>
        <v/>
      </c>
      <c r="U31" s="19">
        <f>IF(Time!U23=1,Waterfall!U16+Waterfall!U22+Waterfall!U38,0)</f>
        <v/>
      </c>
      <c r="V31" s="19">
        <f>IF(Time!V23=1,Waterfall!V16+Waterfall!V22+Waterfall!V38,0)</f>
        <v/>
      </c>
      <c r="W31" s="19">
        <f>IF(Time!W23=1,Waterfall!W16+Waterfall!W22+Waterfall!W38,0)</f>
        <v/>
      </c>
      <c r="X31" s="19">
        <f>IF(Time!X23=1,Waterfall!X16+Waterfall!X22+Waterfall!X38,0)</f>
        <v/>
      </c>
      <c r="Y31" s="19">
        <f>IF(Time!Y23=1,Waterfall!Y16+Waterfall!Y22+Waterfall!Y38,0)</f>
        <v/>
      </c>
      <c r="Z31" s="19">
        <f>IF(Time!Z23=1,Waterfall!Z16+Waterfall!Z22+Waterfall!Z38,0)</f>
        <v/>
      </c>
      <c r="AA31" s="19">
        <f>IF(Time!AA23=1,Waterfall!AA16+Waterfall!AA22+Waterfall!AA38,0)</f>
        <v/>
      </c>
      <c r="AB31" s="19">
        <f>IF(Time!AB23=1,Waterfall!AB16+Waterfall!AB22+Waterfall!AB38,0)</f>
        <v/>
      </c>
      <c r="AC31" s="19">
        <f>IF(Time!AC23=1,Waterfall!AC16+Waterfall!AC22+Waterfall!AC38,0)</f>
        <v/>
      </c>
      <c r="AD31" s="19">
        <f>IF(Time!AD23=1,Waterfall!AD16+Waterfall!AD22+Waterfall!AD38,0)</f>
        <v/>
      </c>
      <c r="AE31" s="19">
        <f>IF(Time!AE23=1,Waterfall!AE16+Waterfall!AE22+Waterfall!AE38,0)</f>
        <v/>
      </c>
      <c r="AF31" s="19">
        <f>IF(Time!AF23=1,Waterfall!AF16+Waterfall!AF22+Waterfall!AF38,0)</f>
        <v/>
      </c>
      <c r="AG31" s="19">
        <f>IF(Time!AG23=1,Waterfall!AG16+Waterfall!AG22+Waterfall!AG38,0)</f>
        <v/>
      </c>
      <c r="AH31" s="19">
        <f>IF(Time!AH23=1,Waterfall!AH16+Waterfall!AH22+Waterfall!AH38,0)</f>
        <v/>
      </c>
      <c r="AI31" s="19">
        <f>IF(Time!AI23=1,Waterfall!AI16+Waterfall!AI22+Waterfall!AI38,0)</f>
        <v/>
      </c>
      <c r="AJ31" s="19">
        <f>IF(Time!AJ23=1,Waterfall!AJ16+Waterfall!AJ22+Waterfall!AJ38,0)</f>
        <v/>
      </c>
      <c r="AK31" s="19">
        <f>IF(Time!AK23=1,Waterfall!AK16+Waterfall!AK22+Waterfall!AK38,0)</f>
        <v/>
      </c>
      <c r="AL31" s="19">
        <f>IF(Time!AL23=1,Waterfall!AL16+Waterfall!AL22+Waterfall!AL38,0)</f>
        <v/>
      </c>
      <c r="AM31" s="19">
        <f>IF(Time!AM23=1,Waterfall!AM16+Waterfall!AM22+Waterfall!AM38,0)</f>
        <v/>
      </c>
      <c r="AN31" s="19">
        <f>IF(Time!AN23=1,Waterfall!AN16+Waterfall!AN22+Waterfall!AN38,0)</f>
        <v/>
      </c>
      <c r="AO31" s="19">
        <f>IF(Time!AO23=1,Waterfall!AO16+Waterfall!AO22+Waterfall!AO38,0)</f>
        <v/>
      </c>
      <c r="AP31" s="19">
        <f>IF(Time!AP23=1,Waterfall!AP16+Waterfall!AP22+Waterfall!AP38,0)</f>
        <v/>
      </c>
      <c r="AQ31" s="19">
        <f>IF(Time!AQ23=1,Waterfall!AQ16+Waterfall!AQ22+Waterfall!AQ38,0)</f>
        <v/>
      </c>
      <c r="AR31" s="19">
        <f>IF(Time!AR23=1,Waterfall!AR16+Waterfall!AR22+Waterfall!AR38,0)</f>
        <v/>
      </c>
      <c r="AS31" s="19">
        <f>IF(Time!AS23=1,Waterfall!AS16+Waterfall!AS22+Waterfall!AS38,0)</f>
        <v/>
      </c>
      <c r="AT31" s="19">
        <f>IF(Time!AT23=1,Waterfall!AT16+Waterfall!AT22+Waterfall!AT38,0)</f>
        <v/>
      </c>
      <c r="AU31" s="19">
        <f>IF(Time!AU23=1,Waterfall!AU16+Waterfall!AU22+Waterfall!AU38,0)</f>
        <v/>
      </c>
      <c r="AV31" s="19">
        <f>IF(Time!AV23=1,Waterfall!AV16+Waterfall!AV22+Waterfall!AV38,0)</f>
        <v/>
      </c>
      <c r="AW31" s="19">
        <f>IF(Time!AW23=1,Waterfall!AW16+Waterfall!AW22+Waterfall!AW38,0)</f>
        <v/>
      </c>
      <c r="AX31" s="19">
        <f>IF(Time!AX23=1,Waterfall!AX16+Waterfall!AX22+Waterfall!AX38,0)</f>
        <v/>
      </c>
      <c r="AY31" s="19">
        <f>IF(Time!AY23=1,Waterfall!AY16+Waterfall!AY22+Waterfall!AY38,0)</f>
        <v/>
      </c>
      <c r="AZ31" s="19">
        <f>IF(Time!AZ23=1,Waterfall!AZ16+Waterfall!AZ22+Waterfall!AZ38,0)</f>
        <v/>
      </c>
      <c r="BA31" s="19">
        <f>IF(Time!BA23=1,Waterfall!BA16+Waterfall!BA22+Waterfall!BA38,0)</f>
        <v/>
      </c>
      <c r="BB31" s="19">
        <f>IF(Time!BB23=1,Waterfall!BB16+Waterfall!BB22+Waterfall!BB38,0)</f>
        <v/>
      </c>
      <c r="BC31" s="19">
        <f>IF(Time!BC23=1,Waterfall!BC16+Waterfall!BC22+Waterfall!BC38,0)</f>
        <v/>
      </c>
      <c r="BD31" s="19">
        <f>IF(Time!BD23=1,Waterfall!BD16+Waterfall!BD22+Waterfall!BD38,0)</f>
        <v/>
      </c>
      <c r="BE31" s="19">
        <f>IF(Time!BE23=1,Waterfall!BE16+Waterfall!BE22+Waterfall!BE38,0)</f>
        <v/>
      </c>
      <c r="BF31" s="19">
        <f>IF(Time!BF23=1,Waterfall!BF16+Waterfall!BF22+Waterfall!BF38,0)</f>
        <v/>
      </c>
      <c r="BG31" s="19">
        <f>IF(Time!BG23=1,Waterfall!BG16+Waterfall!BG22+Waterfall!BG38,0)</f>
        <v/>
      </c>
      <c r="BH31" s="19">
        <f>IF(Time!BH23=1,Waterfall!BH16+Waterfall!BH22+Waterfall!BH38,0)</f>
        <v/>
      </c>
      <c r="BI31" s="19">
        <f>IF(Time!BI23=1,Waterfall!BI16+Waterfall!BI22+Waterfall!BI38,0)</f>
        <v/>
      </c>
      <c r="BJ31" s="19">
        <f>IF(Time!BJ23=1,Waterfall!BJ16+Waterfall!BJ22+Waterfall!BJ38,0)</f>
        <v/>
      </c>
      <c r="BK31" s="19">
        <f>IF(Time!BK23=1,Waterfall!BK16+Waterfall!BK22+Waterfall!BK38,0)</f>
        <v/>
      </c>
      <c r="BL31" s="19">
        <f>IF(Time!BL23=1,Waterfall!BL16+Waterfall!BL22+Waterfall!BL38,0)</f>
        <v/>
      </c>
      <c r="BM31" s="19">
        <f>IF(Time!BM23=1,Waterfall!BM16+Waterfall!BM22+Waterfall!BM38,0)</f>
        <v/>
      </c>
      <c r="BN31" s="19">
        <f>IF(Time!BN23=1,Waterfall!BN16+Waterfall!BN22+Waterfall!BN38,0)</f>
        <v/>
      </c>
      <c r="BO31" s="19">
        <f>IF(Time!BO23=1,Waterfall!BO16+Waterfall!BO22+Waterfall!BO38,0)</f>
        <v/>
      </c>
      <c r="BP31" s="19">
        <f>IF(Time!BP23=1,Waterfall!BP16+Waterfall!BP22+Waterfall!BP38,0)</f>
        <v/>
      </c>
      <c r="BQ31" s="19">
        <f>IF(Time!BQ23=1,Waterfall!BQ16+Waterfall!BQ22+Waterfall!BQ38,0)</f>
        <v/>
      </c>
      <c r="BR31" s="19">
        <f>IF(Time!BR23=1,Waterfall!BR16+Waterfall!BR22+Waterfall!BR38,0)</f>
        <v/>
      </c>
      <c r="BS31" s="19">
        <f>IF(Time!BS23=1,Waterfall!BS16+Waterfall!BS22+Waterfall!BS38,0)</f>
        <v/>
      </c>
      <c r="BT31" s="19">
        <f>IF(Time!BT23=1,Waterfall!BT16+Waterfall!BT22+Waterfall!BT38,0)</f>
        <v/>
      </c>
      <c r="BU31" s="19">
        <f>IF(Time!BU23=1,Waterfall!BU16+Waterfall!BU22+Waterfall!BU38,0)</f>
        <v/>
      </c>
      <c r="BV31" s="19">
        <f>IF(Time!BV23=1,Waterfall!BV16+Waterfall!BV22+Waterfall!BV38,0)</f>
        <v/>
      </c>
      <c r="BW31" s="19">
        <f>IF(Time!BW23=1,Waterfall!BW16+Waterfall!BW22+Waterfall!BW38,0)</f>
        <v/>
      </c>
      <c r="BX31" s="19">
        <f>IF(Time!BX23=1,Waterfall!BX16+Waterfall!BX22+Waterfall!BX38,0)</f>
        <v/>
      </c>
      <c r="BY31" s="19">
        <f>IF(Time!BY23=1,Waterfall!BY16+Waterfall!BY22+Waterfall!BY38,0)</f>
        <v/>
      </c>
      <c r="BZ31" s="19">
        <f>IF(Time!BZ23=1,Waterfall!BZ16+Waterfall!BZ22+Waterfall!BZ38,0)</f>
        <v/>
      </c>
      <c r="CA31" s="19">
        <f>IF(Time!CA23=1,Waterfall!CA16+Waterfall!CA22+Waterfall!CA38,0)</f>
        <v/>
      </c>
      <c r="CB31" s="19">
        <f>IF(Time!CB23=1,Waterfall!CB16+Waterfall!CB22+Waterfall!CB38,0)</f>
        <v/>
      </c>
      <c r="CC31" s="19">
        <f>IF(Time!CC23=1,Waterfall!CC16+Waterfall!CC22+Waterfall!CC38,0)</f>
        <v/>
      </c>
      <c r="CD31" s="19">
        <f>IF(Time!CD23=1,Waterfall!CD16+Waterfall!CD22+Waterfall!CD38,0)</f>
        <v/>
      </c>
      <c r="CE31" s="19">
        <f>IF(Time!CE23=1,Waterfall!CE16+Waterfall!CE22+Waterfall!CE38,0)</f>
        <v/>
      </c>
      <c r="CF31" s="19">
        <f>IF(Time!CF23=1,Waterfall!CF16+Waterfall!CF22+Waterfall!CF38,0)</f>
        <v/>
      </c>
      <c r="CG31" s="19">
        <f>IF(Time!CG23=1,Waterfall!CG16+Waterfall!CG22+Waterfall!CG38,0)</f>
        <v/>
      </c>
      <c r="CH31" s="19">
        <f>IF(Time!CH23=1,Waterfall!CH16+Waterfall!CH22+Waterfall!CH38,0)</f>
        <v/>
      </c>
      <c r="CI31" s="19">
        <f>IF(Time!CI23=1,Waterfall!CI16+Waterfall!CI22+Waterfall!CI38,0)</f>
        <v/>
      </c>
      <c r="CJ31" s="19">
        <f>IF(Time!CJ23=1,Waterfall!CJ16+Waterfall!CJ22+Waterfall!CJ38,0)</f>
        <v/>
      </c>
      <c r="CK31" s="19">
        <f>IF(Time!CK23=1,Waterfall!CK16+Waterfall!CK22+Waterfall!CK38,0)</f>
        <v/>
      </c>
      <c r="CL31" s="19">
        <f>IF(Time!CL23=1,Waterfall!CL16+Waterfall!CL22+Waterfall!CL38,0)</f>
        <v/>
      </c>
      <c r="CM31" s="19">
        <f>IF(Time!CM23=1,Waterfall!CM16+Waterfall!CM22+Waterfall!CM38,0)</f>
        <v/>
      </c>
      <c r="CN31" s="19">
        <f>IF(Time!CN23=1,Waterfall!CN16+Waterfall!CN22+Waterfall!CN38,0)</f>
        <v/>
      </c>
      <c r="CO31" s="19">
        <f>IF(Time!CO23=1,Waterfall!CO16+Waterfall!CO22+Waterfall!CO38,0)</f>
        <v/>
      </c>
      <c r="CP31" s="19">
        <f>IF(Time!CP23=1,Waterfall!CP16+Waterfall!CP22+Waterfall!CP38,0)</f>
        <v/>
      </c>
      <c r="CQ31" s="19">
        <f>IF(Time!CQ23=1,Waterfall!CQ16+Waterfall!CQ22+Waterfall!CQ38,0)</f>
        <v/>
      </c>
      <c r="CR31" s="19">
        <f>IF(Time!CR23=1,Waterfall!CR16+Waterfall!CR22+Waterfall!CR38,0)</f>
        <v/>
      </c>
      <c r="CS31" s="19">
        <f>IF(Time!CS23=1,Waterfall!CS16+Waterfall!CS22+Waterfall!CS38,0)</f>
        <v/>
      </c>
      <c r="CT31" s="19">
        <f>IF(Time!CT23=1,Waterfall!CT16+Waterfall!CT22+Waterfall!CT38,0)</f>
        <v/>
      </c>
      <c r="CU31" s="19">
        <f>IF(Time!CU23=1,Waterfall!CU16+Waterfall!CU22+Waterfall!CU38,0)</f>
        <v/>
      </c>
      <c r="CV31" s="19">
        <f>IF(Time!CV23=1,Waterfall!CV16+Waterfall!CV22+Waterfall!CV38,0)</f>
        <v/>
      </c>
      <c r="CW31" s="19">
        <f>IF(Time!CW23=1,Waterfall!CW16+Waterfall!CW22+Waterfall!CW38,0)</f>
        <v/>
      </c>
      <c r="CX31" s="19">
        <f>IF(Time!CX23=1,Waterfall!CX16+Waterfall!CX22+Waterfall!CX38,0)</f>
        <v/>
      </c>
      <c r="CY31" s="19">
        <f>IF(Time!CY23=1,Waterfall!CY16+Waterfall!CY22+Waterfall!CY38,0)</f>
        <v/>
      </c>
      <c r="CZ31" s="19">
        <f>IF(Time!CZ23=1,Waterfall!CZ16+Waterfall!CZ22+Waterfall!CZ38,0)</f>
        <v/>
      </c>
      <c r="DA31" s="19">
        <f>IF(Time!DA23=1,Waterfall!DA16+Waterfall!DA22+Waterfall!DA38,0)</f>
        <v/>
      </c>
      <c r="DB31" s="19">
        <f>IF(Time!DB23=1,Waterfall!DB16+Waterfall!DB22+Waterfall!DB38,0)</f>
        <v/>
      </c>
    </row>
    <row r="32">
      <c r="D32" t="inlineStr">
        <is>
          <t>Notes market value at the 7.50% yield</t>
        </is>
      </c>
      <c r="E32" t="inlineStr">
        <is>
          <t>ARD m</t>
        </is>
      </c>
      <c r="F32" s="19">
        <f>SUMPRODUCT((Time!$J$8:$DB$8&gt;Inputs!$F$21)*$J$31:$DB$31/(1+Inputs!$F$180)^((Time!$J$8:$DB$8-Inputs!$F$21)/Inputs!$F$46))</f>
        <v/>
      </c>
    </row>
    <row r="33">
      <c r="D33" t="inlineStr">
        <is>
          <t>Senior claims net of set-off</t>
        </is>
      </c>
      <c r="E33" t="inlineStr">
        <is>
          <t>ARD m</t>
        </is>
      </c>
      <c r="F33" s="19">
        <f>SUM(Debt!$J$76:$DB$76)</f>
        <v/>
      </c>
    </row>
    <row r="34">
      <c r="D34" t="inlineStr">
        <is>
          <t>Senior recovery (notes at market plus equity at plan value)</t>
        </is>
      </c>
      <c r="E34" t="inlineStr">
        <is>
          <t>%</t>
        </is>
      </c>
      <c r="F34" s="26">
        <f>IF($F$33&gt;0,($F$32+$F$28)/$F$33,0)</f>
        <v/>
      </c>
    </row>
    <row r="35">
      <c r="D35" t="inlineStr">
        <is>
          <t>Senior recovery with notes at par</t>
        </is>
      </c>
      <c r="E35" t="inlineStr">
        <is>
          <t>%</t>
        </is>
      </c>
      <c r="F35" s="26">
        <f>IF($F$33&gt;0,(Debt!$F$81+$F$28)/$F$33,0)</f>
        <v/>
      </c>
    </row>
    <row r="36">
      <c r="D36" t="inlineStr">
        <is>
          <t>NILO claim at 2023-12-31</t>
        </is>
      </c>
      <c r="E36" t="inlineStr">
        <is>
          <t>ARD m</t>
        </is>
      </c>
      <c r="F36" s="19">
        <f>SUMPRODUCT(Time!$J$35:$DB$35,Debt!$J$102:$DB$102)</f>
        <v/>
      </c>
    </row>
    <row r="37">
      <c r="D37" t="inlineStr">
        <is>
          <t>PV of NILO receipts at 3.06%</t>
        </is>
      </c>
      <c r="E37" t="inlineStr">
        <is>
          <t>ARD m</t>
        </is>
      </c>
      <c r="F37" s="19">
        <f>SUMPRODUCT((Time!$J$8:$DB$8&gt;Inputs!$F$21)*Waterfall!$J$35:$DB$35/(1+Inputs!$F$119)^((Time!$J$8:$DB$8-Inputs!$F$21)/Inputs!$F$46))</f>
        <v/>
      </c>
    </row>
    <row r="38">
      <c r="D38" t="inlineStr">
        <is>
          <t>NILO recovery in PV terms</t>
        </is>
      </c>
      <c r="E38" t="inlineStr">
        <is>
          <t>%</t>
        </is>
      </c>
      <c r="F38" s="26">
        <f>IF($F$36&gt;0,$F$37/$F$36,0)</f>
        <v/>
      </c>
    </row>
    <row r="39">
      <c r="D39" s="3" t="inlineStr">
        <is>
          <t>Public sector comparator and value for money (PV at 2012-12-31)</t>
        </is>
      </c>
    </row>
    <row r="40">
      <c r="D40" t="inlineStr">
        <is>
          <t>Risk-adjusted PSC</t>
        </is>
      </c>
      <c r="E40" t="inlineStr">
        <is>
          <t>ARD m</t>
        </is>
      </c>
      <c r="F40" s="19">
        <f>Inputs!$F$186+Inputs!$F$187+Inputs!$F$188+Inputs!$F$189+Inputs!$F$190+Inputs!$F$191+Inputs!$F$192</f>
        <v/>
      </c>
    </row>
    <row r="41">
      <c r="D41" t="inlineStr">
        <is>
          <t>Raw PSC (before risk and competitive neutrality)</t>
        </is>
      </c>
      <c r="E41" t="inlineStr">
        <is>
          <t>ARD m</t>
        </is>
      </c>
      <c r="F41" s="19">
        <f>Inputs!$F$186+Inputs!$F$187+Inputs!$F$188</f>
        <v/>
      </c>
    </row>
    <row r="42">
      <c r="D42" t="inlineStr">
        <is>
          <t>Discount factor, contribution date to PV date</t>
        </is>
      </c>
      <c r="E42" t="inlineStr">
        <is>
          <t>factor</t>
        </is>
      </c>
      <c r="F42" s="27">
        <f>(1+Inputs!$F$185)^(-(Inputs!$F$43-Inputs!$F$42)/Inputs!$F$46)</f>
        <v/>
      </c>
    </row>
    <row r="43">
      <c r="D43" t="inlineStr">
        <is>
          <t>PPP reference project cost</t>
        </is>
      </c>
      <c r="E43" t="inlineStr">
        <is>
          <t>ARD m</t>
        </is>
      </c>
      <c r="F43" s="19">
        <f>Inputs!$F$193*$F$42+Inputs!$F$194+Inputs!$F$195</f>
        <v/>
      </c>
    </row>
    <row r="44">
      <c r="D44" t="inlineStr">
        <is>
          <t>PPP cost at the winning bid</t>
        </is>
      </c>
      <c r="E44" t="inlineStr">
        <is>
          <t>ARD m</t>
        </is>
      </c>
      <c r="F44" s="19">
        <f>Inputs!$F$82*$F$42+Inputs!$F$194+Inputs!$F$195</f>
        <v/>
      </c>
    </row>
    <row r="45">
      <c r="D45" t="inlineStr">
        <is>
          <t>Value for money, reference</t>
        </is>
      </c>
      <c r="E45" t="inlineStr">
        <is>
          <t>ARD m</t>
        </is>
      </c>
      <c r="F45" s="19">
        <f>$F$40-$F$43</f>
        <v/>
      </c>
    </row>
    <row r="46">
      <c r="D46" t="inlineStr">
        <is>
          <t>Value for money, reference, % of risk-adjusted PSC</t>
        </is>
      </c>
      <c r="E46" t="inlineStr">
        <is>
          <t>%</t>
        </is>
      </c>
      <c r="F46" s="26">
        <f>$F$45/$F$40</f>
        <v/>
      </c>
    </row>
    <row r="47">
      <c r="D47" t="inlineStr">
        <is>
          <t>Value for money, winning bid</t>
        </is>
      </c>
      <c r="E47" t="inlineStr">
        <is>
          <t>ARD m</t>
        </is>
      </c>
      <c r="F47" s="19">
        <f>$F$40-$F$44</f>
        <v/>
      </c>
    </row>
    <row r="48">
      <c r="D48" t="inlineStr">
        <is>
          <t>Value for money, winning bid, % of risk-adjusted PSC</t>
        </is>
      </c>
      <c r="E48" t="inlineStr">
        <is>
          <t>%</t>
        </is>
      </c>
      <c r="F48" s="26">
        <f>$F$47/$F$40</f>
        <v/>
      </c>
    </row>
    <row r="49">
      <c r="D49" t="inlineStr">
        <is>
          <t>Gross PSC cost (before retained toll revenue)</t>
        </is>
      </c>
      <c r="E49" t="inlineStr">
        <is>
          <t>ARD m</t>
        </is>
      </c>
      <c r="F49" s="19">
        <f>$F$40-Inputs!$F$188</f>
        <v/>
      </c>
    </row>
    <row r="50">
      <c r="D50" t="inlineStr">
        <is>
          <t>Value for money, reference, % of gross PSC cost</t>
        </is>
      </c>
      <c r="E50" t="inlineStr">
        <is>
          <t>%</t>
        </is>
      </c>
      <c r="F50" s="26">
        <f>$F$45/$F$49</f>
        <v/>
      </c>
    </row>
    <row r="51">
      <c r="D51" t="inlineStr">
        <is>
          <t>Value for money, winning bid, % of gross PSC cost</t>
        </is>
      </c>
      <c r="E51" t="inlineStr">
        <is>
          <t>%</t>
        </is>
      </c>
      <c r="F51" s="26">
        <f>$F$47/$F$49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D1:F23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Checks</t>
        </is>
      </c>
    </row>
    <row r="5">
      <c r="D5" s="3" t="inlineStr">
        <is>
          <t>Integrity checks (0 = pass)</t>
        </is>
      </c>
    </row>
    <row r="6">
      <c r="D6" t="inlineStr">
        <is>
          <t>Sources equal uses in every construction period</t>
        </is>
      </c>
      <c r="E6" t="inlineStr">
        <is>
          <t>ARD m</t>
        </is>
      </c>
      <c r="F6" s="19">
        <f>ROUND(SUMPRODUCT(ABS(Funding!$J$42:$DB$42)),6)</f>
        <v/>
      </c>
    </row>
    <row r="7">
      <c r="D7" t="inlineStr">
        <is>
          <t>Total sources at close equal total uses</t>
        </is>
      </c>
      <c r="E7" t="inlineStr">
        <is>
          <t>ARD m</t>
        </is>
      </c>
      <c r="F7" s="19">
        <f>ROUND(Debt!$F$29+Debt!$F$26+Debt!$F$28+Inputs!$F$228-Funding!$F$24,6)</f>
        <v/>
      </c>
    </row>
    <row r="8">
      <c r="D8" t="inlineStr">
        <is>
          <t>Equity drawn equals equity commitment</t>
        </is>
      </c>
      <c r="E8" t="inlineStr">
        <is>
          <t>ARD m</t>
        </is>
      </c>
      <c r="F8" s="19">
        <f>ROUND(SUM(Funding!$J$27:$DB$27)-Debt!$F$29,6)</f>
        <v/>
      </c>
    </row>
    <row r="9">
      <c r="D9" t="inlineStr">
        <is>
          <t>Bond escrow fully used at completion</t>
        </is>
      </c>
      <c r="E9" t="inlineStr">
        <is>
          <t>ARD m</t>
        </is>
      </c>
      <c r="F9" s="19">
        <f>ROUND(SUMPRODUCT(Funding!$J$16:$DB$16,Time!$J$21:$DB$21),6)</f>
        <v/>
      </c>
    </row>
    <row r="10">
      <c r="D10" t="inlineStr">
        <is>
          <t>Bridge repaid at opening</t>
        </is>
      </c>
      <c r="E10" t="inlineStr">
        <is>
          <t>ARD m</t>
        </is>
      </c>
      <c r="F10" s="19">
        <f>ROUND(SUMPRODUCT(ABS(Funding!$J$40:$DB$40)*Time!$J$26:$DB$26),6)</f>
        <v/>
      </c>
    </row>
    <row r="11">
      <c r="D11" t="inlineStr">
        <is>
          <t>Balance sheet balances</t>
        </is>
      </c>
      <c r="E11" t="inlineStr">
        <is>
          <t>ARD m</t>
        </is>
      </c>
      <c r="F11" s="19">
        <f>ROUND(SUMPRODUCT(ABS(Financials!$J$17:$DB$17)),6)</f>
        <v/>
      </c>
    </row>
    <row r="12">
      <c r="D12" t="inlineStr">
        <is>
          <t>Live senior schedule repays by 2048 (Scenario 2)</t>
        </is>
      </c>
      <c r="E12" t="inlineStr">
        <is>
          <t>ARD m</t>
        </is>
      </c>
      <c r="F12" s="19">
        <f>IF(Debt!$F$24=1,ROUND(SUMPRODUCT(Debt!$J$36:$DB$36,Time!$J$30:$DB$30*(Time!$J$8:$DB$8=Inputs!$F$23)),6),0)</f>
        <v/>
      </c>
    </row>
    <row r="13">
      <c r="D13" t="inlineStr">
        <is>
          <t>Live sizing equals locked financing (Scenario 2, bid contribution)</t>
        </is>
      </c>
      <c r="E13" t="inlineStr">
        <is>
          <t>ARD m</t>
        </is>
      </c>
      <c r="F13" s="19">
        <f>IF(AND(Debt!$F$24=1,Inputs!$F$7=1),ROUND(ABS(Debt!$F$22-Inputs!$F$272)+SUMPRODUCT(ABS(Debt!$J$35:$DB$35-Inputs!$J$275:$DB$275))+SUMPRODUCT(ABS(Debt!$J$38:$DB$38-Inputs!$J$276:$DB$276))+SUMPRODUCT(ABS(Debt!$J$111:$DB$111-Inputs!$J$277:$DB$277)),3),0)</f>
        <v/>
      </c>
    </row>
    <row r="14">
      <c r="D14" t="inlineStr">
        <is>
          <t>Live notes schedule equals locked (Scenario 5)</t>
        </is>
      </c>
      <c r="E14" t="inlineStr">
        <is>
          <t>ARD m</t>
        </is>
      </c>
      <c r="F14" s="19">
        <f>IF(Debt!$F$25=1,ROUND(SUMPRODUCT(ABS(Debt!$J$88:$DB$88-Inputs!$J$280:$DB$280))+SUMPRODUCT(ABS(Debt!$J$111:$DB$111-Inputs!$J$281:$DB$281)),3),0)</f>
        <v/>
      </c>
    </row>
    <row r="15">
      <c r="D15" t="inlineStr">
        <is>
          <t>Senior debt repaid by concession expiry</t>
        </is>
      </c>
      <c r="E15" t="inlineStr">
        <is>
          <t>ARD m</t>
        </is>
      </c>
      <c r="F15" s="19">
        <f>ROUND(SUMPRODUCT((Debt!$J$47:$DB$47+Debt!$J$54:$DB$54+Debt!$J$94:$DB$94)*Time!$J$28:$DB$28),6)</f>
        <v/>
      </c>
    </row>
    <row r="16">
      <c r="D16" t="inlineStr">
        <is>
          <t>NILO repaid by concession expiry</t>
        </is>
      </c>
      <c r="E16" t="inlineStr">
        <is>
          <t>ARD m</t>
        </is>
      </c>
      <c r="F16" s="19">
        <f>ROUND(SUMPRODUCT(Debt!$J$102:$DB$102*Time!$J$28:$DB$28),6)</f>
        <v/>
      </c>
    </row>
    <row r="17">
      <c r="D17" t="inlineStr">
        <is>
          <t>Reserves never negative</t>
        </is>
      </c>
      <c r="E17" t="inlineStr">
        <is>
          <t>ARD m</t>
        </is>
      </c>
      <c r="F17" s="19">
        <f>ROUND(-MIN(0,MIN(Reserves!$J$13:$DB$13),MIN(Reserves!$J$19:$DB$19),MIN(Reserves!$J$23:$DB$23),MIN(Reserves!$J$16:$DB$16),MIN(Reserves!$J$30:$DB$30)),6)</f>
        <v/>
      </c>
    </row>
    <row r="18">
      <c r="D18" t="inlineStr">
        <is>
          <t>Ramp-up account fully used</t>
        </is>
      </c>
      <c r="E18" t="inlineStr">
        <is>
          <t>ARD m</t>
        </is>
      </c>
      <c r="F18" s="19">
        <f>ROUND(SUMPRODUCT(Reserves!$J$16:$DB$16,Time!$J$31:$DB$31),6)</f>
        <v/>
      </c>
    </row>
    <row r="19">
      <c r="D19" t="inlineStr">
        <is>
          <t>Cash account never negative</t>
        </is>
      </c>
      <c r="E19" t="inlineStr">
        <is>
          <t>ARD m</t>
        </is>
      </c>
      <c r="F19" s="19">
        <f>ROUND(-MIN(0,MIN(Waterfall!$J$51:$DB$51)),6)</f>
        <v/>
      </c>
    </row>
    <row r="20">
      <c r="D20" t="inlineStr">
        <is>
          <t>NILO within 33% of eligible costs</t>
        </is>
      </c>
      <c r="E20" t="inlineStr">
        <is>
          <t>ARD m</t>
        </is>
      </c>
      <c r="F20" s="19">
        <f>ROUND(MAX(0,Debt!$F$28-Inputs!$F$121*Funding!$F$24),6)</f>
        <v/>
      </c>
    </row>
    <row r="21">
      <c r="D21" t="inlineStr">
        <is>
          <t>Equity at least 22% of funding net of contribution</t>
        </is>
      </c>
      <c r="E21" t="inlineStr">
        <is>
          <t>ARD m</t>
        </is>
      </c>
      <c r="F21" s="19">
        <f>ROUND(MAX(0,Inputs!$F$88*Funding!$F$25-Debt!$F$29),6)</f>
        <v/>
      </c>
    </row>
    <row r="22">
      <c r="D22" t="inlineStr">
        <is>
          <t>Restructuring: notes plus converted plus cancelled equal net claims</t>
        </is>
      </c>
      <c r="E22" t="inlineStr">
        <is>
          <t>ARD m</t>
        </is>
      </c>
      <c r="F22" s="19">
        <f>ROUND(SUM(Debt!$J$77:$DB$77)+SUM(Debt!$J$78:$DB$78)+SUM(Debt!$J$79:$DB$79)-SUM(Debt!$J$76:$DB$76),6)</f>
        <v/>
      </c>
    </row>
    <row r="23">
      <c r="D23" t="inlineStr">
        <is>
          <t>All checks</t>
        </is>
      </c>
      <c r="E23" t="inlineStr">
        <is>
          <t>ARD m</t>
        </is>
      </c>
      <c r="F23" s="19">
        <f>ABS($F$6)+ABS($F$7)+ABS($F$8)+ABS($F$9)+ABS($F$10)+ABS($F$11)+ABS($F$12)+ABS($F$13)+ABS($F$14)+ABS($F$15)+ABS($F$16)+ABS($F$17)+ABS($F$18)+ABS($F$19)+ABS($F$20)+ABS($F$21)+ABS($F$22)</f>
        <v/>
      </c>
    </row>
  </sheetData>
  <conditionalFormatting sqref="F6">
    <cfRule type="cellIs" priority="1" operator="notEqual" dxfId="0">
      <formula>0</formula>
    </cfRule>
  </conditionalFormatting>
  <conditionalFormatting sqref="F7">
    <cfRule type="cellIs" priority="2" operator="notEqual" dxfId="0">
      <formula>0</formula>
    </cfRule>
  </conditionalFormatting>
  <conditionalFormatting sqref="F8">
    <cfRule type="cellIs" priority="3" operator="notEqual" dxfId="0">
      <formula>0</formula>
    </cfRule>
  </conditionalFormatting>
  <conditionalFormatting sqref="F9">
    <cfRule type="cellIs" priority="4" operator="notEqual" dxfId="0">
      <formula>0</formula>
    </cfRule>
  </conditionalFormatting>
  <conditionalFormatting sqref="F10">
    <cfRule type="cellIs" priority="5" operator="notEqual" dxfId="0">
      <formula>0</formula>
    </cfRule>
  </conditionalFormatting>
  <conditionalFormatting sqref="F11">
    <cfRule type="cellIs" priority="6" operator="notEqual" dxfId="0">
      <formula>0</formula>
    </cfRule>
  </conditionalFormatting>
  <conditionalFormatting sqref="F12">
    <cfRule type="cellIs" priority="7" operator="notEqual" dxfId="0">
      <formula>0</formula>
    </cfRule>
  </conditionalFormatting>
  <conditionalFormatting sqref="F13">
    <cfRule type="cellIs" priority="8" operator="notEqual" dxfId="0">
      <formula>0</formula>
    </cfRule>
  </conditionalFormatting>
  <conditionalFormatting sqref="F14">
    <cfRule type="cellIs" priority="9" operator="notEqual" dxfId="0">
      <formula>0</formula>
    </cfRule>
  </conditionalFormatting>
  <conditionalFormatting sqref="F15">
    <cfRule type="cellIs" priority="10" operator="notEqual" dxfId="0">
      <formula>0</formula>
    </cfRule>
  </conditionalFormatting>
  <conditionalFormatting sqref="F16">
    <cfRule type="cellIs" priority="11" operator="notEqual" dxfId="0">
      <formula>0</formula>
    </cfRule>
  </conditionalFormatting>
  <conditionalFormatting sqref="F17">
    <cfRule type="cellIs" priority="12" operator="notEqual" dxfId="0">
      <formula>0</formula>
    </cfRule>
  </conditionalFormatting>
  <conditionalFormatting sqref="F18">
    <cfRule type="cellIs" priority="13" operator="notEqual" dxfId="0">
      <formula>0</formula>
    </cfRule>
  </conditionalFormatting>
  <conditionalFormatting sqref="F19">
    <cfRule type="cellIs" priority="14" operator="notEqual" dxfId="0">
      <formula>0</formula>
    </cfRule>
  </conditionalFormatting>
  <conditionalFormatting sqref="F20">
    <cfRule type="cellIs" priority="15" operator="notEqual" dxfId="0">
      <formula>0</formula>
    </cfRule>
  </conditionalFormatting>
  <conditionalFormatting sqref="F21">
    <cfRule type="cellIs" priority="16" operator="notEqual" dxfId="0">
      <formula>0</formula>
    </cfRule>
  </conditionalFormatting>
  <conditionalFormatting sqref="F22">
    <cfRule type="cellIs" priority="17" operator="notEqual" dxfId="0">
      <formula>0</formula>
    </cfRule>
  </conditionalFormatting>
  <conditionalFormatting sqref="F23">
    <cfRule type="cellIs" priority="18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1:F29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Outputs</t>
        </is>
      </c>
    </row>
    <row r="5">
      <c r="D5" s="3" t="inlineStr">
        <is>
          <t>Dashboard (selected scenario)</t>
        </is>
      </c>
    </row>
    <row r="6">
      <c r="D6" t="inlineStr">
        <is>
          <t>Scenario</t>
        </is>
      </c>
      <c r="E6" t="inlineStr">
        <is>
          <t>#</t>
        </is>
      </c>
      <c r="F6" s="32">
        <f>Inputs!$F$6</f>
        <v/>
      </c>
    </row>
    <row r="7">
      <c r="D7" t="inlineStr">
        <is>
          <t>Total uses</t>
        </is>
      </c>
      <c r="E7" t="inlineStr">
        <is>
          <t>ARD m</t>
        </is>
      </c>
      <c r="F7" s="29">
        <f>Funding!$F$24</f>
        <v/>
      </c>
    </row>
    <row r="8">
      <c r="D8" t="inlineStr">
        <is>
          <t>Funding requirement net of contribution</t>
        </is>
      </c>
      <c r="E8" t="inlineStr">
        <is>
          <t>ARD m</t>
        </is>
      </c>
      <c r="F8" s="29">
        <f>Funding!$F$25</f>
        <v/>
      </c>
    </row>
    <row r="9">
      <c r="D9" t="inlineStr">
        <is>
          <t>Senior debt (bank plus bonds)</t>
        </is>
      </c>
      <c r="E9" t="inlineStr">
        <is>
          <t>ARD m</t>
        </is>
      </c>
      <c r="F9" s="29">
        <f>Debt!$F$26</f>
        <v/>
      </c>
    </row>
    <row r="10">
      <c r="D10" t="inlineStr">
        <is>
          <t>Bank mini-perm</t>
        </is>
      </c>
      <c r="E10" t="inlineStr">
        <is>
          <t>ARD m</t>
        </is>
      </c>
      <c r="F10" s="29">
        <f>Funding!$F$6</f>
        <v/>
      </c>
    </row>
    <row r="11">
      <c r="D11" t="inlineStr">
        <is>
          <t>Revenue bonds</t>
        </is>
      </c>
      <c r="E11" t="inlineStr">
        <is>
          <t>ARD m</t>
        </is>
      </c>
      <c r="F11" s="29">
        <f>Funding!$F$7</f>
        <v/>
      </c>
    </row>
    <row r="12">
      <c r="D12" t="inlineStr">
        <is>
          <t>NILO loan</t>
        </is>
      </c>
      <c r="E12" t="inlineStr">
        <is>
          <t>ARD m</t>
        </is>
      </c>
      <c r="F12" s="29">
        <f>Debt!$F$28</f>
        <v/>
      </c>
    </row>
    <row r="13">
      <c r="D13" t="inlineStr">
        <is>
          <t>Equity</t>
        </is>
      </c>
      <c r="E13" t="inlineStr">
        <is>
          <t>ARD m</t>
        </is>
      </c>
      <c r="F13" s="29">
        <f>Debt!$F$29</f>
        <v/>
      </c>
    </row>
    <row r="14">
      <c r="D14" t="inlineStr">
        <is>
          <t>Binding sizing constraint</t>
        </is>
      </c>
      <c r="E14" t="inlineStr">
        <is>
          <t>#</t>
        </is>
      </c>
      <c r="F14" s="32">
        <f>Debt!$F$23</f>
        <v/>
      </c>
    </row>
    <row r="15">
      <c r="D15" t="inlineStr">
        <is>
          <t>Senior sculpting divisor</t>
        </is>
      </c>
      <c r="E15" t="inlineStr">
        <is>
          <t>x</t>
        </is>
      </c>
      <c r="F15" s="33">
        <f>Debt!$F$37</f>
        <v/>
      </c>
    </row>
    <row r="16">
      <c r="D16" t="inlineStr">
        <is>
          <t>Senior IDC net of escrow income plus bridge interest</t>
        </is>
      </c>
      <c r="E16" t="inlineStr">
        <is>
          <t>ARD m</t>
        </is>
      </c>
      <c r="F16" s="19">
        <f>SUM(Funding!$J$11:$DB$11)+SUM(Funding!$J$13:$DB$13)-SUM(Funding!$J$15:$DB$15)+SUM(Funding!$J$19:$DB$19)</f>
        <v/>
      </c>
    </row>
    <row r="17">
      <c r="D17" t="inlineStr">
        <is>
          <t>Upfront and commitment fees</t>
        </is>
      </c>
      <c r="E17" t="inlineStr">
        <is>
          <t>ARD m</t>
        </is>
      </c>
      <c r="F17" s="19">
        <f>SUM(Funding!$J$10:$DB$10)+SUM(Funding!$J$12:$DB$12)</f>
        <v/>
      </c>
    </row>
    <row r="18">
      <c r="D18" t="inlineStr">
        <is>
          <t>DSRA initial funding</t>
        </is>
      </c>
      <c r="E18" t="inlineStr">
        <is>
          <t>ARD m</t>
        </is>
      </c>
      <c r="F18" s="19">
        <f>SUM(Funding!$J$21:$DB$21)</f>
        <v/>
      </c>
    </row>
    <row r="19">
      <c r="D19" t="inlineStr">
        <is>
          <t>Ramp-up interest account</t>
        </is>
      </c>
      <c r="E19" t="inlineStr">
        <is>
          <t>ARD m</t>
        </is>
      </c>
      <c r="F19" s="19">
        <f>SUM(Funding!$J$22:$DB$22)</f>
        <v/>
      </c>
    </row>
    <row r="20">
      <c r="D20" t="inlineStr">
        <is>
          <t>Minimum senior DSCR (repayment periods)</t>
        </is>
      </c>
      <c r="E20" t="inlineStr">
        <is>
          <t>x</t>
        </is>
      </c>
      <c r="F20" s="33">
        <f>Ratios!$F$7</f>
        <v/>
      </c>
    </row>
    <row r="21">
      <c r="D21" t="inlineStr">
        <is>
          <t>Average senior DSCR</t>
        </is>
      </c>
      <c r="E21" t="inlineStr">
        <is>
          <t>x</t>
        </is>
      </c>
      <c r="F21" s="33">
        <f>Ratios!$F$8</f>
        <v/>
      </c>
    </row>
    <row r="22">
      <c r="D22" t="inlineStr">
        <is>
          <t>Minimum senior plus NILO DSCR</t>
        </is>
      </c>
      <c r="E22" t="inlineStr">
        <is>
          <t>x</t>
        </is>
      </c>
      <c r="F22" s="33">
        <f>Ratios!$F$12</f>
        <v/>
      </c>
    </row>
    <row r="23">
      <c r="D23" t="inlineStr">
        <is>
          <t>LLCR at first repayment</t>
        </is>
      </c>
      <c r="E23" t="inlineStr">
        <is>
          <t>x</t>
        </is>
      </c>
      <c r="F23" s="33">
        <f>Ratios!$F$15</f>
        <v/>
      </c>
    </row>
    <row r="24">
      <c r="D24" t="inlineStr">
        <is>
          <t>PLCR at first repayment</t>
        </is>
      </c>
      <c r="E24" t="inlineStr">
        <is>
          <t>x</t>
        </is>
      </c>
      <c r="F24" s="33">
        <f>Ratios!$F$17</f>
        <v/>
      </c>
    </row>
    <row r="25">
      <c r="D25" t="inlineStr">
        <is>
          <t>Equity IRR</t>
        </is>
      </c>
      <c r="E25" t="inlineStr">
        <is>
          <t>%</t>
        </is>
      </c>
      <c r="F25" s="34">
        <f>Returns!$F$7</f>
        <v/>
      </c>
    </row>
    <row r="26">
      <c r="D26" t="inlineStr">
        <is>
          <t>Equity NPV at 11.4%</t>
        </is>
      </c>
      <c r="E26" t="inlineStr">
        <is>
          <t>ARD m</t>
        </is>
      </c>
      <c r="F26" s="29">
        <f>Returns!$F$8</f>
        <v/>
      </c>
    </row>
    <row r="27">
      <c r="D27" t="inlineStr">
        <is>
          <t>Project IRR post-tax</t>
        </is>
      </c>
      <c r="E27" t="inlineStr">
        <is>
          <t>%</t>
        </is>
      </c>
      <c r="F27" s="34">
        <f>Returns!$F$12</f>
        <v/>
      </c>
    </row>
    <row r="28">
      <c r="D28" t="inlineStr">
        <is>
          <t>Value for money, winning bid</t>
        </is>
      </c>
      <c r="E28" t="inlineStr">
        <is>
          <t>ARD m</t>
        </is>
      </c>
      <c r="F28" s="29">
        <f>Returns!$F$47</f>
        <v/>
      </c>
    </row>
    <row r="29">
      <c r="D29" t="inlineStr">
        <is>
          <t>All checks (0 = pass)</t>
        </is>
      </c>
      <c r="E29" t="inlineStr">
        <is>
          <t>ARD m</t>
        </is>
      </c>
      <c r="F29" s="29">
        <f>Checks!$F$23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2026-10-03T21:26:40Z</dcterms:created>
  <dcterms:modified xsi:type="dcterms:W3CDTF">2026-10-03T21:26:41Z</dcterms:modified>
</cp:coreProperties>
</file>